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42264" windowHeight="16656" tabRatio="500" firstSheet="0" activeTab="2" autoFilterDateGrouping="1"/>
  </bookViews>
  <sheets>
    <sheet xmlns:r="http://schemas.openxmlformats.org/officeDocument/2006/relationships" name="INPUTS" sheetId="1" state="visible" r:id="rId1"/>
    <sheet xmlns:r="http://schemas.openxmlformats.org/officeDocument/2006/relationships" name="Capital_Items" sheetId="2" state="visible" r:id="rId2"/>
    <sheet xmlns:r="http://schemas.openxmlformats.org/officeDocument/2006/relationships" name="RESULTS" sheetId="3" state="visible" r:id="rId3"/>
    <sheet xmlns:r="http://schemas.openxmlformats.org/officeDocument/2006/relationships" name="SOURCES" sheetId="4" state="visible" r:id="rId4"/>
    <sheet xmlns:r="http://schemas.openxmlformats.org/officeDocument/2006/relationships" name="Scenarios" sheetId="5" state="hidden" r:id="rId5"/>
    <sheet xmlns:r="http://schemas.openxmlformats.org/officeDocument/2006/relationships" name="00_Cover" sheetId="6" state="hidden" r:id="rId6"/>
    <sheet xmlns:r="http://schemas.openxmlformats.org/officeDocument/2006/relationships" name="00_Inputs_Dashboard" sheetId="7" state="hidden" r:id="rId7"/>
    <sheet xmlns:r="http://schemas.openxmlformats.org/officeDocument/2006/relationships" name="02_Type_Assumptions" sheetId="8" state="hidden" r:id="rId8"/>
    <sheet xmlns:r="http://schemas.openxmlformats.org/officeDocument/2006/relationships" name="03_Multi_Horizon_Results" sheetId="9" state="hidden" r:id="rId9"/>
    <sheet xmlns:r="http://schemas.openxmlformats.org/officeDocument/2006/relationships" name="04_Annual_Calculations" sheetId="10" state="hidden" r:id="rId10"/>
    <sheet xmlns:r="http://schemas.openxmlformats.org/officeDocument/2006/relationships" name="05_Capital_Triggers" sheetId="11" state="hidden" r:id="rId11"/>
    <sheet xmlns:r="http://schemas.openxmlformats.org/officeDocument/2006/relationships" name="06_Output_Dashboard" sheetId="12" state="hidden" r:id="rId12"/>
    <sheet xmlns:r="http://schemas.openxmlformats.org/officeDocument/2006/relationships" name="07_QA_Checks" sheetId="13" state="hidden" r:id="rId13"/>
    <sheet xmlns:r="http://schemas.openxmlformats.org/officeDocument/2006/relationships" name="09_Phase_Factors" sheetId="14" state="hidden" r:id="rId14"/>
    <sheet xmlns:r="http://schemas.openxmlformats.org/officeDocument/2006/relationships" name="10_Model_Notes" sheetId="15" state="hidden" r:id="rId15"/>
    <sheet xmlns:r="http://schemas.openxmlformats.org/officeDocument/2006/relationships" name="11_Acceptance_Tests" sheetId="16" state="hidden" r:id="rId16"/>
    <sheet xmlns:r="http://schemas.openxmlformats.org/officeDocument/2006/relationships" name="12_Takeoff_Assumptions" sheetId="17" state="hidden" r:id="rId17"/>
    <sheet xmlns:r="http://schemas.openxmlformats.org/officeDocument/2006/relationships" name="13_Peer_Benchmarks" sheetId="18" state="hidden" r:id="rId18"/>
  </sheets>
  <definedNames/>
  <calcPr calcId="191029" fullCalcOnLoad="1"/>
</workbook>
</file>

<file path=xl/styles.xml><?xml version="1.0" encoding="utf-8"?>
<styleSheet xmlns="http://schemas.openxmlformats.org/spreadsheetml/2006/main">
  <numFmts count="7">
    <numFmt numFmtId="164" formatCode="0.0%"/>
    <numFmt numFmtId="165" formatCode="0.0000000"/>
    <numFmt numFmtId="166" formatCode="\$#,##0"/>
    <numFmt numFmtId="167" formatCode="0.0"/>
    <numFmt numFmtId="168" formatCode="0.000"/>
    <numFmt numFmtId="169" formatCode="0.0000"/>
    <numFmt numFmtId="170" formatCode="\$#,##0;&quot;($&quot;#,##0\);\-"/>
  </numFmts>
  <fonts count="31">
    <font>
      <name val="Arial"/>
      <charset val="1"/>
      <family val="2"/>
      <sz val="10"/>
    </font>
    <font>
      <name val="Calibri"/>
      <charset val="1"/>
      <b val="1"/>
      <color rgb="FFFFFFFF"/>
      <sz val="14"/>
    </font>
    <font>
      <name val="Calibri"/>
      <charset val="1"/>
      <i val="1"/>
      <color rgb="FF555555"/>
      <sz val="9"/>
    </font>
    <font>
      <name val="Calibri"/>
      <charset val="1"/>
      <b val="1"/>
      <color rgb="FF1F3864"/>
      <sz val="10"/>
    </font>
    <font>
      <name val="Calibri"/>
      <charset val="1"/>
      <b val="1"/>
      <color rgb="FFFFFFFF"/>
      <sz val="11"/>
    </font>
    <font>
      <name val="Calibri"/>
      <charset val="1"/>
      <sz val="10"/>
    </font>
    <font>
      <name val="Calibri"/>
      <charset val="1"/>
      <i val="1"/>
      <color rgb="FF555555"/>
      <sz val="10"/>
    </font>
    <font>
      <name val="Calibri"/>
      <charset val="1"/>
      <color rgb="FF777777"/>
      <sz val="9"/>
    </font>
    <font>
      <name val="Calibri"/>
      <charset val="1"/>
      <b val="1"/>
      <color rgb="FF0000FF"/>
      <sz val="10"/>
    </font>
    <font>
      <name val="Calibri"/>
      <charset val="1"/>
      <b val="1"/>
      <color rgb="FF1F3864"/>
      <sz val="8"/>
    </font>
    <font>
      <name val="Calibri"/>
      <charset val="1"/>
      <sz val="9"/>
    </font>
    <font>
      <name val="Calibri"/>
      <charset val="1"/>
      <color rgb="FF0000FF"/>
      <sz val="9"/>
    </font>
    <font>
      <name val="Calibri"/>
      <charset val="1"/>
      <b val="1"/>
      <sz val="9"/>
    </font>
    <font>
      <name val="Calibri"/>
      <charset val="1"/>
      <i val="1"/>
      <color rgb="FF777777"/>
      <sz val="8"/>
    </font>
    <font>
      <name val="Calibri"/>
      <charset val="1"/>
      <b val="1"/>
      <color rgb="FF1F3864"/>
      <sz val="9"/>
    </font>
    <font>
      <name val="Calibri"/>
      <charset val="1"/>
      <i val="1"/>
      <color rgb="FFAAAAAA"/>
      <sz val="8"/>
    </font>
    <font>
      <name val="Calibri"/>
      <charset val="1"/>
      <color rgb="FF0000FF"/>
      <sz val="10"/>
    </font>
    <font>
      <name val="Calibri"/>
      <charset val="1"/>
      <color rgb="FFAAAAAA"/>
      <sz val="8"/>
    </font>
    <font>
      <name val="Calibri"/>
      <charset val="1"/>
      <i val="1"/>
      <color rgb="FF1F4E78"/>
      <sz val="11"/>
    </font>
    <font>
      <name val="Calibri"/>
      <charset val="1"/>
      <color theme="1"/>
      <sz val="11"/>
    </font>
    <font>
      <name val="Calibri"/>
      <charset val="1"/>
      <b val="1"/>
      <color theme="1"/>
      <sz val="11"/>
    </font>
    <font>
      <name val="Calibri"/>
      <charset val="1"/>
      <b val="1"/>
      <i val="1"/>
      <color theme="1"/>
      <sz val="11"/>
    </font>
    <font>
      <name val="Calibri"/>
      <charset val="1"/>
      <i val="1"/>
      <color theme="1"/>
      <sz val="11"/>
    </font>
    <font>
      <name val="Calibri"/>
      <charset val="1"/>
      <b val="1"/>
      <sz val="10"/>
    </font>
    <font>
      <name val="Calibri"/>
      <charset val="1"/>
      <b val="1"/>
      <color rgb="FFFFFFFF"/>
      <sz val="10"/>
    </font>
    <font>
      <name val="Calibri"/>
      <charset val="1"/>
      <b val="1"/>
      <color rgb="FFFFFFFF"/>
      <sz val="9"/>
    </font>
    <font>
      <name val="Calibri"/>
      <charset val="1"/>
      <b val="1"/>
      <color rgb="FF1F3864"/>
      <sz val="11"/>
    </font>
    <font>
      <name val="Calibri"/>
      <charset val="1"/>
      <i val="1"/>
      <color rgb="FF777777"/>
      <sz val="9"/>
    </font>
    <font>
      <name val="Calibri"/>
      <charset val="1"/>
      <b val="1"/>
      <color rgb="FF000000"/>
      <sz val="10"/>
    </font>
    <font>
      <name val="Calibri"/>
      <charset val="1"/>
      <color rgb="FF595959"/>
      <sz val="9"/>
    </font>
    <font>
      <name val="Calibri"/>
      <charset val="1"/>
      <b val="1"/>
      <color rgb="FFFFFFFF"/>
      <sz val="12"/>
    </font>
  </fonts>
  <fills count="20">
    <fill>
      <patternFill/>
    </fill>
    <fill>
      <patternFill patternType="gray125"/>
    </fill>
    <fill>
      <patternFill patternType="solid">
        <fgColor rgb="FF1F3864"/>
        <bgColor rgb="FF17365D"/>
      </patternFill>
    </fill>
    <fill>
      <patternFill patternType="solid">
        <fgColor rgb="FFEFEFEF"/>
        <bgColor rgb="FFF2F2F2"/>
      </patternFill>
    </fill>
    <fill>
      <patternFill patternType="solid">
        <fgColor rgb="FFFFF2CC"/>
        <bgColor rgb="FFFCE4D6"/>
      </patternFill>
    </fill>
    <fill>
      <patternFill patternType="solid">
        <fgColor rgb="FF0F2F57"/>
        <bgColor rgb="FF17365D"/>
      </patternFill>
    </fill>
    <fill>
      <patternFill patternType="solid">
        <fgColor rgb="FFEAF2F8"/>
        <bgColor rgb="FFEFEFEF"/>
      </patternFill>
    </fill>
    <fill>
      <patternFill patternType="solid">
        <fgColor rgb="FF1F4E78"/>
        <bgColor rgb="FF1F4E79"/>
      </patternFill>
    </fill>
    <fill>
      <patternFill patternType="solid">
        <fgColor rgb="FFE2F0D9"/>
        <bgColor rgb="FFD9EAD3"/>
      </patternFill>
    </fill>
    <fill>
      <patternFill patternType="solid">
        <fgColor rgb="FF1F4E79"/>
        <bgColor rgb="FF1F4E78"/>
      </patternFill>
    </fill>
    <fill>
      <patternFill patternType="solid">
        <fgColor rgb="FFF2F2F2"/>
        <bgColor rgb="FFEFEFEF"/>
      </patternFill>
    </fill>
    <fill>
      <patternFill patternType="solid">
        <fgColor rgb="FFDDEBF7"/>
        <bgColor rgb="FFEAF2F8"/>
      </patternFill>
    </fill>
    <fill>
      <patternFill patternType="solid">
        <fgColor rgb="FFF8F9FA"/>
        <bgColor rgb="FFFFFFFF"/>
      </patternFill>
    </fill>
    <fill>
      <patternFill patternType="solid">
        <fgColor rgb="FFFCE4D6"/>
        <bgColor rgb="FFFFE4B5"/>
      </patternFill>
    </fill>
    <fill>
      <patternFill patternType="solid">
        <fgColor rgb="FFFCE4A6"/>
        <bgColor rgb="FFFFE4B5"/>
      </patternFill>
    </fill>
    <fill>
      <patternFill patternType="solid">
        <fgColor rgb="FF2E5395"/>
        <bgColor rgb="FF1F4E79"/>
      </patternFill>
    </fill>
    <fill>
      <patternFill patternType="solid">
        <fgColor rgb="FFFFE4B5"/>
        <bgColor rgb="FFFCE4A6"/>
      </patternFill>
    </fill>
    <fill>
      <patternFill patternType="solid">
        <fgColor rgb="FFD9EAD3"/>
        <bgColor rgb="FFE2F0D9"/>
      </patternFill>
    </fill>
    <fill>
      <patternFill patternType="solid">
        <fgColor rgb="FF17365D"/>
        <bgColor rgb="FF1F3864"/>
      </patternFill>
    </fill>
    <fill>
      <patternFill patternType="solid">
        <fgColor rgb="FF44546A"/>
        <bgColor rgb="FF55555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09">
    <xf numFmtId="0" fontId="0" fillId="0" borderId="0" pivotButton="0" quotePrefix="0" xfId="0"/>
    <xf numFmtId="0" fontId="3" fillId="3" borderId="0" applyAlignment="1" pivotButton="0" quotePrefix="0" xfId="0">
      <alignment vertical="top" wrapText="1"/>
    </xf>
    <xf numFmtId="0" fontId="5" fillId="0" borderId="0" applyAlignment="1" pivotButton="0" quotePrefix="0" xfId="0">
      <alignment vertical="top" wrapText="1"/>
    </xf>
    <xf numFmtId="164" fontId="8" fillId="4" borderId="0" applyAlignment="1" pivotButton="0" quotePrefix="0" xfId="0">
      <alignment horizontal="center"/>
    </xf>
    <xf numFmtId="165" fontId="8" fillId="4" borderId="0" applyAlignment="1" pivotButton="0" quotePrefix="0" xfId="0">
      <alignment horizontal="center"/>
    </xf>
    <xf numFmtId="3" fontId="8" fillId="4" borderId="0" applyAlignment="1" pivotButton="0" quotePrefix="0" xfId="0">
      <alignment horizontal="center"/>
    </xf>
    <xf numFmtId="166" fontId="8" fillId="4" borderId="0" applyAlignment="1" pivotButton="0" quotePrefix="0" xfId="0">
      <alignment horizontal="center"/>
    </xf>
    <xf numFmtId="1" fontId="8" fillId="4" borderId="0" applyAlignment="1" pivotButton="0" quotePrefix="0" xfId="0">
      <alignment horizontal="center"/>
    </xf>
    <xf numFmtId="167" fontId="8" fillId="4" borderId="0" applyAlignment="1" pivotButton="0" quotePrefix="0" xfId="0">
      <alignment horizontal="center"/>
    </xf>
    <xf numFmtId="0" fontId="16" fillId="4" borderId="0" applyAlignment="1" pivotButton="0" quotePrefix="0" xfId="0">
      <alignment horizontal="center"/>
    </xf>
    <xf numFmtId="9" fontId="16" fillId="4" borderId="0" applyAlignment="1" pivotButton="0" quotePrefix="0" xfId="0">
      <alignment horizontal="center"/>
    </xf>
    <xf numFmtId="0" fontId="4" fillId="7" borderId="0" applyAlignment="1" pivotButton="0" quotePrefix="0" xfId="0">
      <alignment horizontal="center" vertical="center" wrapText="1"/>
    </xf>
    <xf numFmtId="0" fontId="19" fillId="0" borderId="0" applyAlignment="1" pivotButton="0" quotePrefix="0" xfId="0">
      <alignment wrapText="1"/>
    </xf>
    <xf numFmtId="166" fontId="19" fillId="0" borderId="0" applyAlignment="1" pivotButton="0" quotePrefix="0" xfId="0">
      <alignment wrapText="1"/>
    </xf>
    <xf numFmtId="166" fontId="19" fillId="0" borderId="0" pivotButton="0" quotePrefix="0" xfId="0"/>
    <xf numFmtId="0" fontId="20" fillId="10" borderId="0" pivotButton="0" quotePrefix="0" xfId="0"/>
    <xf numFmtId="166" fontId="20" fillId="10" borderId="0" pivotButton="0" quotePrefix="0" xfId="0"/>
    <xf numFmtId="0" fontId="20" fillId="11" borderId="0" pivotButton="0" quotePrefix="0" xfId="0"/>
    <xf numFmtId="166" fontId="20" fillId="11" borderId="0" pivotButton="0" quotePrefix="0" xfId="0"/>
    <xf numFmtId="0" fontId="21" fillId="12" borderId="0" applyAlignment="1" pivotButton="0" quotePrefix="0" xfId="0">
      <alignment wrapText="1"/>
    </xf>
    <xf numFmtId="0" fontId="20" fillId="12" borderId="0" pivotButton="0" quotePrefix="0" xfId="0"/>
    <xf numFmtId="166" fontId="20" fillId="12" borderId="0" pivotButton="0" quotePrefix="0" xfId="0"/>
    <xf numFmtId="0" fontId="22" fillId="13" borderId="0" applyAlignment="1" pivotButton="0" quotePrefix="0" xfId="0">
      <alignment wrapText="1"/>
    </xf>
    <xf numFmtId="0" fontId="5" fillId="0" borderId="0" pivotButton="0" quotePrefix="0" xfId="0"/>
    <xf numFmtId="0" fontId="3" fillId="3" borderId="0" pivotButton="0" quotePrefix="0" xfId="0"/>
    <xf numFmtId="0" fontId="10" fillId="0" borderId="0" applyAlignment="1" pivotButton="0" quotePrefix="0" xfId="0">
      <alignment horizontal="center"/>
    </xf>
    <xf numFmtId="0" fontId="19" fillId="0" borderId="0" applyAlignment="1" pivotButton="0" quotePrefix="0" xfId="0">
      <alignment horizontal="left"/>
    </xf>
    <xf numFmtId="0" fontId="5" fillId="0" borderId="1" applyAlignment="1" pivotButton="0" quotePrefix="0" xfId="0">
      <alignment horizontal="center" vertical="center" wrapText="1"/>
    </xf>
    <xf numFmtId="1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9" fillId="0" borderId="0" applyAlignment="1" pivotButton="0" quotePrefix="0" xfId="0">
      <alignment horizontal="center" vertical="center"/>
    </xf>
    <xf numFmtId="3" fontId="5" fillId="0" borderId="1" applyAlignment="1" pivotButton="0" quotePrefix="0" xfId="0">
      <alignment horizontal="center" vertical="center" wrapText="1"/>
    </xf>
    <xf numFmtId="166"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 applyAlignment="1" pivotButton="0" quotePrefix="0" xfId="0">
      <alignment horizontal="left" vertical="center" wrapText="1"/>
    </xf>
    <xf numFmtId="167" fontId="5" fillId="0" borderId="1" applyAlignment="1" pivotButton="0" quotePrefix="0" xfId="0">
      <alignment horizontal="center" vertical="center" wrapText="1"/>
    </xf>
    <xf numFmtId="0" fontId="5" fillId="0" borderId="1" applyAlignment="1" pivotButton="0" quotePrefix="0" xfId="0">
      <alignment vertical="top" wrapText="1"/>
    </xf>
    <xf numFmtId="1" fontId="5" fillId="0"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26" fillId="3" borderId="0" pivotButton="0" quotePrefix="0" xfId="0"/>
    <xf numFmtId="0" fontId="23" fillId="0" borderId="0" applyAlignment="1" pivotButton="0" quotePrefix="0" xfId="0">
      <alignment vertical="top"/>
    </xf>
    <xf numFmtId="0" fontId="27" fillId="0" borderId="0" pivotButton="0" quotePrefix="0" xfId="0"/>
    <xf numFmtId="0" fontId="3" fillId="3" borderId="1" applyAlignment="1" pivotButton="0" quotePrefix="0" xfId="0">
      <alignment vertical="center" wrapText="1"/>
    </xf>
    <xf numFmtId="0" fontId="3" fillId="0" borderId="0" pivotButton="0" quotePrefix="0" xfId="0"/>
    <xf numFmtId="0" fontId="5" fillId="4" borderId="1" pivotButton="0" quotePrefix="0" xfId="0"/>
    <xf numFmtId="3" fontId="5" fillId="4" borderId="1" pivotButton="0" quotePrefix="0" xfId="0"/>
    <xf numFmtId="2" fontId="5" fillId="3" borderId="1" pivotButton="0" quotePrefix="0" xfId="0"/>
    <xf numFmtId="4" fontId="5" fillId="14" borderId="1" pivotButton="0" quotePrefix="0" xfId="0"/>
    <xf numFmtId="4" fontId="5" fillId="3" borderId="1" pivotButton="0" quotePrefix="0" xfId="0"/>
    <xf numFmtId="1" fontId="5" fillId="4" borderId="1" pivotButton="0" quotePrefix="0" xfId="0"/>
    <xf numFmtId="164" fontId="5" fillId="4" borderId="1" pivotButton="0" quotePrefix="0" xfId="0"/>
    <xf numFmtId="166" fontId="5" fillId="3" borderId="1" pivotButton="0" quotePrefix="0" xfId="0"/>
    <xf numFmtId="166" fontId="5" fillId="14" borderId="1" pivotButton="0" quotePrefix="0" xfId="0"/>
    <xf numFmtId="3" fontId="5" fillId="3" borderId="1" pivotButton="0" quotePrefix="0" xfId="0"/>
    <xf numFmtId="0" fontId="5" fillId="4" borderId="1" applyAlignment="1" pivotButton="0" quotePrefix="0" xfId="0">
      <alignment vertical="top" wrapText="1"/>
    </xf>
    <xf numFmtId="166" fontId="5" fillId="0" borderId="0" applyAlignment="1" pivotButton="0" quotePrefix="0" xfId="0">
      <alignment vertical="top" wrapText="1"/>
    </xf>
    <xf numFmtId="0" fontId="19" fillId="0" borderId="0" applyAlignment="1" pivotButton="0" quotePrefix="0" xfId="0">
      <alignment horizontal="center"/>
    </xf>
    <xf numFmtId="164" fontId="28" fillId="4" borderId="1" applyAlignment="1" pivotButton="0" quotePrefix="0" xfId="0">
      <alignment horizontal="center"/>
    </xf>
    <xf numFmtId="0" fontId="29" fillId="0" borderId="0" pivotButton="0" quotePrefix="0" xfId="0"/>
    <xf numFmtId="164" fontId="19" fillId="3" borderId="1" applyAlignment="1" pivotButton="0" quotePrefix="0" xfId="0">
      <alignment horizontal="center"/>
    </xf>
    <xf numFmtId="3" fontId="28" fillId="4" borderId="1" applyAlignment="1" pivotButton="0" quotePrefix="0" xfId="0">
      <alignment horizontal="center"/>
    </xf>
    <xf numFmtId="10" fontId="28" fillId="4" borderId="1" applyAlignment="1" pivotButton="0" quotePrefix="0" xfId="0">
      <alignment horizontal="center"/>
    </xf>
    <xf numFmtId="166" fontId="28" fillId="4" borderId="1" applyAlignment="1" pivotButton="0" quotePrefix="0" xfId="0">
      <alignment horizontal="center"/>
    </xf>
    <xf numFmtId="1" fontId="28" fillId="4" borderId="1" applyAlignment="1" pivotButton="0" quotePrefix="0" xfId="0">
      <alignment horizontal="center"/>
    </xf>
    <xf numFmtId="165" fontId="28" fillId="4" borderId="1" applyAlignment="1" pivotButton="0" quotePrefix="0" xfId="0">
      <alignment horizontal="center"/>
    </xf>
    <xf numFmtId="167" fontId="28" fillId="4" borderId="1" applyAlignment="1" pivotButton="0" quotePrefix="0" xfId="0">
      <alignment horizontal="center"/>
    </xf>
    <xf numFmtId="0" fontId="29" fillId="0" borderId="0" applyAlignment="1" pivotButton="0" quotePrefix="0" xfId="0">
      <alignment wrapText="1"/>
    </xf>
    <xf numFmtId="0" fontId="3" fillId="0" borderId="0" applyAlignment="1" pivotButton="0" quotePrefix="0" xfId="0">
      <alignment horizontal="center"/>
    </xf>
    <xf numFmtId="166" fontId="19" fillId="0" borderId="0" applyAlignment="1" pivotButton="0" quotePrefix="0" xfId="0">
      <alignment horizontal="center"/>
    </xf>
    <xf numFmtId="0" fontId="3" fillId="3" borderId="1" applyAlignment="1" pivotButton="0" quotePrefix="0" xfId="0">
      <alignment horizontal="left" vertical="center" wrapText="1"/>
    </xf>
    <xf numFmtId="0" fontId="23" fillId="0" borderId="1" pivotButton="0" quotePrefix="0" xfId="0"/>
    <xf numFmtId="0" fontId="5" fillId="0" borderId="1" pivotButton="0" quotePrefix="0" xfId="0"/>
    <xf numFmtId="2" fontId="5" fillId="0" borderId="1" pivotButton="0" quotePrefix="0" xfId="0"/>
    <xf numFmtId="3" fontId="5" fillId="0" borderId="1" pivotButton="0" quotePrefix="0" xfId="0"/>
    <xf numFmtId="0" fontId="3" fillId="3" borderId="1" pivotButton="0" quotePrefix="0" xfId="0"/>
    <xf numFmtId="4" fontId="5" fillId="0" borderId="0" pivotButton="0" quotePrefix="0" xfId="0"/>
    <xf numFmtId="3" fontId="5" fillId="0" borderId="0" pivotButton="0" quotePrefix="0" xfId="0"/>
    <xf numFmtId="166" fontId="5" fillId="0" borderId="0" pivotButton="0" quotePrefix="0" xfId="0"/>
    <xf numFmtId="164" fontId="5" fillId="0" borderId="0" pivotButton="0" quotePrefix="0" xfId="0"/>
    <xf numFmtId="0" fontId="3" fillId="3" borderId="0" applyAlignment="1" pivotButton="0" quotePrefix="0" xfId="0">
      <alignment horizontal="center"/>
    </xf>
    <xf numFmtId="3" fontId="19" fillId="0" borderId="1" pivotButton="0" quotePrefix="0" xfId="0"/>
    <xf numFmtId="166" fontId="19" fillId="0" borderId="1" pivotButton="0" quotePrefix="0" xfId="0"/>
    <xf numFmtId="0" fontId="19" fillId="14" borderId="1" pivotButton="0" quotePrefix="0" xfId="0"/>
    <xf numFmtId="0" fontId="29" fillId="0" borderId="1" applyAlignment="1" pivotButton="0" quotePrefix="0" xfId="0">
      <alignment wrapText="1"/>
    </xf>
    <xf numFmtId="0" fontId="26" fillId="0" borderId="0" pivotButton="0" quotePrefix="0" xfId="0"/>
    <xf numFmtId="1" fontId="19" fillId="0" borderId="0" pivotButton="0" quotePrefix="0" xfId="0"/>
    <xf numFmtId="164" fontId="19" fillId="3" borderId="1" pivotButton="0" quotePrefix="0" xfId="0"/>
    <xf numFmtId="10" fontId="19" fillId="3" borderId="1" pivotButton="0" quotePrefix="0" xfId="0"/>
    <xf numFmtId="1" fontId="19" fillId="3" borderId="1" pivotButton="0" quotePrefix="0" xfId="0"/>
    <xf numFmtId="164" fontId="19" fillId="0" borderId="0" pivotButton="0" quotePrefix="0" xfId="0"/>
    <xf numFmtId="0" fontId="4" fillId="9" borderId="0" applyAlignment="1" pivotButton="0" quotePrefix="0" xfId="0">
      <alignment horizontal="center" vertical="center" wrapText="1"/>
    </xf>
    <xf numFmtId="4" fontId="19" fillId="0" borderId="0" applyAlignment="1" pivotButton="0" quotePrefix="0" xfId="0">
      <alignment wrapText="1"/>
    </xf>
    <xf numFmtId="0" fontId="4" fillId="7" borderId="0" applyAlignment="1" pivotButton="0" quotePrefix="0" xfId="0">
      <alignment horizontal="center"/>
    </xf>
    <xf numFmtId="0" fontId="24" fillId="9" borderId="1" applyAlignment="1" pivotButton="0" quotePrefix="0" xfId="0">
      <alignment horizontal="center" vertical="center" wrapText="1"/>
    </xf>
    <xf numFmtId="0" fontId="3" fillId="0" borderId="1" pivotButton="0" quotePrefix="0" xfId="0"/>
    <xf numFmtId="0" fontId="19" fillId="10" borderId="0" applyAlignment="1" pivotButton="0" quotePrefix="0" xfId="0">
      <alignment wrapText="1"/>
    </xf>
    <xf numFmtId="0" fontId="19" fillId="12" borderId="0" pivotButton="0" quotePrefix="0" xfId="0"/>
    <xf numFmtId="168" fontId="19" fillId="0" borderId="0" pivotButton="0" quotePrefix="0" xfId="0"/>
    <xf numFmtId="169" fontId="19" fillId="0" borderId="0" pivotButton="0" quotePrefix="0" xfId="0"/>
    <xf numFmtId="0" fontId="24" fillId="15" borderId="0" pivotButton="0" quotePrefix="0" xfId="0"/>
    <xf numFmtId="0" fontId="5" fillId="12" borderId="0" pivotButton="0" quotePrefix="0" xfId="0"/>
    <xf numFmtId="0" fontId="5" fillId="12" borderId="1" applyAlignment="1" pivotButton="0" quotePrefix="0" xfId="0">
      <alignment vertical="top" wrapText="1"/>
    </xf>
    <xf numFmtId="0" fontId="19" fillId="0" borderId="0" applyAlignment="1" pivotButton="0" quotePrefix="0" xfId="0">
      <alignment horizontal="center" vertical="center" wrapText="1"/>
    </xf>
    <xf numFmtId="0" fontId="0" fillId="0" borderId="0" pivotButton="0" quotePrefix="0" xfId="0"/>
    <xf numFmtId="0" fontId="1" fillId="2" borderId="0" pivotButton="0" quotePrefix="0" xfId="0"/>
    <xf numFmtId="0" fontId="21" fillId="12" borderId="0" applyAlignment="1" pivotButton="0" quotePrefix="0" xfId="0">
      <alignment wrapText="1"/>
    </xf>
    <xf numFmtId="0" fontId="1" fillId="2" borderId="0" applyAlignment="1" pivotButton="0" quotePrefix="0" xfId="0">
      <alignment horizontal="left" vertical="center"/>
    </xf>
    <xf numFmtId="0" fontId="10" fillId="0" borderId="0" applyAlignment="1" pivotButton="0" quotePrefix="0" xfId="0">
      <alignment vertical="top" wrapText="1"/>
    </xf>
    <xf numFmtId="0" fontId="19" fillId="0" borderId="0" applyAlignment="1" pivotButton="0" quotePrefix="0" xfId="0">
      <alignment horizontal="left"/>
    </xf>
    <xf numFmtId="0" fontId="4" fillId="15" borderId="0" applyAlignment="1" pivotButton="0" quotePrefix="0" xfId="0">
      <alignment horizontal="left" vertical="center"/>
    </xf>
    <xf numFmtId="0" fontId="19" fillId="0" borderId="0" applyAlignment="1" pivotButton="0" quotePrefix="0" xfId="0">
      <alignment horizontal="center"/>
    </xf>
    <xf numFmtId="0" fontId="30" fillId="18" borderId="0" pivotButton="0" quotePrefix="0" xfId="0"/>
    <xf numFmtId="0" fontId="4" fillId="19" borderId="0" applyAlignment="1" pivotButton="0" quotePrefix="0" xfId="0">
      <alignment horizontal="left" vertical="center"/>
    </xf>
    <xf numFmtId="0" fontId="6" fillId="0" borderId="0" applyAlignment="1" pivotButton="0" quotePrefix="0" xfId="0">
      <alignment vertical="top" wrapText="1"/>
    </xf>
    <xf numFmtId="0" fontId="0" fillId="0" borderId="0" applyAlignment="1" pivotButton="0" quotePrefix="0" xfId="0">
      <alignment horizontal="left"/>
    </xf>
    <xf numFmtId="0" fontId="16" fillId="4" borderId="0" applyAlignment="1" pivotButton="0" quotePrefix="0" xfId="0">
      <alignment horizontal="left"/>
    </xf>
    <xf numFmtId="0" fontId="1" fillId="2"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xf>
    <xf numFmtId="0" fontId="2" fillId="0" borderId="0" applyAlignment="1" pivotButton="0" quotePrefix="0" xfId="0">
      <alignment horizontal="center" wrapText="1"/>
    </xf>
    <xf numFmtId="0" fontId="3" fillId="3" borderId="0" applyAlignment="1" pivotButton="0" quotePrefix="0" xfId="0">
      <alignment horizontal="center" vertical="top" wrapText="1"/>
    </xf>
    <xf numFmtId="0" fontId="4" fillId="2" borderId="0" applyAlignment="1" pivotButton="0" quotePrefix="0" xfId="0">
      <alignment horizontal="center"/>
    </xf>
    <xf numFmtId="0" fontId="5" fillId="0" borderId="0" applyAlignment="1" pivotButton="0" quotePrefix="0" xfId="0">
      <alignment horizontal="center" vertical="top" wrapText="1"/>
    </xf>
    <xf numFmtId="0" fontId="6" fillId="0" borderId="0" applyAlignment="1" pivotButton="0" quotePrefix="0" xfId="0">
      <alignment horizontal="center"/>
    </xf>
    <xf numFmtId="0" fontId="7" fillId="0" borderId="0" applyAlignment="1" pivotButton="0" quotePrefix="0" xfId="0">
      <alignment horizontal="center" vertical="top" wrapText="1"/>
    </xf>
    <xf numFmtId="0" fontId="9" fillId="3" borderId="0" applyAlignment="1" pivotButton="0" quotePrefix="0" xfId="0">
      <alignment horizontal="center" vertical="top" wrapText="1"/>
    </xf>
    <xf numFmtId="164" fontId="11" fillId="4" borderId="0" applyAlignment="1" pivotButton="0" quotePrefix="0" xfId="0">
      <alignment horizontal="center"/>
    </xf>
    <xf numFmtId="164" fontId="0" fillId="0" borderId="0" applyAlignment="1" pivotButton="0" quotePrefix="0" xfId="0">
      <alignment horizontal="center"/>
    </xf>
    <xf numFmtId="164" fontId="12" fillId="0" borderId="0" applyAlignment="1" pivotButton="0" quotePrefix="0" xfId="0">
      <alignment horizontal="center"/>
    </xf>
    <xf numFmtId="0" fontId="13" fillId="0" borderId="0" applyAlignment="1" pivotButton="0" quotePrefix="0" xfId="0">
      <alignment horizontal="center"/>
    </xf>
    <xf numFmtId="0" fontId="4" fillId="2" borderId="0" applyAlignment="1" pivotButton="0" quotePrefix="0" xfId="0">
      <alignment horizontal="center" wrapText="1"/>
    </xf>
    <xf numFmtId="0" fontId="17" fillId="0" borderId="0" applyAlignment="1" pivotButton="0" quotePrefix="0" xfId="0">
      <alignment horizontal="center"/>
    </xf>
    <xf numFmtId="0" fontId="1" fillId="2" borderId="0" applyAlignment="1" pivotButton="0" quotePrefix="0" xfId="0">
      <alignment horizontal="center" vertical="center"/>
    </xf>
    <xf numFmtId="0" fontId="4" fillId="15" borderId="0" applyAlignment="1" pivotButton="0" quotePrefix="0" xfId="0">
      <alignment horizontal="center" vertical="center"/>
    </xf>
    <xf numFmtId="0" fontId="5" fillId="0" borderId="0" applyAlignment="1" pivotButton="0" quotePrefix="0" xfId="0">
      <alignment horizontal="center"/>
    </xf>
    <xf numFmtId="0" fontId="29" fillId="0" borderId="0" applyAlignment="1" pivotButton="0" quotePrefix="0" xfId="0">
      <alignment horizontal="center"/>
    </xf>
    <xf numFmtId="0" fontId="29" fillId="0" borderId="0" applyAlignment="1" pivotButton="0" quotePrefix="0" xfId="0">
      <alignment horizontal="center" wrapText="1"/>
    </xf>
    <xf numFmtId="9" fontId="19" fillId="0" borderId="0" applyAlignment="1" pivotButton="0" quotePrefix="0" xfId="0">
      <alignment horizontal="center"/>
    </xf>
    <xf numFmtId="0" fontId="1" fillId="2" borderId="0" applyAlignment="1" pivotButton="0" quotePrefix="0" xfId="0">
      <alignment horizontal="center" vertical="center" wrapText="1"/>
    </xf>
    <xf numFmtId="0" fontId="19" fillId="0" borderId="0" applyAlignment="1" pivotButton="0" quotePrefix="0" xfId="0">
      <alignment horizontal="center" wrapText="1"/>
    </xf>
    <xf numFmtId="0" fontId="5" fillId="0" borderId="0" applyAlignment="1" pivotButton="0" quotePrefix="0" xfId="0">
      <alignment horizontal="center" wrapText="1"/>
    </xf>
    <xf numFmtId="0" fontId="3" fillId="0" borderId="0" applyAlignment="1" pivotButton="0" quotePrefix="0" xfId="0">
      <alignment horizontal="center" wrapText="1"/>
    </xf>
    <xf numFmtId="0" fontId="26" fillId="0" borderId="0" applyAlignment="1" pivotButton="0" quotePrefix="0" xfId="0">
      <alignment horizontal="center" wrapText="1"/>
    </xf>
    <xf numFmtId="0" fontId="4" fillId="15" borderId="0" applyAlignment="1" pivotButton="0" quotePrefix="0" xfId="0">
      <alignment horizontal="center" vertical="center" wrapText="1"/>
    </xf>
    <xf numFmtId="0" fontId="26" fillId="16" borderId="0" applyAlignment="1" pivotButton="0" quotePrefix="0" xfId="0">
      <alignment horizontal="center" wrapText="1"/>
    </xf>
    <xf numFmtId="0" fontId="5" fillId="15" borderId="0" applyAlignment="1" pivotButton="0" quotePrefix="0" xfId="0">
      <alignment horizontal="center" vertical="center" wrapText="1"/>
    </xf>
    <xf numFmtId="0" fontId="5" fillId="0" borderId="0" applyAlignment="1" pivotButton="0" quotePrefix="0" xfId="0">
      <alignment horizontal="center" wrapText="1"/>
    </xf>
    <xf numFmtId="0" fontId="26" fillId="17" borderId="0" applyAlignment="1" pivotButton="0" quotePrefix="0" xfId="0">
      <alignment horizontal="center" wrapText="1"/>
    </xf>
    <xf numFmtId="0" fontId="3" fillId="0" borderId="0" applyAlignment="1" pivotButton="0" quotePrefix="0" xfId="0">
      <alignment horizontal="center" wrapText="1"/>
    </xf>
    <xf numFmtId="0" fontId="5" fillId="0" borderId="0" applyAlignment="1" pivotButton="0" quotePrefix="0" xfId="0">
      <alignment horizontal="center" vertical="top" wrapText="1"/>
    </xf>
    <xf numFmtId="0" fontId="6" fillId="0" borderId="0" applyAlignment="1" pivotButton="0" quotePrefix="0" xfId="0">
      <alignment horizontal="center" vertical="center"/>
    </xf>
    <xf numFmtId="0" fontId="7" fillId="0" borderId="0" applyAlignment="1" pivotButton="0" quotePrefix="0" xfId="0">
      <alignment horizontal="center" vertical="center" wrapText="1"/>
    </xf>
    <xf numFmtId="9" fontId="8" fillId="4" borderId="0" applyAlignment="1" pivotButton="0" quotePrefix="0" xfId="0">
      <alignment horizontal="center" vertical="center"/>
    </xf>
    <xf numFmtId="1" fontId="8" fillId="4" borderId="0" applyAlignment="1" pivotButton="0" quotePrefix="0" xfId="0">
      <alignment horizontal="center" vertical="center"/>
    </xf>
    <xf numFmtId="166" fontId="8" fillId="4" borderId="0" applyAlignment="1" pivotButton="0" quotePrefix="0" xfId="0">
      <alignment horizontal="center" vertical="center"/>
    </xf>
    <xf numFmtId="0" fontId="5" fillId="0" borderId="0" applyAlignment="1" pivotButton="0" quotePrefix="0" xfId="0">
      <alignment horizontal="center" vertical="center"/>
    </xf>
    <xf numFmtId="166" fontId="19" fillId="0" borderId="0" applyAlignment="1" pivotButton="0" quotePrefix="0" xfId="0">
      <alignment horizontal="center" vertical="center"/>
    </xf>
    <xf numFmtId="9" fontId="19" fillId="0" borderId="0" applyAlignment="1" pivotButton="0" quotePrefix="0" xfId="0">
      <alignment horizontal="center" vertical="center"/>
    </xf>
    <xf numFmtId="0" fontId="0" fillId="0" borderId="0" applyAlignment="1" pivotButton="0" quotePrefix="0" xfId="0">
      <alignment horizontal="center" vertical="center"/>
    </xf>
    <xf numFmtId="0" fontId="3" fillId="0" borderId="0" applyAlignment="1" pivotButton="0" quotePrefix="0" xfId="0">
      <alignment horizontal="center" vertical="center"/>
    </xf>
    <xf numFmtId="164" fontId="16" fillId="4" borderId="0" applyAlignment="1" pivotButton="0" quotePrefix="0" xfId="0">
      <alignment horizontal="center" vertical="center"/>
    </xf>
    <xf numFmtId="0" fontId="14" fillId="3" borderId="0" applyAlignment="1" pivotButton="0" quotePrefix="0" xfId="0">
      <alignment horizontal="center" vertical="center" wrapText="1"/>
    </xf>
    <xf numFmtId="0" fontId="15" fillId="0" borderId="0" applyAlignment="1" pivotButton="0" quotePrefix="0" xfId="0">
      <alignment horizontal="center" vertical="center"/>
    </xf>
    <xf numFmtId="1" fontId="19" fillId="0" borderId="0" applyAlignment="1" pivotButton="0" quotePrefix="0" xfId="0">
      <alignment horizontal="center" vertical="center"/>
    </xf>
    <xf numFmtId="0" fontId="1" fillId="5" borderId="0" applyAlignment="1" pivotButton="0" quotePrefix="0" xfId="0">
      <alignment horizontal="center" vertical="center"/>
    </xf>
    <xf numFmtId="0" fontId="0" fillId="0" borderId="0" applyAlignment="1" pivotButton="0" quotePrefix="0" xfId="0">
      <alignment horizontal="center" vertical="center"/>
    </xf>
    <xf numFmtId="0" fontId="2" fillId="6" borderId="0" applyAlignment="1" pivotButton="0" quotePrefix="0" xfId="0">
      <alignment horizontal="center" vertical="center" wrapText="1"/>
    </xf>
    <xf numFmtId="0" fontId="18" fillId="6" borderId="0" applyAlignment="1" pivotButton="0" quotePrefix="0" xfId="0">
      <alignment horizontal="center" vertical="center" wrapText="1"/>
    </xf>
    <xf numFmtId="0" fontId="3" fillId="3" borderId="0" applyAlignment="1" pivotButton="0" quotePrefix="0" xfId="0">
      <alignment horizontal="center" vertical="center" wrapText="1"/>
    </xf>
    <xf numFmtId="2" fontId="19" fillId="0" borderId="0" applyAlignment="1" pivotButton="0" quotePrefix="0" xfId="0">
      <alignment horizontal="center" vertical="center" wrapText="1"/>
    </xf>
    <xf numFmtId="2" fontId="19" fillId="4" borderId="0" applyAlignment="1" pivotButton="0" quotePrefix="0" xfId="0">
      <alignment horizontal="center" vertical="center" wrapText="1"/>
    </xf>
    <xf numFmtId="166" fontId="19" fillId="0" borderId="0" applyAlignment="1" pivotButton="0" quotePrefix="0" xfId="0">
      <alignment horizontal="center" vertical="center" wrapText="1"/>
    </xf>
    <xf numFmtId="166" fontId="19" fillId="4" borderId="0" applyAlignment="1" pivotButton="0" quotePrefix="0" xfId="0">
      <alignment horizontal="center" vertical="center" wrapText="1"/>
    </xf>
    <xf numFmtId="0" fontId="19" fillId="4" borderId="0" applyAlignment="1" pivotButton="0" quotePrefix="0" xfId="0">
      <alignment horizontal="center" vertical="center" wrapText="1"/>
    </xf>
    <xf numFmtId="0" fontId="19" fillId="4" borderId="0" applyAlignment="1" pivotButton="0" quotePrefix="0" xfId="0">
      <alignment horizontal="center" vertical="center"/>
    </xf>
    <xf numFmtId="164" fontId="19" fillId="4" borderId="0" applyAlignment="1" pivotButton="0" quotePrefix="0" xfId="0">
      <alignment horizontal="center" vertical="center"/>
    </xf>
    <xf numFmtId="166" fontId="19" fillId="8" borderId="0" applyAlignment="1" pivotButton="0" quotePrefix="0" xfId="0">
      <alignment horizontal="center" vertical="center"/>
    </xf>
    <xf numFmtId="2" fontId="19" fillId="0" borderId="0" applyAlignment="1" pivotButton="0" quotePrefix="0" xfId="0">
      <alignment horizontal="center" vertical="center"/>
    </xf>
    <xf numFmtId="2" fontId="19" fillId="4" borderId="0" applyAlignment="1" pivotButton="0" quotePrefix="0" xfId="0">
      <alignment horizontal="center" vertical="center"/>
    </xf>
    <xf numFmtId="166" fontId="19" fillId="4" borderId="0" applyAlignment="1" pivotButton="0" quotePrefix="0" xfId="0">
      <alignment horizontal="center" vertical="center"/>
    </xf>
    <xf numFmtId="0" fontId="4" fillId="9" borderId="0" applyAlignment="1" pivotButton="0" quotePrefix="0" xfId="0">
      <alignment horizontal="center" vertical="center"/>
    </xf>
    <xf numFmtId="2" fontId="4" fillId="9" borderId="0" applyAlignment="1" pivotButton="0" quotePrefix="0" xfId="0">
      <alignment horizontal="center" vertical="center"/>
    </xf>
    <xf numFmtId="2" fontId="4" fillId="4" borderId="0" applyAlignment="1" pivotButton="0" quotePrefix="0" xfId="0">
      <alignment horizontal="center" vertical="center"/>
    </xf>
    <xf numFmtId="166" fontId="4" fillId="9" borderId="0" applyAlignment="1" pivotButton="0" quotePrefix="0" xfId="0">
      <alignment horizontal="center" vertical="center"/>
    </xf>
    <xf numFmtId="166" fontId="4" fillId="4" borderId="0" applyAlignment="1" pivotButton="0" quotePrefix="0" xfId="0">
      <alignment horizontal="center" vertical="center"/>
    </xf>
    <xf numFmtId="0" fontId="0" fillId="0" borderId="0" applyAlignment="1" pivotButton="0" quotePrefix="0" xfId="0">
      <alignment horizontal="left" vertical="center"/>
    </xf>
    <xf numFmtId="0" fontId="2" fillId="0" borderId="0" applyAlignment="1" pivotButton="0" quotePrefix="0" xfId="0">
      <alignment horizontal="center" vertical="center"/>
    </xf>
    <xf numFmtId="0" fontId="23" fillId="0" borderId="0" applyAlignment="1" pivotButton="0" quotePrefix="0" xfId="0">
      <alignment horizontal="center" vertical="center"/>
    </xf>
    <xf numFmtId="164" fontId="0" fillId="0" borderId="0" applyAlignment="1" pivotButton="0" quotePrefix="0" xfId="0">
      <alignment horizontal="center" vertical="center"/>
    </xf>
    <xf numFmtId="0" fontId="24" fillId="2" borderId="0" applyAlignment="1" pivotButton="0" quotePrefix="0" xfId="0">
      <alignment horizontal="center" vertical="center"/>
    </xf>
    <xf numFmtId="0" fontId="3" fillId="3" borderId="0" applyAlignment="1" pivotButton="0" quotePrefix="0" xfId="0">
      <alignment horizontal="center" vertical="center"/>
    </xf>
    <xf numFmtId="170" fontId="5" fillId="0" borderId="0" applyAlignment="1" pivotButton="0" quotePrefix="0" xfId="0">
      <alignment horizontal="center" vertical="center"/>
    </xf>
    <xf numFmtId="170" fontId="23" fillId="0" borderId="0" applyAlignment="1" pivotButton="0" quotePrefix="0" xfId="0">
      <alignment horizontal="center" vertical="center"/>
    </xf>
    <xf numFmtId="0" fontId="25" fillId="2" borderId="0" applyAlignment="1" pivotButton="0" quotePrefix="0" xfId="0">
      <alignment horizontal="center" vertical="center"/>
    </xf>
    <xf numFmtId="0" fontId="10" fillId="0" borderId="0" applyAlignment="1" pivotButton="0" quotePrefix="0" xfId="0">
      <alignment horizontal="center" vertical="center"/>
    </xf>
    <xf numFmtId="170" fontId="10" fillId="0" borderId="0" applyAlignment="1" pivotButton="0" quotePrefix="0" xfId="0">
      <alignment horizontal="center" vertical="center"/>
    </xf>
    <xf numFmtId="0" fontId="12" fillId="0" borderId="0" applyAlignment="1" pivotButton="0" quotePrefix="0" xfId="0">
      <alignment horizontal="center" vertical="center"/>
    </xf>
    <xf numFmtId="166" fontId="12" fillId="0" borderId="0" applyAlignment="1" pivotButton="0" quotePrefix="0" xfId="0">
      <alignment horizontal="center" vertical="center"/>
    </xf>
    <xf numFmtId="0" fontId="3" fillId="3" borderId="1" applyAlignment="1" pivotButton="0" quotePrefix="0" xfId="0">
      <alignment horizontal="center" vertical="center"/>
    </xf>
    <xf numFmtId="170" fontId="5" fillId="0" borderId="0" applyAlignment="1" pivotButton="0" quotePrefix="0" xfId="0">
      <alignment horizontal="center" vertical="center"/>
    </xf>
    <xf numFmtId="170" fontId="23" fillId="0" borderId="0" applyAlignment="1" pivotButton="0" quotePrefix="0" xfId="0">
      <alignment horizontal="center" vertical="center"/>
    </xf>
    <xf numFmtId="3" fontId="10" fillId="0" borderId="0" applyAlignment="1" pivotButton="0" quotePrefix="0" xfId="0">
      <alignment horizontal="right" vertical="center"/>
    </xf>
    <xf numFmtId="0" fontId="10" fillId="0" borderId="0" applyAlignment="1" pivotButton="0" quotePrefix="0" xfId="0">
      <alignment horizontal="left" vertical="center"/>
    </xf>
    <xf numFmtId="170" fontId="10" fillId="0" borderId="0" applyAlignment="1" pivotButton="0" quotePrefix="0" xfId="0">
      <alignment horizontal="center" vertical="center"/>
    </xf>
    <xf numFmtId="168" fontId="19" fillId="0" borderId="0" pivotButton="0" quotePrefix="0" xfId="0"/>
    <xf numFmtId="169" fontId="19" fillId="0" borderId="0" pivotButton="0" quotePrefix="0" xfId="0"/>
  </cellXfs>
  <cellStyles count="1">
    <cellStyle name="Normal" xfId="0" builtinId="0"/>
  </cellStyles>
  <dxfs count="1">
    <dxf>
      <font>
        <color rgb="FF006100"/>
      </font>
    </dxf>
  </dxfs>
  <tableStyles count="0" defaultTableStyle="TableStyleMedium2" defaultPivotStyle="PivotStyleLight16"/>
  <colors>
    <indexedColors>
      <rgbColor rgb="FF000000"/>
      <rgbColor rgb="FFFFFFFF"/>
      <rgbColor rgb="FFFF0000"/>
      <rgbColor rgb="FF00FF00"/>
      <rgbColor rgb="FF0000FF"/>
      <rgbColor rgb="FFFCE4D6"/>
      <rgbColor rgb="FFFF00FF"/>
      <rgbColor rgb="FF00FFFF"/>
      <rgbColor rgb="FF800000"/>
      <rgbColor rgb="FF006100"/>
      <rgbColor rgb="FF000080"/>
      <rgbColor rgb="FF808000"/>
      <rgbColor rgb="FF800080"/>
      <rgbColor rgb="FF1F4E78"/>
      <rgbColor rgb="FFBBBBBB"/>
      <rgbColor rgb="FF777777"/>
      <rgbColor rgb="FFB6D7A8"/>
      <rgbColor rgb="FF993366"/>
      <rgbColor rgb="FFFFF2CC"/>
      <rgbColor rgb="FFDDEBF7"/>
      <rgbColor rgb="FF660066"/>
      <rgbColor rgb="FFEFEFEF"/>
      <rgbColor rgb="FF1F4E79"/>
      <rgbColor rgb="FFD9D2E9"/>
      <rgbColor rgb="FF000080"/>
      <rgbColor rgb="FFFF00FF"/>
      <rgbColor rgb="FFD9EAD3"/>
      <rgbColor rgb="FF00FFFF"/>
      <rgbColor rgb="FF800080"/>
      <rgbColor rgb="FF800000"/>
      <rgbColor rgb="FF44546A"/>
      <rgbColor rgb="FF0000FF"/>
      <rgbColor rgb="FF00CCFF"/>
      <rgbColor rgb="FFEAF2F8"/>
      <rgbColor rgb="FFE2F0D9"/>
      <rgbColor rgb="FFFFE4B5"/>
      <rgbColor rgb="FF9FC5E8"/>
      <rgbColor rgb="FFEA9999"/>
      <rgbColor rgb="FFF4B6C2"/>
      <rgbColor rgb="FFFCE4A6"/>
      <rgbColor rgb="FF3366FF"/>
      <rgbColor rgb="FF33CCCC"/>
      <rgbColor rgb="FFF2F2F2"/>
      <rgbColor rgb="FFFFD966"/>
      <rgbColor rgb="FFF8F9FA"/>
      <rgbColor rgb="FFFF6600"/>
      <rgbColor rgb="FF595959"/>
      <rgbColor rgb="FFAAAAAA"/>
      <rgbColor rgb="FF0F2F57"/>
      <rgbColor rgb="FF339966"/>
      <rgbColor rgb="FF17365D"/>
      <rgbColor rgb="FF555555"/>
      <rgbColor rgb="FF993300"/>
      <rgbColor rgb="FF993366"/>
      <rgbColor rgb="FF2E5395"/>
      <rgbColor rgb="FF1F386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FFD966"/>
    <outlinePr summaryBelow="1" summaryRight="1"/>
    <pageSetUpPr/>
  </sheetPr>
  <dimension ref="A1:T68"/>
  <sheetViews>
    <sheetView topLeftCell="A35" zoomScaleNormal="100" workbookViewId="0">
      <selection activeCell="F54" sqref="F54"/>
    </sheetView>
  </sheetViews>
  <sheetFormatPr baseColWidth="8" defaultColWidth="8.6640625" defaultRowHeight="13.2"/>
  <cols>
    <col width="46" customWidth="1" style="121" min="1" max="1"/>
    <col width="16" customWidth="1" style="121" min="2" max="2"/>
    <col width="50" customWidth="1" style="121" min="3" max="3"/>
    <col width="14" customWidth="1" style="121" min="4" max="4"/>
    <col width="8.6640625" customWidth="1" style="121" min="5" max="19"/>
    <col hidden="1" width="13" customWidth="1" style="121" min="20" max="20"/>
    <col width="8.6640625" customWidth="1" style="121" min="21" max="16384"/>
  </cols>
  <sheetData>
    <row r="1" ht="17.25" customHeight="1" s="106">
      <c r="A1" s="119" t="inlineStr">
        <is>
          <t>INPUTS — all user-editable assumptions (edit the yellow 'Your input' column)</t>
        </is>
      </c>
    </row>
    <row r="2" ht="15" customHeight="1" s="106">
      <c r="A2" s="122" t="inlineStr">
        <is>
          <t>Recommended values + their basis are shown for reference. Scenario projects are on the 'Scenarios' tab; large capital items on 'Capital_Items'. Results on 'RESULTS'.</t>
        </is>
      </c>
    </row>
    <row r="4" ht="15" customHeight="1" s="106">
      <c r="A4" s="123" t="inlineStr">
        <is>
          <t>Assumption</t>
        </is>
      </c>
      <c r="B4" s="123" t="inlineStr">
        <is>
          <t>Recommended</t>
        </is>
      </c>
      <c r="C4" s="123" t="inlineStr">
        <is>
          <t>Basis / source</t>
        </is>
      </c>
      <c r="D4" s="123" t="inlineStr">
        <is>
          <t>Your input</t>
        </is>
      </c>
    </row>
    <row r="5" ht="15" customHeight="1" s="106">
      <c r="A5" s="124" t="inlineStr">
        <is>
          <t>A. ALLOCATION &amp; TAX RATES</t>
        </is>
      </c>
    </row>
    <row r="6" ht="15" customHeight="1" s="106">
      <c r="A6" s="152" t="inlineStr">
        <is>
          <t>City General Fund share of sales-tax pool</t>
        </is>
      </c>
      <c r="B6" s="126" t="inlineStr">
        <is>
          <t>50%</t>
        </is>
      </c>
      <c r="C6" s="127" t="inlineStr">
        <is>
          <t>User input; no preferred split implied</t>
        </is>
      </c>
      <c r="D6" s="3" t="n">
        <v>0.5</v>
      </c>
    </row>
    <row r="7" ht="15" customHeight="1" s="106">
      <c r="A7" s="152" t="inlineStr">
        <is>
          <t>EDC retention (% of City share)</t>
        </is>
      </c>
      <c r="B7" s="126" t="inlineStr">
        <is>
          <t>0%</t>
        </is>
      </c>
      <c r="C7" s="127" t="inlineStr">
        <is>
          <t>MODELING ASSUMPTION — subject to City Attorney (Tex LGC Ch.505)</t>
        </is>
      </c>
      <c r="D7" s="3" t="n">
        <v>0</v>
      </c>
    </row>
    <row r="8" ht="15" customHeight="1" s="106">
      <c r="A8" s="152" t="inlineStr">
        <is>
          <t>ESD #2 share of sales-tax pool</t>
        </is>
      </c>
      <c r="B8" s="126" t="inlineStr">
        <is>
          <t>50%</t>
        </is>
      </c>
      <c r="C8" s="127" t="inlineStr">
        <is>
          <t>User input; City + ESD must = 100%</t>
        </is>
      </c>
      <c r="D8" s="3" t="n">
        <v>0.5</v>
      </c>
    </row>
    <row r="9" ht="15" customHeight="1" s="106">
      <c r="A9" s="152" t="inlineStr">
        <is>
          <t>Sales-tax pool rate</t>
        </is>
      </c>
      <c r="B9" s="126" t="inlineStr">
        <is>
          <t>1.5%</t>
        </is>
      </c>
      <c r="C9" s="127" t="inlineStr">
        <is>
          <t>Combined-area code 6008609; 2.0% local cap (Tex Tax Ch.321)</t>
        </is>
      </c>
      <c r="D9" s="3" t="n">
        <v>0.015</v>
      </c>
    </row>
    <row r="10" ht="15" customHeight="1" s="106">
      <c r="A10" s="152" t="inlineStr">
        <is>
          <t>City property tax rate (per $1 AV)</t>
        </is>
      </c>
      <c r="B10" s="126" t="inlineStr">
        <is>
          <t>0.0037731</t>
        </is>
      </c>
      <c r="C10" s="127" t="inlineStr">
        <is>
          <t>Sealy FY26 Ord. 2025-24 ($0.37731/$100)</t>
        </is>
      </c>
      <c r="D10" s="4" t="n">
        <v>0.0037731</v>
      </c>
    </row>
    <row r="11" ht="15" customHeight="1" s="106">
      <c r="A11" s="152" t="inlineStr">
        <is>
          <t>ESD #2 property tax rate (per $1 AV)</t>
        </is>
      </c>
      <c r="B11" s="126" t="inlineStr">
        <is>
          <t>0.000931</t>
        </is>
      </c>
      <c r="C11" s="127" t="inlineStr">
        <is>
          <t>ESD #2 2026 ($0.09310/$100); FY25 ACFR confirms</t>
        </is>
      </c>
      <c r="D11" s="4" t="n">
        <v>0.000931</v>
      </c>
    </row>
    <row r="12" ht="15" customHeight="1" s="106">
      <c r="A12" s="124" t="inlineStr">
        <is>
          <t>B. GROWTH &amp; FINANCIAL</t>
        </is>
      </c>
    </row>
    <row r="13" ht="15" customHeight="1" s="106">
      <c r="A13" s="152" t="inlineStr">
        <is>
          <t>Sealy current population</t>
        </is>
      </c>
      <c r="B13" s="126" t="inlineStr">
        <is>
          <t>7,553</t>
        </is>
      </c>
      <c r="C13" s="127" t="inlineStr">
        <is>
          <t>HB1378 §140.008 FY25; FY25 ACFR cross-val</t>
        </is>
      </c>
      <c r="D13" s="5" t="n">
        <v>7553</v>
      </c>
    </row>
    <row r="14" ht="15" customHeight="1" s="106">
      <c r="A14" s="152" t="inlineStr">
        <is>
          <t>Population CAGR</t>
        </is>
      </c>
      <c r="B14" s="126" t="inlineStr">
        <is>
          <t>3.2%</t>
        </is>
      </c>
      <c r="C14" s="127" t="inlineStr">
        <is>
          <t>HB1378 5-yr actual 6,450→7,553</t>
        </is>
      </c>
      <c r="D14" s="3" t="n">
        <v>0.032</v>
      </c>
    </row>
    <row r="15" ht="15" customHeight="1" s="106">
      <c r="A15" s="152" t="inlineStr">
        <is>
          <t>Current annual sales-tax pool ($)</t>
        </is>
      </c>
      <c r="B15" s="126" t="inlineStr">
        <is>
          <t>3,700,000</t>
        </is>
      </c>
      <c r="C15" s="127" t="inlineStr">
        <is>
          <t>FY26 Adopted Budget (conservative floor)</t>
        </is>
      </c>
      <c r="D15" s="6" t="n">
        <v>3700000</v>
      </c>
    </row>
    <row r="16" ht="15" customHeight="1" s="106">
      <c r="A16" s="152" t="inlineStr">
        <is>
          <t>Sales-tax pool CAGR</t>
        </is>
      </c>
      <c r="B16" s="126" t="inlineStr">
        <is>
          <t>6.5%</t>
        </is>
      </c>
      <c r="C16" s="127" t="inlineStr">
        <is>
          <t>Sealy 12-yr Comptroller; 9% high-case sensitivity</t>
        </is>
      </c>
      <c r="D16" s="3" t="n">
        <v>0.065</v>
      </c>
    </row>
    <row r="17" ht="15" customHeight="1" s="106">
      <c r="A17" s="152" t="inlineStr">
        <is>
          <t>Property AV growth CAGR</t>
        </is>
      </c>
      <c r="B17" s="126" t="inlineStr">
        <is>
          <t>6.0%</t>
        </is>
      </c>
      <c r="C17" s="127" t="inlineStr">
        <is>
          <t>HB1378-derived; 5-yr was 7.3% (conservative)</t>
        </is>
      </c>
      <c r="D17" s="3" t="n">
        <v>0.06</v>
      </c>
    </row>
    <row r="18" ht="15" customHeight="1" s="106">
      <c r="A18" s="152" t="inlineStr">
        <is>
          <t>Annexation capture rate</t>
        </is>
      </c>
      <c r="B18" s="126" t="inlineStr">
        <is>
          <t>80%</t>
        </is>
      </c>
      <c r="C18" s="127" t="inlineStr">
        <is>
          <t>Planning benchmark; per-project adjustable</t>
        </is>
      </c>
      <c r="D18" s="3" t="n">
        <v>0.8</v>
      </c>
    </row>
    <row r="19" ht="15" customHeight="1" s="106">
      <c r="A19" s="152" t="inlineStr">
        <is>
          <t>General opex inflation CAGR</t>
        </is>
      </c>
      <c r="B19" s="126" t="inlineStr">
        <is>
          <t>2.5%</t>
        </is>
      </c>
      <c r="C19" s="127" t="inlineStr">
        <is>
          <t>TML benchmark</t>
        </is>
      </c>
      <c r="D19" s="3" t="n">
        <v>0.025</v>
      </c>
    </row>
    <row r="20" ht="15" customHeight="1" s="106">
      <c r="A20" s="152" t="inlineStr">
        <is>
          <t>Capital construction inflation CAGR</t>
        </is>
      </c>
      <c r="B20" s="126" t="inlineStr">
        <is>
          <t>4.5%</t>
        </is>
      </c>
      <c r="C20" s="127" t="inlineStr">
        <is>
          <t>Maxxbuilders TX 2024-2026 (3-6%)</t>
        </is>
      </c>
      <c r="D20" s="3" t="n">
        <v>0.045</v>
      </c>
    </row>
    <row r="21" ht="15" customHeight="1" s="106">
      <c r="A21" s="152" t="inlineStr">
        <is>
          <t>City reserve % (opex+capital basis)</t>
        </is>
      </c>
      <c r="B21" s="126" t="inlineStr">
        <is>
          <t>2.5%</t>
        </is>
      </c>
      <c r="C21" s="127" t="inlineStr">
        <is>
          <t>Planning benchmark</t>
        </is>
      </c>
      <c r="D21" s="3" t="n">
        <v>0.025</v>
      </c>
    </row>
    <row r="22" ht="15" customHeight="1" s="106">
      <c r="A22" s="152" t="inlineStr">
        <is>
          <t>ESD reserve % (opex+capital basis)</t>
        </is>
      </c>
      <c r="B22" s="126" t="inlineStr">
        <is>
          <t>2.5%</t>
        </is>
      </c>
      <c r="C22" s="127" t="inlineStr">
        <is>
          <t>Planning benchmark</t>
        </is>
      </c>
      <c r="D22" s="3" t="n">
        <v>0.025</v>
      </c>
    </row>
    <row r="23" ht="15" customHeight="1" s="106">
      <c r="A23" s="152" t="inlineStr">
        <is>
          <t>Reserve basis includes capital? (1=Yes,0=No)</t>
        </is>
      </c>
      <c r="B23" s="126" t="inlineStr">
        <is>
          <t>1</t>
        </is>
      </c>
      <c r="C23" s="127" t="inlineStr">
        <is>
          <t>Spec #13 Option B</t>
        </is>
      </c>
      <c r="D23" s="7" t="n">
        <v>1</v>
      </c>
    </row>
    <row r="24" ht="15" customHeight="1" s="106">
      <c r="A24" s="152" t="inlineStr">
        <is>
          <t>Property tax collection rate</t>
        </is>
      </c>
      <c r="B24" s="126" t="inlineStr">
        <is>
          <t>100%</t>
        </is>
      </c>
      <c r="C24" s="127" t="inlineStr">
        <is>
          <t>FY25 ACFR collected ~104.6%; default 100%</t>
        </is>
      </c>
      <c r="D24" s="3" t="n">
        <v>1</v>
      </c>
    </row>
    <row r="25" ht="15" customHeight="1" s="106">
      <c r="A25" s="124" t="inlineStr">
        <is>
          <t>C. RESIDENT ONLINE / DELIVERY USE-TAX</t>
        </is>
      </c>
    </row>
    <row r="26" ht="15" customHeight="1" s="106">
      <c r="A26" s="152" t="inlineStr">
        <is>
          <t>SFR occupancy rate</t>
        </is>
      </c>
      <c r="B26" s="126" t="inlineStr">
        <is>
          <t>95%</t>
        </is>
      </c>
      <c r="C26" s="127" t="inlineStr">
        <is>
          <t>Planning benchmark</t>
        </is>
      </c>
      <c r="D26" s="3" t="n">
        <v>0.95</v>
      </c>
    </row>
    <row r="27" ht="15" customHeight="1" s="106">
      <c r="A27" s="152" t="inlineStr">
        <is>
          <t>MFR occupancy rate</t>
        </is>
      </c>
      <c r="B27" s="126" t="inlineStr">
        <is>
          <t>92%</t>
        </is>
      </c>
      <c r="C27" s="127" t="inlineStr">
        <is>
          <t>Retreat at Sealy lease-up</t>
        </is>
      </c>
      <c r="D27" s="3" t="n">
        <v>0.92</v>
      </c>
    </row>
    <row r="28" ht="15" customHeight="1" s="106">
      <c r="A28" s="152" t="inlineStr">
        <is>
          <t>SFR household size</t>
        </is>
      </c>
      <c r="B28" s="126" t="inlineStr">
        <is>
          <t>2.7</t>
        </is>
      </c>
      <c r="C28" s="127" t="inlineStr">
        <is>
          <t>Census-derived</t>
        </is>
      </c>
      <c r="D28" s="8" t="n">
        <v>2.7</v>
      </c>
    </row>
    <row r="29" ht="15" customHeight="1" s="106">
      <c r="A29" s="152" t="inlineStr">
        <is>
          <t>MFR household size</t>
        </is>
      </c>
      <c r="B29" s="126" t="inlineStr">
        <is>
          <t>2.1</t>
        </is>
      </c>
      <c r="C29" s="127" t="inlineStr">
        <is>
          <t>Retreat at Sealy</t>
        </is>
      </c>
      <c r="D29" s="8" t="n">
        <v>2.1</v>
      </c>
    </row>
    <row r="30" ht="15" customHeight="1" s="106">
      <c r="A30" s="152" t="inlineStr">
        <is>
          <t>Online spend per occupied household ($)</t>
        </is>
      </c>
      <c r="B30" s="126" t="inlineStr">
        <is>
          <t>6,000</t>
        </is>
      </c>
      <c r="C30" s="127" t="inlineStr">
        <is>
          <t>Base case; $4K cons / $8K high</t>
        </is>
      </c>
      <c r="D30" s="6" t="n">
        <v>6000</v>
      </c>
    </row>
    <row r="31" ht="15" customHeight="1" s="106">
      <c r="A31" s="152" t="inlineStr">
        <is>
          <t>Taxable share of online spending</t>
        </is>
      </c>
      <c r="B31" s="126" t="inlineStr">
        <is>
          <t>70%</t>
        </is>
      </c>
      <c r="C31" s="127" t="inlineStr">
        <is>
          <t>Marketplace + remote-seller scope</t>
        </is>
      </c>
      <c r="D31" s="3" t="n">
        <v>0.7</v>
      </c>
    </row>
    <row r="32" ht="15" customHeight="1" s="106">
      <c r="A32" s="152" t="inlineStr">
        <is>
          <t>Local address capture factor</t>
        </is>
      </c>
      <c r="B32" s="126" t="inlineStr">
        <is>
          <t>75%</t>
        </is>
      </c>
      <c r="C32" s="127" t="inlineStr">
        <is>
          <t>Destination ship-to to Sealy/ESD combined area</t>
        </is>
      </c>
      <c r="D32" s="3" t="n">
        <v>0.75</v>
      </c>
    </row>
    <row r="33" ht="15" customHeight="1" s="106">
      <c r="A33" s="152" t="inlineStr">
        <is>
          <t>Online spend growth (CAGR)</t>
        </is>
      </c>
      <c r="B33" s="126" t="inlineStr">
        <is>
          <t>4%</t>
        </is>
      </c>
      <c r="C33" s="127" t="inlineStr">
        <is>
          <t>Real growth/HH</t>
        </is>
      </c>
      <c r="D33" s="3" t="n">
        <v>0.04</v>
      </c>
    </row>
    <row r="34" ht="15" customHeight="1" s="106">
      <c r="A34" s="152" t="inlineStr">
        <is>
          <t>Include online use-tax? (1=Yes,0=No)</t>
        </is>
      </c>
      <c r="B34" s="126" t="inlineStr">
        <is>
          <t>1</t>
        </is>
      </c>
      <c r="C34" s="127" t="inlineStr">
        <is>
          <t>Toggle (Test 11/12)</t>
        </is>
      </c>
      <c r="D34" s="7" t="n">
        <v>1</v>
      </c>
    </row>
    <row r="36" ht="15" customHeight="1" s="106">
      <c r="A36" s="124" t="inlineStr">
        <is>
          <t>D. EXEMPTION ADJUSTMENT — effective taxable-value factor (edit % cells; factor = 1 − sum)</t>
        </is>
      </c>
    </row>
    <row r="37" ht="15" customHeight="1" s="106">
      <c r="A37" s="128" t="inlineStr">
        <is>
          <t>Category</t>
        </is>
      </c>
      <c r="B37" s="128" t="inlineStr">
        <is>
          <t>Homestead%</t>
        </is>
      </c>
      <c r="C37" s="128" t="inlineStr">
        <is>
          <t>Over65%</t>
        </is>
      </c>
      <c r="D37" s="128" t="inlineStr">
        <is>
          <t>DisVet%</t>
        </is>
      </c>
      <c r="E37" s="128" t="inlineStr">
        <is>
          <t>Freeport%</t>
        </is>
      </c>
      <c r="F37" s="128" t="inlineStr">
        <is>
          <t>Pollution%</t>
        </is>
      </c>
      <c r="G37" s="128" t="inlineStr">
        <is>
          <t>Other%</t>
        </is>
      </c>
      <c r="H37" s="128" t="inlineStr">
        <is>
          <t>Haircut</t>
        </is>
      </c>
      <c r="I37" s="128" t="inlineStr">
        <is>
          <t>Factor</t>
        </is>
      </c>
      <c r="J37" s="128" t="inlineStr">
        <is>
          <t>ESD Hmstd%</t>
        </is>
      </c>
      <c r="K37" s="128" t="inlineStr">
        <is>
          <t>ESD Ov65%</t>
        </is>
      </c>
      <c r="L37" s="128" t="inlineStr">
        <is>
          <t>ESD DVet%</t>
        </is>
      </c>
      <c r="M37" s="128" t="inlineStr">
        <is>
          <t>ESD Free%</t>
        </is>
      </c>
      <c r="N37" s="128" t="inlineStr">
        <is>
          <t>ESD Poll%</t>
        </is>
      </c>
      <c r="O37" s="128" t="inlineStr">
        <is>
          <t>ESD Other%</t>
        </is>
      </c>
      <c r="P37" s="128" t="inlineStr">
        <is>
          <t>ESD Haircut</t>
        </is>
      </c>
      <c r="Q37" s="128" t="inlineStr">
        <is>
          <t>ESD Factor</t>
        </is>
      </c>
    </row>
    <row r="38" ht="15" customHeight="1" s="106">
      <c r="A38" s="25" t="inlineStr">
        <is>
          <t>Residential</t>
        </is>
      </c>
      <c r="B38" s="129" t="n">
        <v>0</v>
      </c>
      <c r="C38" s="129" t="n">
        <v>0.005</v>
      </c>
      <c r="D38" s="129" t="n">
        <v>0.015</v>
      </c>
      <c r="E38" s="129" t="n">
        <v>0</v>
      </c>
      <c r="F38" s="129" t="n">
        <v>0</v>
      </c>
      <c r="G38" s="129" t="n">
        <v>0</v>
      </c>
      <c r="H38" s="130">
        <f>SUM(B38:G38)</f>
        <v/>
      </c>
      <c r="I38" s="131">
        <f>MAX(0,1-H38)</f>
        <v/>
      </c>
      <c r="J38" s="129" t="n">
        <v>0.015</v>
      </c>
      <c r="K38" s="129" t="n">
        <v>0.005</v>
      </c>
      <c r="L38" s="129" t="n">
        <v>0.015</v>
      </c>
      <c r="M38" s="129" t="n">
        <v>0</v>
      </c>
      <c r="N38" s="129" t="n">
        <v>0</v>
      </c>
      <c r="O38" s="129" t="n">
        <v>0</v>
      </c>
      <c r="P38" s="130">
        <f>SUM(J38:O38)</f>
        <v/>
      </c>
      <c r="Q38" s="131">
        <f>MAX(0,1-P38)</f>
        <v/>
      </c>
    </row>
    <row r="39" ht="15" customHeight="1" s="106">
      <c r="A39" s="25" t="inlineStr">
        <is>
          <t>Commercial</t>
        </is>
      </c>
      <c r="B39" s="129" t="n">
        <v>0</v>
      </c>
      <c r="C39" s="129" t="n">
        <v>0</v>
      </c>
      <c r="D39" s="129" t="n">
        <v>0</v>
      </c>
      <c r="E39" s="129" t="n">
        <v>0</v>
      </c>
      <c r="F39" s="129" t="n">
        <v>0</v>
      </c>
      <c r="G39" s="129" t="n">
        <v>0.01</v>
      </c>
      <c r="H39" s="130">
        <f>SUM(B39:G39)</f>
        <v/>
      </c>
      <c r="I39" s="131">
        <f>MAX(0,1-H39)</f>
        <v/>
      </c>
      <c r="J39" s="129" t="n">
        <v>0</v>
      </c>
      <c r="K39" s="129" t="n">
        <v>0</v>
      </c>
      <c r="L39" s="129" t="n">
        <v>0</v>
      </c>
      <c r="M39" s="129" t="n">
        <v>0</v>
      </c>
      <c r="N39" s="129" t="n">
        <v>0</v>
      </c>
      <c r="O39" s="129" t="n">
        <v>0.01</v>
      </c>
      <c r="P39" s="130">
        <f>SUM(J39:O39)</f>
        <v/>
      </c>
      <c r="Q39" s="131">
        <f>MAX(0,1-P39)</f>
        <v/>
      </c>
    </row>
    <row r="40" ht="15" customHeight="1" s="106">
      <c r="A40" s="25" t="inlineStr">
        <is>
          <t>Industrial</t>
        </is>
      </c>
      <c r="B40" s="129" t="n">
        <v>0</v>
      </c>
      <c r="C40" s="129" t="n">
        <v>0</v>
      </c>
      <c r="D40" s="129" t="n">
        <v>0</v>
      </c>
      <c r="E40" s="129" t="n">
        <v>0.05</v>
      </c>
      <c r="F40" s="129" t="n">
        <v>0.02</v>
      </c>
      <c r="G40" s="129" t="n">
        <v>0.01</v>
      </c>
      <c r="H40" s="130">
        <f>SUM(B40:G40)</f>
        <v/>
      </c>
      <c r="I40" s="131">
        <f>MAX(0,1-H40)</f>
        <v/>
      </c>
      <c r="J40" s="129" t="n">
        <v>0</v>
      </c>
      <c r="K40" s="129" t="n">
        <v>0</v>
      </c>
      <c r="L40" s="129" t="n">
        <v>0</v>
      </c>
      <c r="M40" s="129" t="n">
        <v>0.05</v>
      </c>
      <c r="N40" s="129" t="n">
        <v>0.02</v>
      </c>
      <c r="O40" s="129" t="n">
        <v>0.01</v>
      </c>
      <c r="P40" s="130">
        <f>SUM(J40:O40)</f>
        <v/>
      </c>
      <c r="Q40" s="131">
        <f>MAX(0,1-P40)</f>
        <v/>
      </c>
    </row>
    <row r="41" ht="15" customHeight="1" s="106">
      <c r="A41" s="25" t="inlineStr">
        <is>
          <t>Civic</t>
        </is>
      </c>
      <c r="B41" s="129" t="n">
        <v>0</v>
      </c>
      <c r="C41" s="129" t="n">
        <v>0</v>
      </c>
      <c r="D41" s="129" t="n">
        <v>0</v>
      </c>
      <c r="E41" s="129" t="n">
        <v>0</v>
      </c>
      <c r="F41" s="129" t="n">
        <v>0</v>
      </c>
      <c r="G41" s="129" t="n">
        <v>1</v>
      </c>
      <c r="H41" s="130">
        <f>SUM(B41:G41)</f>
        <v/>
      </c>
      <c r="I41" s="131">
        <f>MAX(0,1-H41)</f>
        <v/>
      </c>
      <c r="J41" s="129" t="n">
        <v>0</v>
      </c>
      <c r="K41" s="129" t="n">
        <v>0</v>
      </c>
      <c r="L41" s="129" t="n">
        <v>0</v>
      </c>
      <c r="M41" s="129" t="n">
        <v>0</v>
      </c>
      <c r="N41" s="129" t="n">
        <v>0</v>
      </c>
      <c r="O41" s="129" t="n">
        <v>1</v>
      </c>
      <c r="P41" s="130">
        <f>SUM(J41:O41)</f>
        <v/>
      </c>
      <c r="Q41" s="131">
        <f>MAX(0,1-P41)</f>
        <v/>
      </c>
    </row>
    <row r="42" ht="15" customHeight="1" s="106">
      <c r="A42" s="25" t="inlineStr">
        <is>
          <t>Vacant</t>
        </is>
      </c>
      <c r="B42" s="129" t="n">
        <v>0</v>
      </c>
      <c r="C42" s="129" t="n">
        <v>0</v>
      </c>
      <c r="D42" s="129" t="n">
        <v>0</v>
      </c>
      <c r="E42" s="129" t="n">
        <v>0</v>
      </c>
      <c r="F42" s="129" t="n">
        <v>0</v>
      </c>
      <c r="G42" s="129" t="n">
        <v>0</v>
      </c>
      <c r="H42" s="130">
        <f>SUM(B42:G42)</f>
        <v/>
      </c>
      <c r="I42" s="131">
        <f>MAX(0,1-H42)</f>
        <v/>
      </c>
      <c r="J42" s="129" t="n">
        <v>0</v>
      </c>
      <c r="K42" s="129" t="n">
        <v>0</v>
      </c>
      <c r="L42" s="129" t="n">
        <v>0</v>
      </c>
      <c r="M42" s="129" t="n">
        <v>0</v>
      </c>
      <c r="N42" s="129" t="n">
        <v>0</v>
      </c>
      <c r="O42" s="129" t="n">
        <v>0</v>
      </c>
      <c r="P42" s="130">
        <f>SUM(J42:O42)</f>
        <v/>
      </c>
      <c r="Q42" s="131">
        <f>MAX(0,1-P42)</f>
        <v/>
      </c>
    </row>
    <row r="44" ht="15" customHeight="1" s="106">
      <c r="A44" s="132" t="inlineStr">
        <is>
          <t>Factors flow to Type coefficients → property tax. City of Sealy: no general homestead. ESD #2: 1% homestead. Confirm vs Austin CAD certified roll.</t>
        </is>
      </c>
    </row>
    <row r="46" ht="15" customHeight="1" s="106">
      <c r="A46" s="124" t="inlineStr">
        <is>
          <t>E. DEVELOPMENT GEOMETRY &amp; INCENTIVES</t>
        </is>
      </c>
    </row>
    <row r="47" ht="36" customHeight="1" s="106">
      <c r="A47" s="40" t="inlineStr">
        <is>
          <t>Floor-Area-Ratio (FAR) for sqft-entered projects</t>
        </is>
      </c>
      <c r="B47" s="153" t="inlineStr">
        <is>
          <t>30%</t>
        </is>
      </c>
      <c r="C47" s="154" t="inlineStr">
        <is>
          <t>Building footprint vs lot area. Applies only when a project is entered by sqft (e.g., 200K sqft ÷ 43,560 ÷ FAR = land acres). Industrial 25–30% typical.</t>
        </is>
      </c>
      <c r="D47" s="155" t="inlineStr">
        <is>
          <t>0.30</t>
        </is>
      </c>
    </row>
    <row r="48" ht="36" customHeight="1" s="106">
      <c r="A48" s="40" t="inlineStr">
        <is>
          <t>New industrial tax abatement %</t>
        </is>
      </c>
      <c r="B48" s="153" t="inlineStr">
        <is>
          <t>0%</t>
        </is>
      </c>
      <c r="C48" s="154" t="inlineStr">
        <is>
          <t>Generic Ch.312-style abatement on NEW industrial taxable value (city &amp; ESD). 0% = full taxation (default). Stress lever only; not tied to any named project.</t>
        </is>
      </c>
      <c r="D48" s="155" t="inlineStr">
        <is>
          <t>0</t>
        </is>
      </c>
    </row>
    <row r="49" ht="24" customHeight="1" s="106">
      <c r="A49" s="40" t="inlineStr">
        <is>
          <t>Industrial abatement term (years)</t>
        </is>
      </c>
      <c r="B49" s="153" t="inlineStr">
        <is>
          <t>10 (max)</t>
        </is>
      </c>
      <c r="C49" s="154" t="inlineStr">
        <is>
          <t>Ch.312 abatements last up to 10 yrs, then full tax resumes (Tex Tax Code §312.204). Applies to city + ESD property tax; not sales tax.</t>
        </is>
      </c>
      <c r="D49" s="156" t="n">
        <v>10</v>
      </c>
    </row>
    <row r="50" ht="24" customHeight="1" s="106">
      <c r="A50" s="40" t="inlineStr">
        <is>
          <t>Water + sewer impact fee per LUE ($)</t>
        </is>
      </c>
      <c r="B50" s="153" t="inlineStr">
        <is>
          <t>$7,165</t>
        </is>
      </c>
      <c r="C50" s="154" t="inlineStr">
        <is>
          <t>Sealy 2018 Strand study: $3,381 water + $3,784 sewer (adopted). Drives Scenario impact fees + Capital LUE triggers.</t>
        </is>
      </c>
      <c r="D50" s="157" t="n">
        <v>7165</v>
      </c>
    </row>
    <row r="52" ht="15" customHeight="1" s="106">
      <c r="A52" s="133" t="inlineStr">
        <is>
          <t>F. SCENARIO PROJECTS — set Active=Yes to include a project. Type &amp; Quantity Type are dropdowns. Manual Acres only to override the lookup.</t>
        </is>
      </c>
    </row>
    <row r="53" ht="36" customFormat="1" customHeight="1" s="168">
      <c r="A53" s="164" t="inlineStr">
        <is>
          <t>Project Name</t>
        </is>
      </c>
      <c r="B53" s="164" t="inlineStr">
        <is>
          <t>Active?</t>
        </is>
      </c>
      <c r="C53" s="164" t="inlineStr">
        <is>
          <t>Development Type</t>
        </is>
      </c>
      <c r="D53" s="164" t="inlineStr">
        <is>
          <t>Quantity Type</t>
        </is>
      </c>
      <c r="E53" s="164" t="inlineStr">
        <is>
          <t>Quantity</t>
        </is>
      </c>
      <c r="F53" s="164" t="inlineStr">
        <is>
          <t>Manual Acres (opt.)</t>
        </is>
      </c>
      <c r="G53" s="164" t="inlineStr">
        <is>
          <t>Start Year</t>
        </is>
      </c>
      <c r="H53" s="164" t="inlineStr">
        <is>
          <t>Buildout Yrs</t>
        </is>
      </c>
      <c r="I53" s="164" t="inlineStr">
        <is>
          <t>Capture %</t>
        </is>
      </c>
      <c r="T53" s="165" t="inlineStr">
        <is>
          <t>(type list)</t>
        </is>
      </c>
    </row>
    <row r="54" ht="15" customHeight="1" s="106">
      <c r="A54" s="118" t="inlineStr">
        <is>
          <t>100-home SFR subdivision</t>
        </is>
      </c>
      <c r="B54" s="9" t="inlineStr">
        <is>
          <t>No</t>
        </is>
      </c>
      <c r="C54" s="9" t="inlineStr">
        <is>
          <t>Single-Family Subdivision</t>
        </is>
      </c>
      <c r="D54" s="9" t="inlineStr">
        <is>
          <t>lots</t>
        </is>
      </c>
      <c r="E54" s="9" t="n">
        <v>100</v>
      </c>
      <c r="F54" s="9" t="n"/>
      <c r="G54" s="9" t="n">
        <v>1</v>
      </c>
      <c r="H54" s="9" t="n">
        <v>5</v>
      </c>
      <c r="I54" s="10" t="n">
        <v>1</v>
      </c>
      <c r="T54" s="134" t="inlineStr">
        <is>
          <t>Single-Family Subdivision</t>
        </is>
      </c>
    </row>
    <row r="55" ht="15" customHeight="1" s="106">
      <c r="A55" s="118" t="inlineStr">
        <is>
          <t>600-lot SFR subdivision</t>
        </is>
      </c>
      <c r="B55" s="9" t="inlineStr">
        <is>
          <t>No</t>
        </is>
      </c>
      <c r="C55" s="9" t="inlineStr">
        <is>
          <t>Single-Family Subdivision</t>
        </is>
      </c>
      <c r="D55" s="9" t="inlineStr">
        <is>
          <t>lots</t>
        </is>
      </c>
      <c r="E55" s="9" t="n">
        <v>600</v>
      </c>
      <c r="F55" s="9" t="n"/>
      <c r="G55" s="9" t="n">
        <v>1</v>
      </c>
      <c r="H55" s="9" t="n">
        <v>8</v>
      </c>
      <c r="I55" s="10" t="n">
        <v>1</v>
      </c>
      <c r="T55" s="134" t="inlineStr">
        <is>
          <t>Single-Family Urban / Patio</t>
        </is>
      </c>
    </row>
    <row r="56" ht="15" customHeight="1" s="106">
      <c r="A56" s="118" t="inlineStr">
        <is>
          <t>20-acre retail center</t>
        </is>
      </c>
      <c r="B56" s="9" t="inlineStr">
        <is>
          <t>Yes</t>
        </is>
      </c>
      <c r="C56" s="9" t="inlineStr">
        <is>
          <t>Retail Center / Strip</t>
        </is>
      </c>
      <c r="D56" s="9" t="inlineStr">
        <is>
          <t>acres</t>
        </is>
      </c>
      <c r="E56" s="9" t="n">
        <v>20</v>
      </c>
      <c r="F56" s="9" t="n"/>
      <c r="G56" s="9" t="n">
        <v>2</v>
      </c>
      <c r="H56" s="9" t="n">
        <v>3</v>
      </c>
      <c r="I56" s="10" t="n">
        <v>1</v>
      </c>
      <c r="T56" s="134" t="inlineStr">
        <is>
          <t>Townhome / Condo</t>
        </is>
      </c>
    </row>
    <row r="57" ht="15" customHeight="1" s="106">
      <c r="A57" s="118" t="inlineStr">
        <is>
          <t>200,000 sqft manufacturing</t>
        </is>
      </c>
      <c r="B57" s="9" t="inlineStr">
        <is>
          <t>No</t>
        </is>
      </c>
      <c r="C57" s="9" t="inlineStr">
        <is>
          <t>Manufacturing</t>
        </is>
      </c>
      <c r="D57" s="9" t="inlineStr">
        <is>
          <t>sqft</t>
        </is>
      </c>
      <c r="E57" s="9" t="n">
        <v>200000</v>
      </c>
      <c r="F57" s="9" t="n"/>
      <c r="G57" s="9" t="n">
        <v>3</v>
      </c>
      <c r="H57" s="9" t="n">
        <v>2</v>
      </c>
      <c r="I57" s="10" t="n">
        <v>1</v>
      </c>
      <c r="T57" s="134" t="inlineStr">
        <is>
          <t>Multifamily Apartments</t>
        </is>
      </c>
    </row>
    <row r="58" ht="15" customHeight="1" s="106">
      <c r="A58" s="118" t="inlineStr">
        <is>
          <t>40-acre industrial / logistics</t>
        </is>
      </c>
      <c r="B58" s="9" t="inlineStr">
        <is>
          <t>No</t>
        </is>
      </c>
      <c r="C58" s="9" t="inlineStr">
        <is>
          <t>Industrial / Logistics</t>
        </is>
      </c>
      <c r="D58" s="9" t="inlineStr">
        <is>
          <t>acres</t>
        </is>
      </c>
      <c r="E58" s="9" t="n">
        <v>40</v>
      </c>
      <c r="F58" s="9" t="n"/>
      <c r="G58" s="9" t="n">
        <v>2</v>
      </c>
      <c r="H58" s="9" t="n">
        <v>4</v>
      </c>
      <c r="I58" s="10" t="n">
        <v>1</v>
      </c>
      <c r="T58" s="134" t="inlineStr">
        <is>
          <t>Big-Box / Anchor Retail</t>
        </is>
      </c>
    </row>
    <row r="59" ht="15" customHeight="1" s="106">
      <c r="A59" s="118" t="inlineStr">
        <is>
          <t>100-room hotel</t>
        </is>
      </c>
      <c r="B59" s="9" t="inlineStr">
        <is>
          <t>No</t>
        </is>
      </c>
      <c r="C59" s="9" t="inlineStr">
        <is>
          <t>Hotel</t>
        </is>
      </c>
      <c r="D59" s="9" t="inlineStr">
        <is>
          <t>rooms</t>
        </is>
      </c>
      <c r="E59" s="9" t="n">
        <v>100</v>
      </c>
      <c r="F59" s="9" t="n"/>
      <c r="G59" s="9" t="n">
        <v>2</v>
      </c>
      <c r="H59" s="9" t="n">
        <v>2</v>
      </c>
      <c r="I59" s="10" t="n">
        <v>1</v>
      </c>
      <c r="T59" s="134" t="inlineStr">
        <is>
          <t>Retail Center / Strip</t>
        </is>
      </c>
    </row>
    <row r="60" ht="15" customHeight="1" s="106">
      <c r="A60" s="118" t="inlineStr">
        <is>
          <t>250-unit multifamily apartments</t>
        </is>
      </c>
      <c r="B60" s="9" t="inlineStr">
        <is>
          <t>No</t>
        </is>
      </c>
      <c r="C60" s="9" t="inlineStr">
        <is>
          <t>Multifamily Apartments</t>
        </is>
      </c>
      <c r="D60" s="9" t="inlineStr">
        <is>
          <t>units</t>
        </is>
      </c>
      <c r="E60" s="9" t="n">
        <v>250</v>
      </c>
      <c r="F60" s="9" t="n"/>
      <c r="G60" s="9" t="n">
        <v>2</v>
      </c>
      <c r="H60" s="9" t="n">
        <v>3</v>
      </c>
      <c r="I60" s="10" t="n">
        <v>1</v>
      </c>
      <c r="T60" s="134" t="inlineStr">
        <is>
          <t>Office / Business Park</t>
        </is>
      </c>
    </row>
    <row r="61" ht="15" customHeight="1" s="106">
      <c r="A61" s="9" t="n"/>
      <c r="B61" s="9" t="inlineStr">
        <is>
          <t>No</t>
        </is>
      </c>
      <c r="C61" s="9" t="n"/>
      <c r="D61" s="9" t="n"/>
      <c r="E61" s="9" t="n"/>
      <c r="F61" s="9" t="n"/>
      <c r="G61" s="9" t="n"/>
      <c r="H61" s="9" t="n"/>
      <c r="I61" s="10" t="n"/>
      <c r="T61" s="134" t="inlineStr">
        <is>
          <t>Hotel</t>
        </is>
      </c>
    </row>
    <row r="62" ht="15" customHeight="1" s="106">
      <c r="A62" s="9" t="n"/>
      <c r="B62" s="9" t="inlineStr">
        <is>
          <t>No</t>
        </is>
      </c>
      <c r="C62" s="9" t="n"/>
      <c r="D62" s="9" t="n"/>
      <c r="E62" s="9" t="n"/>
      <c r="F62" s="9" t="n"/>
      <c r="G62" s="9" t="n"/>
      <c r="H62" s="9" t="n"/>
      <c r="I62" s="10" t="n"/>
      <c r="T62" s="134" t="inlineStr">
        <is>
          <t>Manufacturing</t>
        </is>
      </c>
    </row>
    <row r="63" ht="15" customHeight="1" s="106">
      <c r="A63" s="9" t="n"/>
      <c r="B63" s="9" t="inlineStr">
        <is>
          <t>No</t>
        </is>
      </c>
      <c r="C63" s="9" t="n"/>
      <c r="D63" s="9" t="n"/>
      <c r="E63" s="9" t="n"/>
      <c r="F63" s="9" t="n"/>
      <c r="G63" s="9" t="n"/>
      <c r="H63" s="9" t="n"/>
      <c r="I63" s="10" t="n"/>
      <c r="T63" s="134" t="inlineStr">
        <is>
          <t>Industrial / Logistics</t>
        </is>
      </c>
    </row>
    <row r="64" ht="15" customHeight="1" s="106">
      <c r="A64" s="9" t="n"/>
      <c r="B64" s="9" t="inlineStr">
        <is>
          <t>No</t>
        </is>
      </c>
      <c r="C64" s="9" t="n"/>
      <c r="D64" s="9" t="n"/>
      <c r="E64" s="9" t="n"/>
      <c r="F64" s="9" t="n"/>
      <c r="G64" s="9" t="n"/>
      <c r="H64" s="9" t="n"/>
      <c r="I64" s="10" t="n"/>
      <c r="T64" s="134" t="inlineStr">
        <is>
          <t>Light Industrial / Flex</t>
        </is>
      </c>
    </row>
    <row r="65" ht="15" customHeight="1" s="106">
      <c r="A65" s="9" t="n"/>
      <c r="B65" s="9" t="inlineStr">
        <is>
          <t>No</t>
        </is>
      </c>
      <c r="C65" s="9" t="n"/>
      <c r="D65" s="9" t="n"/>
      <c r="E65" s="9" t="n"/>
      <c r="F65" s="9" t="n"/>
      <c r="G65" s="9" t="n"/>
      <c r="H65" s="9" t="n"/>
      <c r="I65" s="10" t="n"/>
      <c r="T65" s="134" t="inlineStr">
        <is>
          <t>Mixed-Use Pad / Vertical</t>
        </is>
      </c>
    </row>
    <row r="66" ht="15" customHeight="1" s="106">
      <c r="T66" s="134" t="inlineStr">
        <is>
          <t>Civic / Institutional</t>
        </is>
      </c>
    </row>
    <row r="67" ht="15" customHeight="1" s="106">
      <c r="T67" s="134" t="inlineStr">
        <is>
          <t>Parks / Open Space</t>
        </is>
      </c>
    </row>
    <row r="68" ht="15" customHeight="1" s="106">
      <c r="T68" s="134" t="inlineStr">
        <is>
          <t>Vacant / Holding Land</t>
        </is>
      </c>
    </row>
  </sheetData>
  <mergeCells count="8">
    <mergeCell ref="A52:I52"/>
    <mergeCell ref="A1:D1"/>
    <mergeCell ref="A5:D5"/>
    <mergeCell ref="A12:D12"/>
    <mergeCell ref="A25:D25"/>
    <mergeCell ref="A2:D2"/>
    <mergeCell ref="A46:D46"/>
    <mergeCell ref="A36:D36"/>
  </mergeCells>
  <dataValidations count="3">
    <dataValidation sqref="B54:B65" showDropDown="0" showInputMessage="0" showErrorMessage="0" allowBlank="1" type="list">
      <formula1>"Yes,No"</formula1>
      <formula2>0</formula2>
    </dataValidation>
    <dataValidation sqref="D54:D65" showDropDown="0" showInputMessage="0" showErrorMessage="0" allowBlank="1" type="list">
      <formula1>"lots,units,acres,sqft,rooms"</formula1>
      <formula2>0</formula2>
    </dataValidation>
    <dataValidation sqref="C54:C65" showDropDown="0" showInputMessage="0" showErrorMessage="0" allowBlank="1" type="list">
      <formula1>$T$54:$T$68</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9FC5E8"/>
    <outlinePr summaryBelow="1" summaryRight="1"/>
    <pageSetUpPr/>
  </sheetPr>
  <dimension ref="A1:AH37"/>
  <sheetViews>
    <sheetView zoomScaleNormal="100" workbookViewId="0">
      <pane xSplit="2" ySplit="3" topLeftCell="C4" activePane="bottomRight" state="frozen"/>
      <selection pane="topRight" activeCell="C1" sqref="C1"/>
      <selection pane="bottomLeft" activeCell="A4" sqref="A4"/>
      <selection pane="bottomRight" activeCell="N5" sqref="N5"/>
    </sheetView>
  </sheetViews>
  <sheetFormatPr baseColWidth="8" defaultColWidth="8.6640625" defaultRowHeight="13.2"/>
  <cols>
    <col width="57.21875" bestFit="1" customWidth="1" style="106" min="1" max="1"/>
    <col hidden="1" width="8.44140625" customWidth="1" style="106" min="2" max="2"/>
    <col width="22" customWidth="1" style="106" min="3" max="3"/>
    <col width="10" customWidth="1" style="106" min="4" max="4"/>
    <col width="15" customWidth="1" style="106" min="5" max="5"/>
    <col hidden="1" width="8.44140625" customWidth="1" style="106" min="6" max="10"/>
    <col width="11" customWidth="1" style="106" min="11" max="11"/>
    <col width="17" customWidth="1" style="106" min="12" max="12"/>
    <col width="12" customWidth="1" style="106" min="13" max="14"/>
    <col hidden="1" width="8.44140625" customWidth="1" style="106" min="15" max="15"/>
    <col width="15" customWidth="1" style="106" min="16" max="16"/>
    <col width="13" customWidth="1" style="106" min="17" max="17"/>
    <col width="12" customWidth="1" style="106" min="18" max="18"/>
    <col width="15" customWidth="1" style="106" min="19" max="19"/>
    <col width="9" customWidth="1" style="106" min="20" max="20"/>
    <col width="11" customWidth="1" style="106" min="21" max="21"/>
    <col width="9" customWidth="1" style="106" min="22" max="22"/>
    <col hidden="1" width="8.44140625" customWidth="1" style="106" min="23" max="33"/>
    <col width="42" customWidth="1" style="106" min="34" max="34"/>
  </cols>
  <sheetData>
    <row r="1" ht="18" customHeight="1" s="106">
      <c r="A1" s="135" t="inlineStr">
        <is>
          <t>Capital Items — large infrastructure &amp; equipment (set the white cells; results flow to RESULTS)</t>
        </is>
      </c>
      <c r="R1" s="167" t="n"/>
      <c r="S1" s="167" t="n"/>
      <c r="T1" s="167" t="n"/>
      <c r="U1" s="167" t="n"/>
      <c r="V1" s="167" t="n"/>
      <c r="W1" s="167" t="n"/>
      <c r="X1" s="167" t="n"/>
      <c r="Y1" s="167" t="n"/>
      <c r="Z1" s="167" t="n"/>
      <c r="AA1" s="167" t="n"/>
      <c r="AB1" s="167" t="n"/>
      <c r="AC1" s="167" t="n"/>
      <c r="AD1" s="167" t="n"/>
      <c r="AE1" s="167" t="n"/>
      <c r="AF1" s="167" t="n"/>
      <c r="AG1" s="167" t="n"/>
      <c r="AH1" s="167" t="n"/>
    </row>
    <row r="2" ht="37.2" customHeight="1" s="106">
      <c r="A2" s="169" t="inlineStr">
        <is>
          <t>HOW TO READ: Quantities are CUMULATIVE totals at buildout, NOT per-year — a value that's the same across years just means that item is fully built and not still growing. A cost affects City/ESD NET only when 'Include in net?' = Yes AND 'Who pays' = City or ESD (choosing Developer or another payer removes it from the fiscal net). 'How it's paid' = Cash capital (one-time) or Debt service (financed over the term).</t>
        </is>
      </c>
      <c r="R2" s="170" t="n"/>
      <c r="S2" s="170" t="n"/>
      <c r="T2" s="170" t="n"/>
      <c r="U2" s="170" t="n"/>
      <c r="V2" s="170" t="n"/>
      <c r="W2" s="170" t="n"/>
      <c r="X2" s="170" t="n"/>
      <c r="Y2" s="170" t="n"/>
      <c r="Z2" s="170" t="n"/>
      <c r="AA2" s="170" t="n"/>
      <c r="AB2" s="170" t="n"/>
      <c r="AC2" s="170" t="n"/>
      <c r="AD2" s="170" t="n"/>
      <c r="AE2" s="170" t="n"/>
      <c r="AF2" s="170" t="n"/>
      <c r="AG2" s="170" t="n"/>
      <c r="AH2" s="170" t="n"/>
    </row>
    <row r="3" ht="28.5" customHeight="1" s="106">
      <c r="A3" s="11" t="inlineStr">
        <is>
          <t>Item</t>
        </is>
      </c>
      <c r="B3" s="11" t="inlineStr">
        <is>
          <t>Entity</t>
        </is>
      </c>
      <c r="C3" s="171" t="inlineStr">
        <is>
          <t>Driver (what triggers qty)</t>
        </is>
      </c>
      <c r="D3" s="11" t="inlineStr">
        <is>
          <t>Unit</t>
        </is>
      </c>
      <c r="E3" s="171" t="inlineStr">
        <is>
          <t>Typical factor</t>
        </is>
      </c>
      <c r="F3" s="11" t="inlineStr">
        <is>
          <t>5-year auto qty</t>
        </is>
      </c>
      <c r="G3" s="11" t="inlineStr">
        <is>
          <t>10-year auto qty</t>
        </is>
      </c>
      <c r="H3" s="11" t="inlineStr">
        <is>
          <t>15-year auto qty</t>
        </is>
      </c>
      <c r="I3" s="11" t="inlineStr">
        <is>
          <t>20-year auto qty</t>
        </is>
      </c>
      <c r="J3" s="11" t="inlineStr">
        <is>
          <t>30-year auto qty</t>
        </is>
      </c>
      <c r="K3" s="171" t="inlineStr">
        <is>
          <t>Manual qty +/-</t>
        </is>
      </c>
      <c r="L3" s="171" t="inlineStr">
        <is>
          <t>Cumulative quantity (at buildout)</t>
        </is>
      </c>
      <c r="M3" s="171" t="inlineStr">
        <is>
          <t>Unit cost ($)</t>
        </is>
      </c>
      <c r="N3" s="171" t="inlineStr">
        <is>
          <t>Unit cost override</t>
        </is>
      </c>
      <c r="O3" s="11" t="inlineStr">
        <is>
          <t>Manual Total Cost Override</t>
        </is>
      </c>
      <c r="P3" s="171" t="inlineStr">
        <is>
          <t>Total cost (today's $)</t>
        </is>
      </c>
      <c r="Q3" s="171" t="inlineStr">
        <is>
          <t>Who pays</t>
        </is>
      </c>
      <c r="R3" s="171" t="inlineStr">
        <is>
          <t>Include in net?</t>
        </is>
      </c>
      <c r="S3" s="171" t="inlineStr">
        <is>
          <t>How it's paid</t>
        </is>
      </c>
      <c r="T3" s="171" t="inlineStr">
        <is>
          <t>Start year</t>
        </is>
      </c>
      <c r="U3" s="171" t="inlineStr">
        <is>
          <t>Debt term (yrs)</t>
        </is>
      </c>
      <c r="V3" s="171" t="inlineStr">
        <is>
          <t>Debt rate</t>
        </is>
      </c>
      <c r="W3" s="11" t="inlineStr">
        <is>
          <t>Annual Debt Service</t>
        </is>
      </c>
      <c r="X3" s="11" t="inlineStr">
        <is>
          <t>City 5-year impact</t>
        </is>
      </c>
      <c r="Y3" s="11" t="inlineStr">
        <is>
          <t>City 10-year impact</t>
        </is>
      </c>
      <c r="Z3" s="11" t="inlineStr">
        <is>
          <t>City 15-year impact</t>
        </is>
      </c>
      <c r="AA3" s="11" t="inlineStr">
        <is>
          <t>City 20-year impact</t>
        </is>
      </c>
      <c r="AB3" s="11" t="inlineStr">
        <is>
          <t>City 30-year impact</t>
        </is>
      </c>
      <c r="AC3" s="11" t="inlineStr">
        <is>
          <t>ESD 5-year impact</t>
        </is>
      </c>
      <c r="AD3" s="11" t="inlineStr">
        <is>
          <t>ESD 10-year impact</t>
        </is>
      </c>
      <c r="AE3" s="11" t="inlineStr">
        <is>
          <t>ESD 15-year impact</t>
        </is>
      </c>
      <c r="AF3" s="11" t="inlineStr">
        <is>
          <t>ESD 20-year impact</t>
        </is>
      </c>
      <c r="AG3" s="11" t="inlineStr">
        <is>
          <t>ESD 30-year impact</t>
        </is>
      </c>
      <c r="AH3" s="11" t="inlineStr">
        <is>
          <t>Source / Note</t>
        </is>
      </c>
    </row>
    <row r="4" ht="14.25" customHeight="1" s="106">
      <c r="A4" s="105" t="inlineStr">
        <is>
          <t>12-inch water main, transmission</t>
        </is>
      </c>
      <c r="B4" s="105" t="inlineStr">
        <is>
          <t>City</t>
        </is>
      </c>
      <c r="C4" s="105" t="inlineStr">
        <is>
          <t>captured acres</t>
        </is>
      </c>
      <c r="D4" s="105" t="inlineStr">
        <is>
          <t>linear ft</t>
        </is>
      </c>
      <c r="E4" s="105" t="inlineStr">
        <is>
          <t>60 LF/ac</t>
        </is>
      </c>
      <c r="F4" s="172">
        <f>'03_Multi_Horizon_Results'!$B$5*'12_Takeoff_Assumptions'!$B$3</f>
        <v/>
      </c>
      <c r="G4" s="172">
        <f>'03_Multi_Horizon_Results'!$C$5*'12_Takeoff_Assumptions'!$B$3</f>
        <v/>
      </c>
      <c r="H4" s="172">
        <f>'03_Multi_Horizon_Results'!$D$5*'12_Takeoff_Assumptions'!$B$3</f>
        <v/>
      </c>
      <c r="I4" s="172">
        <f>'03_Multi_Horizon_Results'!$E$5*'12_Takeoff_Assumptions'!$B$3</f>
        <v/>
      </c>
      <c r="J4" s="172">
        <f>'03_Multi_Horizon_Results'!$F$5*'12_Takeoff_Assumptions'!$B$3</f>
        <v/>
      </c>
      <c r="K4" s="173" t="n"/>
      <c r="L4" s="172">
        <f>MAX(0,N(G4)+N(K4))</f>
        <v/>
      </c>
      <c r="M4" s="174" t="n">
        <v>600</v>
      </c>
      <c r="N4" s="175" t="n"/>
      <c r="O4" s="175" t="n"/>
      <c r="P4" s="174">
        <f>IFERROR(IF(O4&lt;&gt;"",O4,L4*IF(N4&lt;&gt;"",N4,M4)),0)</f>
        <v/>
      </c>
      <c r="Q4" s="176" t="inlineStr">
        <is>
          <t>City</t>
        </is>
      </c>
      <c r="R4" s="177" t="inlineStr">
        <is>
          <t>No</t>
        </is>
      </c>
      <c r="S4" s="177" t="inlineStr">
        <is>
          <t>Debt service</t>
        </is>
      </c>
      <c r="T4" s="177" t="n">
        <v>1</v>
      </c>
      <c r="U4" s="177" t="n">
        <v>20</v>
      </c>
      <c r="V4" s="178" t="n">
        <v>0.045</v>
      </c>
      <c r="W4" s="159">
        <f>IFERROR(IF(AND(R4="Yes",S4="Debt service",U4&gt;0),IF(V4=0,P4/U4,P4*V4/(1-(1+V4)^(-U4))),0),0)</f>
        <v/>
      </c>
      <c r="X4" s="179">
        <f>IFERROR(IF(OR(R4&lt;&gt;"Yes",Q4&lt;&gt;"City"),0,IF(S4="Cash capital",IF(T4&lt;=5,IF(O4&lt;&gt;"",O4,MAX(0,N(F4)+N(K4))*IF(N4&lt;&gt;"",N4,M4)),0),IF(S4="Debt service",IF(T4&gt;5,0,W4*MAX(0,MIN(5-T4+1,U4))),IF(OR(S4="Annual O&amp;M",S4="Maintenance-only"),IF(T4&gt;5,0,IF(O4&lt;&gt;"",O4,MAX(0,N(F4)+N(K4))*IF(N4&lt;&gt;"",N4,M4))*MAX(0,5-T4+1)),0)))),0)</f>
        <v/>
      </c>
      <c r="Y4" s="179">
        <f>IFERROR(IF(OR(R4&lt;&gt;"Yes",Q4&lt;&gt;"City"),0,IF(S4="Cash capital",IF(T4&lt;=10,IF(O4&lt;&gt;"",O4,MAX(0,N(G4)+N(K4))*IF(N4&lt;&gt;"",N4,M4)),0),IF(S4="Debt service",IF(T4&gt;10,0,W4*MAX(0,MIN(10-T4+1,U4))),IF(OR(S4="Annual O&amp;M",S4="Maintenance-only"),IF(T4&gt;10,0,IF(O4&lt;&gt;"",O4,MAX(0,N(G4)+N(K4))*IF(N4&lt;&gt;"",N4,M4))*MAX(0,10-T4+1)),0)))),0)</f>
        <v/>
      </c>
      <c r="Z4" s="179">
        <f>IFERROR(IF(OR(R4&lt;&gt;"Yes",Q4&lt;&gt;"City"),0,IF(S4="Cash capital",IF(T4&lt;=15,IF(O4&lt;&gt;"",O4,MAX(0,N(H4)+N(K4))*IF(N4&lt;&gt;"",N4,M4)),0),IF(S4="Debt service",IF(T4&gt;15,0,W4*MAX(0,MIN(15-T4+1,U4))),IF(OR(S4="Annual O&amp;M",S4="Maintenance-only"),IF(T4&gt;15,0,IF(O4&lt;&gt;"",O4,MAX(0,N(H4)+N(K4))*IF(N4&lt;&gt;"",N4,M4))*MAX(0,15-T4+1)),0)))),0)</f>
        <v/>
      </c>
      <c r="AA4" s="179">
        <f>IFERROR(IF(OR(R4&lt;&gt;"Yes",Q4&lt;&gt;"City"),0,IF(S4="Cash capital",IF(T4&lt;=20,IF(O4&lt;&gt;"",O4,MAX(0,N(I4)+N(K4))*IF(N4&lt;&gt;"",N4,M4)),0),IF(S4="Debt service",IF(T4&gt;20,0,W4*MAX(0,MIN(20-T4+1,U4))),IF(OR(S4="Annual O&amp;M",S4="Maintenance-only"),IF(T4&gt;20,0,IF(O4&lt;&gt;"",O4,MAX(0,N(I4)+N(K4))*IF(N4&lt;&gt;"",N4,M4))*MAX(0,20-T4+1)),0)))),0)</f>
        <v/>
      </c>
      <c r="AB4" s="179">
        <f>IFERROR(IF(OR(R4&lt;&gt;"Yes",Q4&lt;&gt;"City"),0,IF(S4="Cash capital",IF(T4&lt;=30,IF(O4&lt;&gt;"",O4,MAX(0,N(J4)+N(K4))*IF(N4&lt;&gt;"",N4,M4)),0),IF(S4="Debt service",IF(T4&gt;30,0,W4*MAX(0,MIN(30-T4+1,U4))),IF(OR(S4="Annual O&amp;M",S4="Maintenance-only"),IF(T4&gt;30,0,IF(O4&lt;&gt;"",O4,MAX(0,N(J4)+N(K4))*IF(N4&lt;&gt;"",N4,M4))*MAX(0,30-T4+1)),0)))),0)</f>
        <v/>
      </c>
      <c r="AC4" s="179">
        <f>IFERROR(IF(OR(R4&lt;&gt;"Yes",Q4&lt;&gt;"ESD"),0,IF(S4="Cash capital",IF(T4&lt;=5,IF(O4&lt;&gt;"",O4,MAX(0,N(F4)+N(K4))*IF(N4&lt;&gt;"",N4,M4)),0),IF(S4="Debt service",IF(T4&gt;5,0,W4*MAX(0,MIN(5-T4+1,U4))),IF(OR(S4="Annual O&amp;M",S4="Maintenance-only"),IF(T4&gt;5,0,IF(O4&lt;&gt;"",O4,MAX(0,N(F4)+N(K4))*IF(N4&lt;&gt;"",N4,M4))*MAX(0,5-T4+1)),0)))),0)</f>
        <v/>
      </c>
      <c r="AD4" s="179">
        <f>IFERROR(IF(OR(R4&lt;&gt;"Yes",Q4&lt;&gt;"ESD"),0,IF(S4="Cash capital",IF(T4&lt;=10,IF(O4&lt;&gt;"",O4,MAX(0,N(G4)+N(K4))*IF(N4&lt;&gt;"",N4,M4)),0),IF(S4="Debt service",IF(T4&gt;10,0,W4*MAX(0,MIN(10-T4+1,U4))),IF(OR(S4="Annual O&amp;M",S4="Maintenance-only"),IF(T4&gt;10,0,IF(O4&lt;&gt;"",O4,MAX(0,N(G4)+N(K4))*IF(N4&lt;&gt;"",N4,M4))*MAX(0,10-T4+1)),0)))),0)</f>
        <v/>
      </c>
      <c r="AE4" s="179">
        <f>IFERROR(IF(OR(R4&lt;&gt;"Yes",Q4&lt;&gt;"ESD"),0,IF(S4="Cash capital",IF(T4&lt;=15,IF(O4&lt;&gt;"",O4,MAX(0,N(H4)+N(K4))*IF(N4&lt;&gt;"",N4,M4)),0),IF(S4="Debt service",IF(T4&gt;15,0,W4*MAX(0,MIN(15-T4+1,U4))),IF(OR(S4="Annual O&amp;M",S4="Maintenance-only"),IF(T4&gt;15,0,IF(O4&lt;&gt;"",O4,MAX(0,N(H4)+N(K4))*IF(N4&lt;&gt;"",N4,M4))*MAX(0,15-T4+1)),0)))),0)</f>
        <v/>
      </c>
      <c r="AF4" s="179">
        <f>IFERROR(IF(OR(R4&lt;&gt;"Yes",Q4&lt;&gt;"ESD"),0,IF(S4="Cash capital",IF(T4&lt;=20,IF(O4&lt;&gt;"",O4,MAX(0,N(I4)+N(K4))*IF(N4&lt;&gt;"",N4,M4)),0),IF(S4="Debt service",IF(T4&gt;20,0,W4*MAX(0,MIN(20-T4+1,U4))),IF(OR(S4="Annual O&amp;M",S4="Maintenance-only"),IF(T4&gt;20,0,IF(O4&lt;&gt;"",O4,MAX(0,N(I4)+N(K4))*IF(N4&lt;&gt;"",N4,M4))*MAX(0,20-T4+1)),0)))),0)</f>
        <v/>
      </c>
      <c r="AG4" s="179">
        <f>IFERROR(IF(OR(R4&lt;&gt;"Yes",Q4&lt;&gt;"ESD"),0,IF(S4="Cash capital",IF(T4&lt;=30,IF(O4&lt;&gt;"",O4,MAX(0,N(J4)+N(K4))*IF(N4&lt;&gt;"",N4,M4)),0),IF(S4="Debt service",IF(T4&gt;30,0,W4*MAX(0,MIN(30-T4+1,U4))),IF(OR(S4="Annual O&amp;M",S4="Maintenance-only"),IF(T4&gt;30,0,IF(O4&lt;&gt;"",O4,MAX(0,N(J4)+N(K4))*IF(N4&lt;&gt;"",N4,M4))*MAX(0,30-T4+1)),0)))),0)</f>
        <v/>
      </c>
      <c r="AH4" s="188" t="inlineStr">
        <is>
          <t>Planning allowance for trunk/looping needs; engineer/Public Works validation required.</t>
        </is>
      </c>
    </row>
    <row r="5" ht="14.25" customHeight="1" s="106">
      <c r="A5" s="105" t="inlineStr">
        <is>
          <t>8-inch water main, distribution</t>
        </is>
      </c>
      <c r="B5" s="105" t="inlineStr">
        <is>
          <t>City</t>
        </is>
      </c>
      <c r="C5" s="105" t="inlineStr">
        <is>
          <t>captured acres</t>
        </is>
      </c>
      <c r="D5" s="105" t="inlineStr">
        <is>
          <t>linear ft</t>
        </is>
      </c>
      <c r="E5" s="105" t="inlineStr">
        <is>
          <t>400 LF/ac</t>
        </is>
      </c>
      <c r="F5" s="172">
        <f>'03_Multi_Horizon_Results'!$B$5*'12_Takeoff_Assumptions'!$B$2</f>
        <v/>
      </c>
      <c r="G5" s="172">
        <f>'03_Multi_Horizon_Results'!$C$5*'12_Takeoff_Assumptions'!$B$2</f>
        <v/>
      </c>
      <c r="H5" s="172">
        <f>'03_Multi_Horizon_Results'!$D$5*'12_Takeoff_Assumptions'!$B$2</f>
        <v/>
      </c>
      <c r="I5" s="172">
        <f>'03_Multi_Horizon_Results'!$E$5*'12_Takeoff_Assumptions'!$B$2</f>
        <v/>
      </c>
      <c r="J5" s="172">
        <f>'03_Multi_Horizon_Results'!$F$5*'12_Takeoff_Assumptions'!$B$2</f>
        <v/>
      </c>
      <c r="K5" s="173" t="n"/>
      <c r="L5" s="172">
        <f>MAX(0,N(G5)+N(K5))</f>
        <v/>
      </c>
      <c r="M5" s="174" t="n">
        <v>250</v>
      </c>
      <c r="N5" s="175" t="n"/>
      <c r="O5" s="175" t="n"/>
      <c r="P5" s="174">
        <f>IFERROR(IF(O5&lt;&gt;"",O5,L5*IF(N5&lt;&gt;"",N5,M5)),0)</f>
        <v/>
      </c>
      <c r="Q5" s="176" t="inlineStr">
        <is>
          <t>City</t>
        </is>
      </c>
      <c r="R5" s="177" t="inlineStr">
        <is>
          <t>No</t>
        </is>
      </c>
      <c r="S5" s="177" t="inlineStr">
        <is>
          <t>Debt service</t>
        </is>
      </c>
      <c r="T5" s="177" t="n">
        <v>1</v>
      </c>
      <c r="U5" s="177" t="n">
        <v>20</v>
      </c>
      <c r="V5" s="178" t="n">
        <v>0.045</v>
      </c>
      <c r="W5" s="159">
        <f>IFERROR(IF(AND(R5="Yes",S5="Debt service",U5&gt;0),IF(V5=0,P5/U5,P5*V5/(1-(1+V5)^(-U5))),0),0)</f>
        <v/>
      </c>
      <c r="X5" s="179">
        <f>IFERROR(IF(OR(R5&lt;&gt;"Yes",Q5&lt;&gt;"City"),0,IF(S5="Cash capital",IF(T5&lt;=5,IF(O5&lt;&gt;"",O5,MAX(0,N(F5)+N(K5))*IF(N5&lt;&gt;"",N5,M5)),0),IF(S5="Debt service",IF(T5&gt;5,0,W5*MAX(0,MIN(5-T5+1,U5))),IF(OR(S5="Annual O&amp;M",S5="Maintenance-only"),IF(T5&gt;5,0,IF(O5&lt;&gt;"",O5,MAX(0,N(F5)+N(K5))*IF(N5&lt;&gt;"",N5,M5))*MAX(0,5-T5+1)),0)))),0)</f>
        <v/>
      </c>
      <c r="Y5" s="179">
        <f>IFERROR(IF(OR(R5&lt;&gt;"Yes",Q5&lt;&gt;"City"),0,IF(S5="Cash capital",IF(T5&lt;=10,IF(O5&lt;&gt;"",O5,MAX(0,N(G5)+N(K5))*IF(N5&lt;&gt;"",N5,M5)),0),IF(S5="Debt service",IF(T5&gt;10,0,W5*MAX(0,MIN(10-T5+1,U5))),IF(OR(S5="Annual O&amp;M",S5="Maintenance-only"),IF(T5&gt;10,0,IF(O5&lt;&gt;"",O5,MAX(0,N(G5)+N(K5))*IF(N5&lt;&gt;"",N5,M5))*MAX(0,10-T5+1)),0)))),0)</f>
        <v/>
      </c>
      <c r="Z5" s="179">
        <f>IFERROR(IF(OR(R5&lt;&gt;"Yes",Q5&lt;&gt;"City"),0,IF(S5="Cash capital",IF(T5&lt;=15,IF(O5&lt;&gt;"",O5,MAX(0,N(H5)+N(K5))*IF(N5&lt;&gt;"",N5,M5)),0),IF(S5="Debt service",IF(T5&gt;15,0,W5*MAX(0,MIN(15-T5+1,U5))),IF(OR(S5="Annual O&amp;M",S5="Maintenance-only"),IF(T5&gt;15,0,IF(O5&lt;&gt;"",O5,MAX(0,N(H5)+N(K5))*IF(N5&lt;&gt;"",N5,M5))*MAX(0,15-T5+1)),0)))),0)</f>
        <v/>
      </c>
      <c r="AA5" s="179">
        <f>IFERROR(IF(OR(R5&lt;&gt;"Yes",Q5&lt;&gt;"City"),0,IF(S5="Cash capital",IF(T5&lt;=20,IF(O5&lt;&gt;"",O5,MAX(0,N(I5)+N(K5))*IF(N5&lt;&gt;"",N5,M5)),0),IF(S5="Debt service",IF(T5&gt;20,0,W5*MAX(0,MIN(20-T5+1,U5))),IF(OR(S5="Annual O&amp;M",S5="Maintenance-only"),IF(T5&gt;20,0,IF(O5&lt;&gt;"",O5,MAX(0,N(I5)+N(K5))*IF(N5&lt;&gt;"",N5,M5))*MAX(0,20-T5+1)),0)))),0)</f>
        <v/>
      </c>
      <c r="AB5" s="179">
        <f>IFERROR(IF(OR(R5&lt;&gt;"Yes",Q5&lt;&gt;"City"),0,IF(S5="Cash capital",IF(T5&lt;=30,IF(O5&lt;&gt;"",O5,MAX(0,N(J5)+N(K5))*IF(N5&lt;&gt;"",N5,M5)),0),IF(S5="Debt service",IF(T5&gt;30,0,W5*MAX(0,MIN(30-T5+1,U5))),IF(OR(S5="Annual O&amp;M",S5="Maintenance-only"),IF(T5&gt;30,0,IF(O5&lt;&gt;"",O5,MAX(0,N(J5)+N(K5))*IF(N5&lt;&gt;"",N5,M5))*MAX(0,30-T5+1)),0)))),0)</f>
        <v/>
      </c>
      <c r="AC5" s="179">
        <f>IFERROR(IF(OR(R5&lt;&gt;"Yes",Q5&lt;&gt;"ESD"),0,IF(S5="Cash capital",IF(T5&lt;=5,IF(O5&lt;&gt;"",O5,MAX(0,N(F5)+N(K5))*IF(N5&lt;&gt;"",N5,M5)),0),IF(S5="Debt service",IF(T5&gt;5,0,W5*MAX(0,MIN(5-T5+1,U5))),IF(OR(S5="Annual O&amp;M",S5="Maintenance-only"),IF(T5&gt;5,0,IF(O5&lt;&gt;"",O5,MAX(0,N(F5)+N(K5))*IF(N5&lt;&gt;"",N5,M5))*MAX(0,5-T5+1)),0)))),0)</f>
        <v/>
      </c>
      <c r="AD5" s="179">
        <f>IFERROR(IF(OR(R5&lt;&gt;"Yes",Q5&lt;&gt;"ESD"),0,IF(S5="Cash capital",IF(T5&lt;=10,IF(O5&lt;&gt;"",O5,MAX(0,N(G5)+N(K5))*IF(N5&lt;&gt;"",N5,M5)),0),IF(S5="Debt service",IF(T5&gt;10,0,W5*MAX(0,MIN(10-T5+1,U5))),IF(OR(S5="Annual O&amp;M",S5="Maintenance-only"),IF(T5&gt;10,0,IF(O5&lt;&gt;"",O5,MAX(0,N(G5)+N(K5))*IF(N5&lt;&gt;"",N5,M5))*MAX(0,10-T5+1)),0)))),0)</f>
        <v/>
      </c>
      <c r="AE5" s="179">
        <f>IFERROR(IF(OR(R5&lt;&gt;"Yes",Q5&lt;&gt;"ESD"),0,IF(S5="Cash capital",IF(T5&lt;=15,IF(O5&lt;&gt;"",O5,MAX(0,N(H5)+N(K5))*IF(N5&lt;&gt;"",N5,M5)),0),IF(S5="Debt service",IF(T5&gt;15,0,W5*MAX(0,MIN(15-T5+1,U5))),IF(OR(S5="Annual O&amp;M",S5="Maintenance-only"),IF(T5&gt;15,0,IF(O5&lt;&gt;"",O5,MAX(0,N(H5)+N(K5))*IF(N5&lt;&gt;"",N5,M5))*MAX(0,15-T5+1)),0)))),0)</f>
        <v/>
      </c>
      <c r="AF5" s="179">
        <f>IFERROR(IF(OR(R5&lt;&gt;"Yes",Q5&lt;&gt;"ESD"),0,IF(S5="Cash capital",IF(T5&lt;=20,IF(O5&lt;&gt;"",O5,MAX(0,N(I5)+N(K5))*IF(N5&lt;&gt;"",N5,M5)),0),IF(S5="Debt service",IF(T5&gt;20,0,W5*MAX(0,MIN(20-T5+1,U5))),IF(OR(S5="Annual O&amp;M",S5="Maintenance-only"),IF(T5&gt;20,0,IF(O5&lt;&gt;"",O5,MAX(0,N(I5)+N(K5))*IF(N5&lt;&gt;"",N5,M5))*MAX(0,20-T5+1)),0)))),0)</f>
        <v/>
      </c>
      <c r="AG5" s="179">
        <f>IFERROR(IF(OR(R5&lt;&gt;"Yes",Q5&lt;&gt;"ESD"),0,IF(S5="Cash capital",IF(T5&lt;=30,IF(O5&lt;&gt;"",O5,MAX(0,N(J5)+N(K5))*IF(N5&lt;&gt;"",N5,M5)),0),IF(S5="Debt service",IF(T5&gt;30,0,W5*MAX(0,MIN(30-T5+1,U5))),IF(OR(S5="Annual O&amp;M",S5="Maintenance-only"),IF(T5&gt;30,0,IF(O5&lt;&gt;"",O5,MAX(0,N(J5)+N(K5))*IF(N5&lt;&gt;"",N5,M5))*MAX(0,30-T5+1)),0)))),0)</f>
        <v/>
      </c>
      <c r="AH5" s="188" t="inlineStr">
        <is>
          <t>Subdivision/internal water distribution planning allowance; actual plat should override.</t>
        </is>
      </c>
    </row>
    <row r="6" ht="28.5" customHeight="1" s="106">
      <c r="A6" s="105" t="inlineStr">
        <is>
          <t>Fire hydrants</t>
        </is>
      </c>
      <c r="B6" s="105" t="inlineStr">
        <is>
          <t>City</t>
        </is>
      </c>
      <c r="C6" s="105" t="inlineStr">
        <is>
          <t>water distribution LF</t>
        </is>
      </c>
      <c r="D6" s="105" t="inlineStr">
        <is>
          <t>each</t>
        </is>
      </c>
      <c r="E6" s="105" t="inlineStr">
        <is>
          <t>hydrant spacing 500 LF</t>
        </is>
      </c>
      <c r="F6" s="172">
        <f>IFERROR(ROUNDUP(('03_Multi_Horizon_Results'!$B$5*'12_Takeoff_Assumptions'!$B$2)/'12_Takeoff_Assumptions'!$B$9,0),0)</f>
        <v/>
      </c>
      <c r="G6" s="172">
        <f>IFERROR(ROUNDUP(('03_Multi_Horizon_Results'!$C$5*'12_Takeoff_Assumptions'!$B$2)/'12_Takeoff_Assumptions'!$B$9,0),0)</f>
        <v/>
      </c>
      <c r="H6" s="172">
        <f>IFERROR(ROUNDUP(('03_Multi_Horizon_Results'!$D$5*'12_Takeoff_Assumptions'!$B$2)/'12_Takeoff_Assumptions'!$B$9,0),0)</f>
        <v/>
      </c>
      <c r="I6" s="172">
        <f>IFERROR(ROUNDUP(('03_Multi_Horizon_Results'!$E$5*'12_Takeoff_Assumptions'!$B$2)/'12_Takeoff_Assumptions'!$B$9,0),0)</f>
        <v/>
      </c>
      <c r="J6" s="172">
        <f>IFERROR(ROUNDUP(('03_Multi_Horizon_Results'!$F$5*'12_Takeoff_Assumptions'!$B$2)/'12_Takeoff_Assumptions'!$B$9,0),0)</f>
        <v/>
      </c>
      <c r="K6" s="173" t="n"/>
      <c r="L6" s="172">
        <f>MAX(0,N(G6)+N(K6))</f>
        <v/>
      </c>
      <c r="M6" s="174" t="n">
        <v>7500</v>
      </c>
      <c r="N6" s="175" t="n"/>
      <c r="O6" s="175" t="n"/>
      <c r="P6" s="174">
        <f>IFERROR(IF(O6&lt;&gt;"",O6,L6*IF(N6&lt;&gt;"",N6,M6)),0)</f>
        <v/>
      </c>
      <c r="Q6" s="176" t="inlineStr">
        <is>
          <t>City</t>
        </is>
      </c>
      <c r="R6" s="177" t="inlineStr">
        <is>
          <t>No</t>
        </is>
      </c>
      <c r="S6" s="177" t="inlineStr">
        <is>
          <t>Debt service</t>
        </is>
      </c>
      <c r="T6" s="177" t="n">
        <v>1</v>
      </c>
      <c r="U6" s="177" t="n">
        <v>20</v>
      </c>
      <c r="V6" s="178" t="n">
        <v>0.045</v>
      </c>
      <c r="W6" s="159">
        <f>IFERROR(IF(AND(R6="Yes",S6="Debt service",U6&gt;0),IF(V6=0,P6/U6,P6*V6/(1-(1+V6)^(-U6))),0),0)</f>
        <v/>
      </c>
      <c r="X6" s="179">
        <f>IFERROR(IF(OR(R6&lt;&gt;"Yes",Q6&lt;&gt;"City"),0,IF(S6="Cash capital",IF(T6&lt;=5,IF(O6&lt;&gt;"",O6,MAX(0,N(F6)+N(K6))*IF(N6&lt;&gt;"",N6,M6)),0),IF(S6="Debt service",IF(T6&gt;5,0,W6*MAX(0,MIN(5-T6+1,U6))),IF(OR(S6="Annual O&amp;M",S6="Maintenance-only"),IF(T6&gt;5,0,IF(O6&lt;&gt;"",O6,MAX(0,N(F6)+N(K6))*IF(N6&lt;&gt;"",N6,M6))*MAX(0,5-T6+1)),0)))),0)</f>
        <v/>
      </c>
      <c r="Y6" s="179">
        <f>IFERROR(IF(OR(R6&lt;&gt;"Yes",Q6&lt;&gt;"City"),0,IF(S6="Cash capital",IF(T6&lt;=10,IF(O6&lt;&gt;"",O6,MAX(0,N(G6)+N(K6))*IF(N6&lt;&gt;"",N6,M6)),0),IF(S6="Debt service",IF(T6&gt;10,0,W6*MAX(0,MIN(10-T6+1,U6))),IF(OR(S6="Annual O&amp;M",S6="Maintenance-only"),IF(T6&gt;10,0,IF(O6&lt;&gt;"",O6,MAX(0,N(G6)+N(K6))*IF(N6&lt;&gt;"",N6,M6))*MAX(0,10-T6+1)),0)))),0)</f>
        <v/>
      </c>
      <c r="Z6" s="179">
        <f>IFERROR(IF(OR(R6&lt;&gt;"Yes",Q6&lt;&gt;"City"),0,IF(S6="Cash capital",IF(T6&lt;=15,IF(O6&lt;&gt;"",O6,MAX(0,N(H6)+N(K6))*IF(N6&lt;&gt;"",N6,M6)),0),IF(S6="Debt service",IF(T6&gt;15,0,W6*MAX(0,MIN(15-T6+1,U6))),IF(OR(S6="Annual O&amp;M",S6="Maintenance-only"),IF(T6&gt;15,0,IF(O6&lt;&gt;"",O6,MAX(0,N(H6)+N(K6))*IF(N6&lt;&gt;"",N6,M6))*MAX(0,15-T6+1)),0)))),0)</f>
        <v/>
      </c>
      <c r="AA6" s="179">
        <f>IFERROR(IF(OR(R6&lt;&gt;"Yes",Q6&lt;&gt;"City"),0,IF(S6="Cash capital",IF(T6&lt;=20,IF(O6&lt;&gt;"",O6,MAX(0,N(I6)+N(K6))*IF(N6&lt;&gt;"",N6,M6)),0),IF(S6="Debt service",IF(T6&gt;20,0,W6*MAX(0,MIN(20-T6+1,U6))),IF(OR(S6="Annual O&amp;M",S6="Maintenance-only"),IF(T6&gt;20,0,IF(O6&lt;&gt;"",O6,MAX(0,N(I6)+N(K6))*IF(N6&lt;&gt;"",N6,M6))*MAX(0,20-T6+1)),0)))),0)</f>
        <v/>
      </c>
      <c r="AB6" s="179">
        <f>IFERROR(IF(OR(R6&lt;&gt;"Yes",Q6&lt;&gt;"City"),0,IF(S6="Cash capital",IF(T6&lt;=30,IF(O6&lt;&gt;"",O6,MAX(0,N(J6)+N(K6))*IF(N6&lt;&gt;"",N6,M6)),0),IF(S6="Debt service",IF(T6&gt;30,0,W6*MAX(0,MIN(30-T6+1,U6))),IF(OR(S6="Annual O&amp;M",S6="Maintenance-only"),IF(T6&gt;30,0,IF(O6&lt;&gt;"",O6,MAX(0,N(J6)+N(K6))*IF(N6&lt;&gt;"",N6,M6))*MAX(0,30-T6+1)),0)))),0)</f>
        <v/>
      </c>
      <c r="AC6" s="179">
        <f>IFERROR(IF(OR(R6&lt;&gt;"Yes",Q6&lt;&gt;"ESD"),0,IF(S6="Cash capital",IF(T6&lt;=5,IF(O6&lt;&gt;"",O6,MAX(0,N(F6)+N(K6))*IF(N6&lt;&gt;"",N6,M6)),0),IF(S6="Debt service",IF(T6&gt;5,0,W6*MAX(0,MIN(5-T6+1,U6))),IF(OR(S6="Annual O&amp;M",S6="Maintenance-only"),IF(T6&gt;5,0,IF(O6&lt;&gt;"",O6,MAX(0,N(F6)+N(K6))*IF(N6&lt;&gt;"",N6,M6))*MAX(0,5-T6+1)),0)))),0)</f>
        <v/>
      </c>
      <c r="AD6" s="179">
        <f>IFERROR(IF(OR(R6&lt;&gt;"Yes",Q6&lt;&gt;"ESD"),0,IF(S6="Cash capital",IF(T6&lt;=10,IF(O6&lt;&gt;"",O6,MAX(0,N(G6)+N(K6))*IF(N6&lt;&gt;"",N6,M6)),0),IF(S6="Debt service",IF(T6&gt;10,0,W6*MAX(0,MIN(10-T6+1,U6))),IF(OR(S6="Annual O&amp;M",S6="Maintenance-only"),IF(T6&gt;10,0,IF(O6&lt;&gt;"",O6,MAX(0,N(G6)+N(K6))*IF(N6&lt;&gt;"",N6,M6))*MAX(0,10-T6+1)),0)))),0)</f>
        <v/>
      </c>
      <c r="AE6" s="179">
        <f>IFERROR(IF(OR(R6&lt;&gt;"Yes",Q6&lt;&gt;"ESD"),0,IF(S6="Cash capital",IF(T6&lt;=15,IF(O6&lt;&gt;"",O6,MAX(0,N(H6)+N(K6))*IF(N6&lt;&gt;"",N6,M6)),0),IF(S6="Debt service",IF(T6&gt;15,0,W6*MAX(0,MIN(15-T6+1,U6))),IF(OR(S6="Annual O&amp;M",S6="Maintenance-only"),IF(T6&gt;15,0,IF(O6&lt;&gt;"",O6,MAX(0,N(H6)+N(K6))*IF(N6&lt;&gt;"",N6,M6))*MAX(0,15-T6+1)),0)))),0)</f>
        <v/>
      </c>
      <c r="AF6" s="179">
        <f>IFERROR(IF(OR(R6&lt;&gt;"Yes",Q6&lt;&gt;"ESD"),0,IF(S6="Cash capital",IF(T6&lt;=20,IF(O6&lt;&gt;"",O6,MAX(0,N(I6)+N(K6))*IF(N6&lt;&gt;"",N6,M6)),0),IF(S6="Debt service",IF(T6&gt;20,0,W6*MAX(0,MIN(20-T6+1,U6))),IF(OR(S6="Annual O&amp;M",S6="Maintenance-only"),IF(T6&gt;20,0,IF(O6&lt;&gt;"",O6,MAX(0,N(I6)+N(K6))*IF(N6&lt;&gt;"",N6,M6))*MAX(0,20-T6+1)),0)))),0)</f>
        <v/>
      </c>
      <c r="AG6" s="179">
        <f>IFERROR(IF(OR(R6&lt;&gt;"Yes",Q6&lt;&gt;"ESD"),0,IF(S6="Cash capital",IF(T6&lt;=30,IF(O6&lt;&gt;"",O6,MAX(0,N(J6)+N(K6))*IF(N6&lt;&gt;"",N6,M6)),0),IF(S6="Debt service",IF(T6&gt;30,0,W6*MAX(0,MIN(30-T6+1,U6))),IF(OR(S6="Annual O&amp;M",S6="Maintenance-only"),IF(T6&gt;30,0,IF(O6&lt;&gt;"",O6,MAX(0,N(J6)+N(K6))*IF(N6&lt;&gt;"",N6,M6))*MAX(0,30-T6+1)),0)))),0)</f>
        <v/>
      </c>
      <c r="AH6" s="188" t="inlineStr">
        <is>
          <t>Hydrant count from distribution LF / spacing; verify fire code and utility standards.</t>
        </is>
      </c>
    </row>
    <row r="7" ht="14.25" customHeight="1" s="106">
      <c r="A7" s="105" t="inlineStr">
        <is>
          <t>Water wells, 1,500 gpm</t>
        </is>
      </c>
      <c r="B7" s="105" t="inlineStr">
        <is>
          <t>City</t>
        </is>
      </c>
      <c r="C7" s="105" t="inlineStr">
        <is>
          <t>water demand MGD</t>
        </is>
      </c>
      <c r="D7" s="105" t="inlineStr">
        <is>
          <t>each</t>
        </is>
      </c>
      <c r="E7" s="105" t="inlineStr">
        <is>
          <t>threshold 0.50 MGD</t>
        </is>
      </c>
      <c r="F7" s="172">
        <f>IF((('03_Multi_Horizon_Results'!$B$22/INPUTS!$D$50)*'12_Takeoff_Assumptions'!$B$13/1000000)&gt;'12_Takeoff_Assumptions'!$B$16,ROUNDUP((('03_Multi_Horizon_Results'!$B$22/INPUTS!$D$50)*'12_Takeoff_Assumptions'!$B$13/1000000)/'12_Takeoff_Assumptions'!$B$16,0),0)</f>
        <v/>
      </c>
      <c r="G7" s="172">
        <f>IF((('03_Multi_Horizon_Results'!$C$22/INPUTS!$D$50)*'12_Takeoff_Assumptions'!$B$13/1000000)&gt;'12_Takeoff_Assumptions'!$B$16,ROUNDUP((('03_Multi_Horizon_Results'!$C$22/INPUTS!$D$50)*'12_Takeoff_Assumptions'!$B$13/1000000)/'12_Takeoff_Assumptions'!$B$16,0),0)</f>
        <v/>
      </c>
      <c r="H7" s="172">
        <f>IF((('03_Multi_Horizon_Results'!$D$22/INPUTS!$D$50)*'12_Takeoff_Assumptions'!$B$13/1000000)&gt;'12_Takeoff_Assumptions'!$B$16,ROUNDUP((('03_Multi_Horizon_Results'!$D$22/INPUTS!$D$50)*'12_Takeoff_Assumptions'!$B$13/1000000)/'12_Takeoff_Assumptions'!$B$16,0),0)</f>
        <v/>
      </c>
      <c r="I7" s="172">
        <f>IF((('03_Multi_Horizon_Results'!$E$22/INPUTS!$D$50)*'12_Takeoff_Assumptions'!$B$13/1000000)&gt;'12_Takeoff_Assumptions'!$B$16,ROUNDUP((('03_Multi_Horizon_Results'!$E$22/INPUTS!$D$50)*'12_Takeoff_Assumptions'!$B$13/1000000)/'12_Takeoff_Assumptions'!$B$16,0),0)</f>
        <v/>
      </c>
      <c r="J7" s="172">
        <f>IF((('03_Multi_Horizon_Results'!$F$22/INPUTS!$D$50)*'12_Takeoff_Assumptions'!$B$13/1000000)&gt;'12_Takeoff_Assumptions'!$B$16,ROUNDUP((('03_Multi_Horizon_Results'!$F$22/INPUTS!$D$50)*'12_Takeoff_Assumptions'!$B$13/1000000)/'12_Takeoff_Assumptions'!$B$16,0),0)</f>
        <v/>
      </c>
      <c r="K7" s="173" t="n"/>
      <c r="L7" s="172">
        <f>MAX(0,N(G7)+N(K7))</f>
        <v/>
      </c>
      <c r="M7" s="174" t="n">
        <v>1500000</v>
      </c>
      <c r="N7" s="175" t="n"/>
      <c r="O7" s="175" t="n"/>
      <c r="P7" s="174">
        <f>IFERROR(IF(O7&lt;&gt;"",O7,L7*IF(N7&lt;&gt;"",N7,M7)),0)</f>
        <v/>
      </c>
      <c r="Q7" s="176" t="inlineStr">
        <is>
          <t>City</t>
        </is>
      </c>
      <c r="R7" s="177" t="inlineStr">
        <is>
          <t>No</t>
        </is>
      </c>
      <c r="S7" s="177" t="inlineStr">
        <is>
          <t>Debt service</t>
        </is>
      </c>
      <c r="T7" s="177" t="n">
        <v>1</v>
      </c>
      <c r="U7" s="177" t="n">
        <v>20</v>
      </c>
      <c r="V7" s="178" t="n">
        <v>0.045</v>
      </c>
      <c r="W7" s="159">
        <f>IFERROR(IF(AND(R7="Yes",S7="Debt service",U7&gt;0),IF(V7=0,P7/U7,P7*V7/(1-(1+V7)^(-U7))),0),0)</f>
        <v/>
      </c>
      <c r="X7" s="179">
        <f>IFERROR(IF(OR(R7&lt;&gt;"Yes",Q7&lt;&gt;"City"),0,IF(S7="Cash capital",IF(T7&lt;=5,IF(O7&lt;&gt;"",O7,MAX(0,N(F7)+N(K7))*IF(N7&lt;&gt;"",N7,M7)),0),IF(S7="Debt service",IF(T7&gt;5,0,W7*MAX(0,MIN(5-T7+1,U7))),IF(OR(S7="Annual O&amp;M",S7="Maintenance-only"),IF(T7&gt;5,0,IF(O7&lt;&gt;"",O7,MAX(0,N(F7)+N(K7))*IF(N7&lt;&gt;"",N7,M7))*MAX(0,5-T7+1)),0)))),0)</f>
        <v/>
      </c>
      <c r="Y7" s="179">
        <f>IFERROR(IF(OR(R7&lt;&gt;"Yes",Q7&lt;&gt;"City"),0,IF(S7="Cash capital",IF(T7&lt;=10,IF(O7&lt;&gt;"",O7,MAX(0,N(G7)+N(K7))*IF(N7&lt;&gt;"",N7,M7)),0),IF(S7="Debt service",IF(T7&gt;10,0,W7*MAX(0,MIN(10-T7+1,U7))),IF(OR(S7="Annual O&amp;M",S7="Maintenance-only"),IF(T7&gt;10,0,IF(O7&lt;&gt;"",O7,MAX(0,N(G7)+N(K7))*IF(N7&lt;&gt;"",N7,M7))*MAX(0,10-T7+1)),0)))),0)</f>
        <v/>
      </c>
      <c r="Z7" s="179">
        <f>IFERROR(IF(OR(R7&lt;&gt;"Yes",Q7&lt;&gt;"City"),0,IF(S7="Cash capital",IF(T7&lt;=15,IF(O7&lt;&gt;"",O7,MAX(0,N(H7)+N(K7))*IF(N7&lt;&gt;"",N7,M7)),0),IF(S7="Debt service",IF(T7&gt;15,0,W7*MAX(0,MIN(15-T7+1,U7))),IF(OR(S7="Annual O&amp;M",S7="Maintenance-only"),IF(T7&gt;15,0,IF(O7&lt;&gt;"",O7,MAX(0,N(H7)+N(K7))*IF(N7&lt;&gt;"",N7,M7))*MAX(0,15-T7+1)),0)))),0)</f>
        <v/>
      </c>
      <c r="AA7" s="179">
        <f>IFERROR(IF(OR(R7&lt;&gt;"Yes",Q7&lt;&gt;"City"),0,IF(S7="Cash capital",IF(T7&lt;=20,IF(O7&lt;&gt;"",O7,MAX(0,N(I7)+N(K7))*IF(N7&lt;&gt;"",N7,M7)),0),IF(S7="Debt service",IF(T7&gt;20,0,W7*MAX(0,MIN(20-T7+1,U7))),IF(OR(S7="Annual O&amp;M",S7="Maintenance-only"),IF(T7&gt;20,0,IF(O7&lt;&gt;"",O7,MAX(0,N(I7)+N(K7))*IF(N7&lt;&gt;"",N7,M7))*MAX(0,20-T7+1)),0)))),0)</f>
        <v/>
      </c>
      <c r="AB7" s="179">
        <f>IFERROR(IF(OR(R7&lt;&gt;"Yes",Q7&lt;&gt;"City"),0,IF(S7="Cash capital",IF(T7&lt;=30,IF(O7&lt;&gt;"",O7,MAX(0,N(J7)+N(K7))*IF(N7&lt;&gt;"",N7,M7)),0),IF(S7="Debt service",IF(T7&gt;30,0,W7*MAX(0,MIN(30-T7+1,U7))),IF(OR(S7="Annual O&amp;M",S7="Maintenance-only"),IF(T7&gt;30,0,IF(O7&lt;&gt;"",O7,MAX(0,N(J7)+N(K7))*IF(N7&lt;&gt;"",N7,M7))*MAX(0,30-T7+1)),0)))),0)</f>
        <v/>
      </c>
      <c r="AC7" s="179">
        <f>IFERROR(IF(OR(R7&lt;&gt;"Yes",Q7&lt;&gt;"ESD"),0,IF(S7="Cash capital",IF(T7&lt;=5,IF(O7&lt;&gt;"",O7,MAX(0,N(F7)+N(K7))*IF(N7&lt;&gt;"",N7,M7)),0),IF(S7="Debt service",IF(T7&gt;5,0,W7*MAX(0,MIN(5-T7+1,U7))),IF(OR(S7="Annual O&amp;M",S7="Maintenance-only"),IF(T7&gt;5,0,IF(O7&lt;&gt;"",O7,MAX(0,N(F7)+N(K7))*IF(N7&lt;&gt;"",N7,M7))*MAX(0,5-T7+1)),0)))),0)</f>
        <v/>
      </c>
      <c r="AD7" s="179">
        <f>IFERROR(IF(OR(R7&lt;&gt;"Yes",Q7&lt;&gt;"ESD"),0,IF(S7="Cash capital",IF(T7&lt;=10,IF(O7&lt;&gt;"",O7,MAX(0,N(G7)+N(K7))*IF(N7&lt;&gt;"",N7,M7)),0),IF(S7="Debt service",IF(T7&gt;10,0,W7*MAX(0,MIN(10-T7+1,U7))),IF(OR(S7="Annual O&amp;M",S7="Maintenance-only"),IF(T7&gt;10,0,IF(O7&lt;&gt;"",O7,MAX(0,N(G7)+N(K7))*IF(N7&lt;&gt;"",N7,M7))*MAX(0,10-T7+1)),0)))),0)</f>
        <v/>
      </c>
      <c r="AE7" s="179">
        <f>IFERROR(IF(OR(R7&lt;&gt;"Yes",Q7&lt;&gt;"ESD"),0,IF(S7="Cash capital",IF(T7&lt;=15,IF(O7&lt;&gt;"",O7,MAX(0,N(H7)+N(K7))*IF(N7&lt;&gt;"",N7,M7)),0),IF(S7="Debt service",IF(T7&gt;15,0,W7*MAX(0,MIN(15-T7+1,U7))),IF(OR(S7="Annual O&amp;M",S7="Maintenance-only"),IF(T7&gt;15,0,IF(O7&lt;&gt;"",O7,MAX(0,N(H7)+N(K7))*IF(N7&lt;&gt;"",N7,M7))*MAX(0,15-T7+1)),0)))),0)</f>
        <v/>
      </c>
      <c r="AF7" s="179">
        <f>IFERROR(IF(OR(R7&lt;&gt;"Yes",Q7&lt;&gt;"ESD"),0,IF(S7="Cash capital",IF(T7&lt;=20,IF(O7&lt;&gt;"",O7,MAX(0,N(I7)+N(K7))*IF(N7&lt;&gt;"",N7,M7)),0),IF(S7="Debt service",IF(T7&gt;20,0,W7*MAX(0,MIN(20-T7+1,U7))),IF(OR(S7="Annual O&amp;M",S7="Maintenance-only"),IF(T7&gt;20,0,IF(O7&lt;&gt;"",O7,MAX(0,N(I7)+N(K7))*IF(N7&lt;&gt;"",N7,M7))*MAX(0,20-T7+1)),0)))),0)</f>
        <v/>
      </c>
      <c r="AG7" s="179">
        <f>IFERROR(IF(OR(R7&lt;&gt;"Yes",Q7&lt;&gt;"ESD"),0,IF(S7="Cash capital",IF(T7&lt;=30,IF(O7&lt;&gt;"",O7,MAX(0,N(J7)+N(K7))*IF(N7&lt;&gt;"",N7,M7)),0),IF(S7="Debt service",IF(T7&gt;30,0,W7*MAX(0,MIN(30-T7+1,U7))),IF(OR(S7="Annual O&amp;M",S7="Maintenance-only"),IF(T7&gt;30,0,IF(O7&lt;&gt;"",O7,MAX(0,N(J7)+N(K7))*IF(N7&lt;&gt;"",N7,M7))*MAX(0,30-T7+1)),0)))),0)</f>
        <v/>
      </c>
      <c r="AH7" s="188" t="inlineStr">
        <is>
          <t>Demand-based planning trigger; validate with water master plan and TCEQ capacity review.</t>
        </is>
      </c>
    </row>
    <row r="8" ht="14.25" customHeight="1" s="106">
      <c r="A8" s="105" t="inlineStr">
        <is>
          <t>Gravity sewer main, 10-inch</t>
        </is>
      </c>
      <c r="B8" s="105" t="inlineStr">
        <is>
          <t>City</t>
        </is>
      </c>
      <c r="C8" s="105" t="inlineStr">
        <is>
          <t>captured acres</t>
        </is>
      </c>
      <c r="D8" s="105" t="inlineStr">
        <is>
          <t>linear ft</t>
        </is>
      </c>
      <c r="E8" s="105" t="inlineStr">
        <is>
          <t>300 LF/ac</t>
        </is>
      </c>
      <c r="F8" s="172">
        <f>'03_Multi_Horizon_Results'!$B$5*'12_Takeoff_Assumptions'!$B$4</f>
        <v/>
      </c>
      <c r="G8" s="172">
        <f>'03_Multi_Horizon_Results'!$C$5*'12_Takeoff_Assumptions'!$B$4</f>
        <v/>
      </c>
      <c r="H8" s="172">
        <f>'03_Multi_Horizon_Results'!$D$5*'12_Takeoff_Assumptions'!$B$4</f>
        <v/>
      </c>
      <c r="I8" s="172">
        <f>'03_Multi_Horizon_Results'!$E$5*'12_Takeoff_Assumptions'!$B$4</f>
        <v/>
      </c>
      <c r="J8" s="172">
        <f>'03_Multi_Horizon_Results'!$F$5*'12_Takeoff_Assumptions'!$B$4</f>
        <v/>
      </c>
      <c r="K8" s="173" t="n"/>
      <c r="L8" s="172">
        <f>MAX(0,N(G8)+N(K8))</f>
        <v/>
      </c>
      <c r="M8" s="174" t="n">
        <v>325</v>
      </c>
      <c r="N8" s="175" t="n"/>
      <c r="O8" s="175" t="n"/>
      <c r="P8" s="174">
        <f>IFERROR(IF(O8&lt;&gt;"",O8,L8*IF(N8&lt;&gt;"",N8,M8)),0)</f>
        <v/>
      </c>
      <c r="Q8" s="176" t="inlineStr">
        <is>
          <t>City</t>
        </is>
      </c>
      <c r="R8" s="177" t="inlineStr">
        <is>
          <t>No</t>
        </is>
      </c>
      <c r="S8" s="177" t="inlineStr">
        <is>
          <t>Debt service</t>
        </is>
      </c>
      <c r="T8" s="177" t="n">
        <v>1</v>
      </c>
      <c r="U8" s="177" t="n">
        <v>20</v>
      </c>
      <c r="V8" s="178" t="n">
        <v>0.045</v>
      </c>
      <c r="W8" s="159">
        <f>IFERROR(IF(AND(R8="Yes",S8="Debt service",U8&gt;0),IF(V8=0,P8/U8,P8*V8/(1-(1+V8)^(-U8))),0),0)</f>
        <v/>
      </c>
      <c r="X8" s="179">
        <f>IFERROR(IF(OR(R8&lt;&gt;"Yes",Q8&lt;&gt;"City"),0,IF(S8="Cash capital",IF(T8&lt;=5,IF(O8&lt;&gt;"",O8,MAX(0,N(F8)+N(K8))*IF(N8&lt;&gt;"",N8,M8)),0),IF(S8="Debt service",IF(T8&gt;5,0,W8*MAX(0,MIN(5-T8+1,U8))),IF(OR(S8="Annual O&amp;M",S8="Maintenance-only"),IF(T8&gt;5,0,IF(O8&lt;&gt;"",O8,MAX(0,N(F8)+N(K8))*IF(N8&lt;&gt;"",N8,M8))*MAX(0,5-T8+1)),0)))),0)</f>
        <v/>
      </c>
      <c r="Y8" s="179">
        <f>IFERROR(IF(OR(R8&lt;&gt;"Yes",Q8&lt;&gt;"City"),0,IF(S8="Cash capital",IF(T8&lt;=10,IF(O8&lt;&gt;"",O8,MAX(0,N(G8)+N(K8))*IF(N8&lt;&gt;"",N8,M8)),0),IF(S8="Debt service",IF(T8&gt;10,0,W8*MAX(0,MIN(10-T8+1,U8))),IF(OR(S8="Annual O&amp;M",S8="Maintenance-only"),IF(T8&gt;10,0,IF(O8&lt;&gt;"",O8,MAX(0,N(G8)+N(K8))*IF(N8&lt;&gt;"",N8,M8))*MAX(0,10-T8+1)),0)))),0)</f>
        <v/>
      </c>
      <c r="Z8" s="179">
        <f>IFERROR(IF(OR(R8&lt;&gt;"Yes",Q8&lt;&gt;"City"),0,IF(S8="Cash capital",IF(T8&lt;=15,IF(O8&lt;&gt;"",O8,MAX(0,N(H8)+N(K8))*IF(N8&lt;&gt;"",N8,M8)),0),IF(S8="Debt service",IF(T8&gt;15,0,W8*MAX(0,MIN(15-T8+1,U8))),IF(OR(S8="Annual O&amp;M",S8="Maintenance-only"),IF(T8&gt;15,0,IF(O8&lt;&gt;"",O8,MAX(0,N(H8)+N(K8))*IF(N8&lt;&gt;"",N8,M8))*MAX(0,15-T8+1)),0)))),0)</f>
        <v/>
      </c>
      <c r="AA8" s="179">
        <f>IFERROR(IF(OR(R8&lt;&gt;"Yes",Q8&lt;&gt;"City"),0,IF(S8="Cash capital",IF(T8&lt;=20,IF(O8&lt;&gt;"",O8,MAX(0,N(I8)+N(K8))*IF(N8&lt;&gt;"",N8,M8)),0),IF(S8="Debt service",IF(T8&gt;20,0,W8*MAX(0,MIN(20-T8+1,U8))),IF(OR(S8="Annual O&amp;M",S8="Maintenance-only"),IF(T8&gt;20,0,IF(O8&lt;&gt;"",O8,MAX(0,N(I8)+N(K8))*IF(N8&lt;&gt;"",N8,M8))*MAX(0,20-T8+1)),0)))),0)</f>
        <v/>
      </c>
      <c r="AB8" s="179">
        <f>IFERROR(IF(OR(R8&lt;&gt;"Yes",Q8&lt;&gt;"City"),0,IF(S8="Cash capital",IF(T8&lt;=30,IF(O8&lt;&gt;"",O8,MAX(0,N(J8)+N(K8))*IF(N8&lt;&gt;"",N8,M8)),0),IF(S8="Debt service",IF(T8&gt;30,0,W8*MAX(0,MIN(30-T8+1,U8))),IF(OR(S8="Annual O&amp;M",S8="Maintenance-only"),IF(T8&gt;30,0,IF(O8&lt;&gt;"",O8,MAX(0,N(J8)+N(K8))*IF(N8&lt;&gt;"",N8,M8))*MAX(0,30-T8+1)),0)))),0)</f>
        <v/>
      </c>
      <c r="AC8" s="179">
        <f>IFERROR(IF(OR(R8&lt;&gt;"Yes",Q8&lt;&gt;"ESD"),0,IF(S8="Cash capital",IF(T8&lt;=5,IF(O8&lt;&gt;"",O8,MAX(0,N(F8)+N(K8))*IF(N8&lt;&gt;"",N8,M8)),0),IF(S8="Debt service",IF(T8&gt;5,0,W8*MAX(0,MIN(5-T8+1,U8))),IF(OR(S8="Annual O&amp;M",S8="Maintenance-only"),IF(T8&gt;5,0,IF(O8&lt;&gt;"",O8,MAX(0,N(F8)+N(K8))*IF(N8&lt;&gt;"",N8,M8))*MAX(0,5-T8+1)),0)))),0)</f>
        <v/>
      </c>
      <c r="AD8" s="179">
        <f>IFERROR(IF(OR(R8&lt;&gt;"Yes",Q8&lt;&gt;"ESD"),0,IF(S8="Cash capital",IF(T8&lt;=10,IF(O8&lt;&gt;"",O8,MAX(0,N(G8)+N(K8))*IF(N8&lt;&gt;"",N8,M8)),0),IF(S8="Debt service",IF(T8&gt;10,0,W8*MAX(0,MIN(10-T8+1,U8))),IF(OR(S8="Annual O&amp;M",S8="Maintenance-only"),IF(T8&gt;10,0,IF(O8&lt;&gt;"",O8,MAX(0,N(G8)+N(K8))*IF(N8&lt;&gt;"",N8,M8))*MAX(0,10-T8+1)),0)))),0)</f>
        <v/>
      </c>
      <c r="AE8" s="179">
        <f>IFERROR(IF(OR(R8&lt;&gt;"Yes",Q8&lt;&gt;"ESD"),0,IF(S8="Cash capital",IF(T8&lt;=15,IF(O8&lt;&gt;"",O8,MAX(0,N(H8)+N(K8))*IF(N8&lt;&gt;"",N8,M8)),0),IF(S8="Debt service",IF(T8&gt;15,0,W8*MAX(0,MIN(15-T8+1,U8))),IF(OR(S8="Annual O&amp;M",S8="Maintenance-only"),IF(T8&gt;15,0,IF(O8&lt;&gt;"",O8,MAX(0,N(H8)+N(K8))*IF(N8&lt;&gt;"",N8,M8))*MAX(0,15-T8+1)),0)))),0)</f>
        <v/>
      </c>
      <c r="AF8" s="179">
        <f>IFERROR(IF(OR(R8&lt;&gt;"Yes",Q8&lt;&gt;"ESD"),0,IF(S8="Cash capital",IF(T8&lt;=20,IF(O8&lt;&gt;"",O8,MAX(0,N(I8)+N(K8))*IF(N8&lt;&gt;"",N8,M8)),0),IF(S8="Debt service",IF(T8&gt;20,0,W8*MAX(0,MIN(20-T8+1,U8))),IF(OR(S8="Annual O&amp;M",S8="Maintenance-only"),IF(T8&gt;20,0,IF(O8&lt;&gt;"",O8,MAX(0,N(I8)+N(K8))*IF(N8&lt;&gt;"",N8,M8))*MAX(0,20-T8+1)),0)))),0)</f>
        <v/>
      </c>
      <c r="AG8" s="179">
        <f>IFERROR(IF(OR(R8&lt;&gt;"Yes",Q8&lt;&gt;"ESD"),0,IF(S8="Cash capital",IF(T8&lt;=30,IF(O8&lt;&gt;"",O8,MAX(0,N(J8)+N(K8))*IF(N8&lt;&gt;"",N8,M8)),0),IF(S8="Debt service",IF(T8&gt;30,0,W8*MAX(0,MIN(30-T8+1,U8))),IF(OR(S8="Annual O&amp;M",S8="Maintenance-only"),IF(T8&gt;30,0,IF(O8&lt;&gt;"",O8,MAX(0,N(J8)+N(K8))*IF(N8&lt;&gt;"",N8,M8))*MAX(0,30-T8+1)),0)))),0)</f>
        <v/>
      </c>
      <c r="AH8" s="188" t="inlineStr">
        <is>
          <t>Gravity sewer planning allowance; actual basin/topography should override.</t>
        </is>
      </c>
    </row>
    <row r="9" ht="14.25" customHeight="1" s="106">
      <c r="A9" s="105" t="inlineStr">
        <is>
          <t>Force main</t>
        </is>
      </c>
      <c r="B9" s="105" t="inlineStr">
        <is>
          <t>City</t>
        </is>
      </c>
      <c r="C9" s="105" t="inlineStr">
        <is>
          <t>captured acres</t>
        </is>
      </c>
      <c r="D9" s="105" t="inlineStr">
        <is>
          <t>linear ft</t>
        </is>
      </c>
      <c r="E9" s="105" t="inlineStr">
        <is>
          <t>40 LF/ac</t>
        </is>
      </c>
      <c r="F9" s="172">
        <f>'03_Multi_Horizon_Results'!$B$5*'12_Takeoff_Assumptions'!$B$5</f>
        <v/>
      </c>
      <c r="G9" s="172">
        <f>'03_Multi_Horizon_Results'!$C$5*'12_Takeoff_Assumptions'!$B$5</f>
        <v/>
      </c>
      <c r="H9" s="172">
        <f>'03_Multi_Horizon_Results'!$D$5*'12_Takeoff_Assumptions'!$B$5</f>
        <v/>
      </c>
      <c r="I9" s="172">
        <f>'03_Multi_Horizon_Results'!$E$5*'12_Takeoff_Assumptions'!$B$5</f>
        <v/>
      </c>
      <c r="J9" s="172">
        <f>'03_Multi_Horizon_Results'!$F$5*'12_Takeoff_Assumptions'!$B$5</f>
        <v/>
      </c>
      <c r="K9" s="173" t="n"/>
      <c r="L9" s="172">
        <f>MAX(0,N(G9)+N(K9))</f>
        <v/>
      </c>
      <c r="M9" s="174" t="n">
        <v>225</v>
      </c>
      <c r="N9" s="175" t="n"/>
      <c r="O9" s="175" t="n"/>
      <c r="P9" s="174">
        <f>IFERROR(IF(O9&lt;&gt;"",O9,L9*IF(N9&lt;&gt;"",N9,M9)),0)</f>
        <v/>
      </c>
      <c r="Q9" s="176" t="inlineStr">
        <is>
          <t>City</t>
        </is>
      </c>
      <c r="R9" s="177" t="inlineStr">
        <is>
          <t>No</t>
        </is>
      </c>
      <c r="S9" s="177" t="inlineStr">
        <is>
          <t>Debt service</t>
        </is>
      </c>
      <c r="T9" s="177" t="n">
        <v>1</v>
      </c>
      <c r="U9" s="177" t="n">
        <v>20</v>
      </c>
      <c r="V9" s="178" t="n">
        <v>0.045</v>
      </c>
      <c r="W9" s="159">
        <f>IFERROR(IF(AND(R9="Yes",S9="Debt service",U9&gt;0),IF(V9=0,P9/U9,P9*V9/(1-(1+V9)^(-U9))),0),0)</f>
        <v/>
      </c>
      <c r="X9" s="179">
        <f>IFERROR(IF(OR(R9&lt;&gt;"Yes",Q9&lt;&gt;"City"),0,IF(S9="Cash capital",IF(T9&lt;=5,IF(O9&lt;&gt;"",O9,MAX(0,N(F9)+N(K9))*IF(N9&lt;&gt;"",N9,M9)),0),IF(S9="Debt service",IF(T9&gt;5,0,W9*MAX(0,MIN(5-T9+1,U9))),IF(OR(S9="Annual O&amp;M",S9="Maintenance-only"),IF(T9&gt;5,0,IF(O9&lt;&gt;"",O9,MAX(0,N(F9)+N(K9))*IF(N9&lt;&gt;"",N9,M9))*MAX(0,5-T9+1)),0)))),0)</f>
        <v/>
      </c>
      <c r="Y9" s="179">
        <f>IFERROR(IF(OR(R9&lt;&gt;"Yes",Q9&lt;&gt;"City"),0,IF(S9="Cash capital",IF(T9&lt;=10,IF(O9&lt;&gt;"",O9,MAX(0,N(G9)+N(K9))*IF(N9&lt;&gt;"",N9,M9)),0),IF(S9="Debt service",IF(T9&gt;10,0,W9*MAX(0,MIN(10-T9+1,U9))),IF(OR(S9="Annual O&amp;M",S9="Maintenance-only"),IF(T9&gt;10,0,IF(O9&lt;&gt;"",O9,MAX(0,N(G9)+N(K9))*IF(N9&lt;&gt;"",N9,M9))*MAX(0,10-T9+1)),0)))),0)</f>
        <v/>
      </c>
      <c r="Z9" s="179">
        <f>IFERROR(IF(OR(R9&lt;&gt;"Yes",Q9&lt;&gt;"City"),0,IF(S9="Cash capital",IF(T9&lt;=15,IF(O9&lt;&gt;"",O9,MAX(0,N(H9)+N(K9))*IF(N9&lt;&gt;"",N9,M9)),0),IF(S9="Debt service",IF(T9&gt;15,0,W9*MAX(0,MIN(15-T9+1,U9))),IF(OR(S9="Annual O&amp;M",S9="Maintenance-only"),IF(T9&gt;15,0,IF(O9&lt;&gt;"",O9,MAX(0,N(H9)+N(K9))*IF(N9&lt;&gt;"",N9,M9))*MAX(0,15-T9+1)),0)))),0)</f>
        <v/>
      </c>
      <c r="AA9" s="179">
        <f>IFERROR(IF(OR(R9&lt;&gt;"Yes",Q9&lt;&gt;"City"),0,IF(S9="Cash capital",IF(T9&lt;=20,IF(O9&lt;&gt;"",O9,MAX(0,N(I9)+N(K9))*IF(N9&lt;&gt;"",N9,M9)),0),IF(S9="Debt service",IF(T9&gt;20,0,W9*MAX(0,MIN(20-T9+1,U9))),IF(OR(S9="Annual O&amp;M",S9="Maintenance-only"),IF(T9&gt;20,0,IF(O9&lt;&gt;"",O9,MAX(0,N(I9)+N(K9))*IF(N9&lt;&gt;"",N9,M9))*MAX(0,20-T9+1)),0)))),0)</f>
        <v/>
      </c>
      <c r="AB9" s="179">
        <f>IFERROR(IF(OR(R9&lt;&gt;"Yes",Q9&lt;&gt;"City"),0,IF(S9="Cash capital",IF(T9&lt;=30,IF(O9&lt;&gt;"",O9,MAX(0,N(J9)+N(K9))*IF(N9&lt;&gt;"",N9,M9)),0),IF(S9="Debt service",IF(T9&gt;30,0,W9*MAX(0,MIN(30-T9+1,U9))),IF(OR(S9="Annual O&amp;M",S9="Maintenance-only"),IF(T9&gt;30,0,IF(O9&lt;&gt;"",O9,MAX(0,N(J9)+N(K9))*IF(N9&lt;&gt;"",N9,M9))*MAX(0,30-T9+1)),0)))),0)</f>
        <v/>
      </c>
      <c r="AC9" s="179">
        <f>IFERROR(IF(OR(R9&lt;&gt;"Yes",Q9&lt;&gt;"ESD"),0,IF(S9="Cash capital",IF(T9&lt;=5,IF(O9&lt;&gt;"",O9,MAX(0,N(F9)+N(K9))*IF(N9&lt;&gt;"",N9,M9)),0),IF(S9="Debt service",IF(T9&gt;5,0,W9*MAX(0,MIN(5-T9+1,U9))),IF(OR(S9="Annual O&amp;M",S9="Maintenance-only"),IF(T9&gt;5,0,IF(O9&lt;&gt;"",O9,MAX(0,N(F9)+N(K9))*IF(N9&lt;&gt;"",N9,M9))*MAX(0,5-T9+1)),0)))),0)</f>
        <v/>
      </c>
      <c r="AD9" s="179">
        <f>IFERROR(IF(OR(R9&lt;&gt;"Yes",Q9&lt;&gt;"ESD"),0,IF(S9="Cash capital",IF(T9&lt;=10,IF(O9&lt;&gt;"",O9,MAX(0,N(G9)+N(K9))*IF(N9&lt;&gt;"",N9,M9)),0),IF(S9="Debt service",IF(T9&gt;10,0,W9*MAX(0,MIN(10-T9+1,U9))),IF(OR(S9="Annual O&amp;M",S9="Maintenance-only"),IF(T9&gt;10,0,IF(O9&lt;&gt;"",O9,MAX(0,N(G9)+N(K9))*IF(N9&lt;&gt;"",N9,M9))*MAX(0,10-T9+1)),0)))),0)</f>
        <v/>
      </c>
      <c r="AE9" s="179">
        <f>IFERROR(IF(OR(R9&lt;&gt;"Yes",Q9&lt;&gt;"ESD"),0,IF(S9="Cash capital",IF(T9&lt;=15,IF(O9&lt;&gt;"",O9,MAX(0,N(H9)+N(K9))*IF(N9&lt;&gt;"",N9,M9)),0),IF(S9="Debt service",IF(T9&gt;15,0,W9*MAX(0,MIN(15-T9+1,U9))),IF(OR(S9="Annual O&amp;M",S9="Maintenance-only"),IF(T9&gt;15,0,IF(O9&lt;&gt;"",O9,MAX(0,N(H9)+N(K9))*IF(N9&lt;&gt;"",N9,M9))*MAX(0,15-T9+1)),0)))),0)</f>
        <v/>
      </c>
      <c r="AF9" s="179">
        <f>IFERROR(IF(OR(R9&lt;&gt;"Yes",Q9&lt;&gt;"ESD"),0,IF(S9="Cash capital",IF(T9&lt;=20,IF(O9&lt;&gt;"",O9,MAX(0,N(I9)+N(K9))*IF(N9&lt;&gt;"",N9,M9)),0),IF(S9="Debt service",IF(T9&gt;20,0,W9*MAX(0,MIN(20-T9+1,U9))),IF(OR(S9="Annual O&amp;M",S9="Maintenance-only"),IF(T9&gt;20,0,IF(O9&lt;&gt;"",O9,MAX(0,N(I9)+N(K9))*IF(N9&lt;&gt;"",N9,M9))*MAX(0,20-T9+1)),0)))),0)</f>
        <v/>
      </c>
      <c r="AG9" s="179">
        <f>IFERROR(IF(OR(R9&lt;&gt;"Yes",Q9&lt;&gt;"ESD"),0,IF(S9="Cash capital",IF(T9&lt;=30,IF(O9&lt;&gt;"",O9,MAX(0,N(J9)+N(K9))*IF(N9&lt;&gt;"",N9,M9)),0),IF(S9="Debt service",IF(T9&gt;30,0,W9*MAX(0,MIN(30-T9+1,U9))),IF(OR(S9="Annual O&amp;M",S9="Maintenance-only"),IF(T9&gt;30,0,IF(O9&lt;&gt;"",O9,MAX(0,N(J9)+N(K9))*IF(N9&lt;&gt;"",N9,M9))*MAX(0,30-T9+1)),0)))),0)</f>
        <v/>
      </c>
      <c r="AH9" s="188" t="inlineStr">
        <is>
          <t>Force-main planning allowance; actual need depends on lift-station/basin design.</t>
        </is>
      </c>
    </row>
    <row r="10" ht="14.25" customHeight="1" s="106">
      <c r="A10" s="105" t="inlineStr">
        <is>
          <t>Lift stations</t>
        </is>
      </c>
      <c r="B10" s="105" t="inlineStr">
        <is>
          <t>City</t>
        </is>
      </c>
      <c r="C10" s="105" t="inlineStr">
        <is>
          <t>sewer demand MGD</t>
        </is>
      </c>
      <c r="D10" s="105" t="inlineStr">
        <is>
          <t>each</t>
        </is>
      </c>
      <c r="E10" s="105" t="inlineStr">
        <is>
          <t>threshold 0.25 MGD</t>
        </is>
      </c>
      <c r="F10" s="172">
        <f>IF((('03_Multi_Horizon_Results'!$B$22/INPUTS!$D$50)*'12_Takeoff_Assumptions'!$B$14/1000000)&gt;'12_Takeoff_Assumptions'!$B$15,ROUNDUP((('03_Multi_Horizon_Results'!$B$22/INPUTS!$D$50)*'12_Takeoff_Assumptions'!$B$14/1000000)/'12_Takeoff_Assumptions'!$B$15,0),0)</f>
        <v/>
      </c>
      <c r="G10" s="172">
        <f>IF((('03_Multi_Horizon_Results'!$C$22/INPUTS!$D$50)*'12_Takeoff_Assumptions'!$B$14/1000000)&gt;'12_Takeoff_Assumptions'!$B$15,ROUNDUP((('03_Multi_Horizon_Results'!$C$22/INPUTS!$D$50)*'12_Takeoff_Assumptions'!$B$14/1000000)/'12_Takeoff_Assumptions'!$B$15,0),0)</f>
        <v/>
      </c>
      <c r="H10" s="172">
        <f>IF((('03_Multi_Horizon_Results'!$D$22/INPUTS!$D$50)*'12_Takeoff_Assumptions'!$B$14/1000000)&gt;'12_Takeoff_Assumptions'!$B$15,ROUNDUP((('03_Multi_Horizon_Results'!$D$22/INPUTS!$D$50)*'12_Takeoff_Assumptions'!$B$14/1000000)/'12_Takeoff_Assumptions'!$B$15,0),0)</f>
        <v/>
      </c>
      <c r="I10" s="172">
        <f>IF((('03_Multi_Horizon_Results'!$E$22/INPUTS!$D$50)*'12_Takeoff_Assumptions'!$B$14/1000000)&gt;'12_Takeoff_Assumptions'!$B$15,ROUNDUP((('03_Multi_Horizon_Results'!$E$22/INPUTS!$D$50)*'12_Takeoff_Assumptions'!$B$14/1000000)/'12_Takeoff_Assumptions'!$B$15,0),0)</f>
        <v/>
      </c>
      <c r="J10" s="172">
        <f>IF((('03_Multi_Horizon_Results'!$F$22/INPUTS!$D$50)*'12_Takeoff_Assumptions'!$B$14/1000000)&gt;'12_Takeoff_Assumptions'!$B$15,ROUNDUP((('03_Multi_Horizon_Results'!$F$22/INPUTS!$D$50)*'12_Takeoff_Assumptions'!$B$14/1000000)/'12_Takeoff_Assumptions'!$B$15,0),0)</f>
        <v/>
      </c>
      <c r="K10" s="173" t="n"/>
      <c r="L10" s="172">
        <f>MAX(0,N(G10)+N(K10))</f>
        <v/>
      </c>
      <c r="M10" s="174" t="n">
        <v>1250000</v>
      </c>
      <c r="N10" s="175" t="n"/>
      <c r="O10" s="175" t="n"/>
      <c r="P10" s="174">
        <f>IFERROR(IF(O10&lt;&gt;"",O10,L10*IF(N10&lt;&gt;"",N10,M10)),0)</f>
        <v/>
      </c>
      <c r="Q10" s="176" t="inlineStr">
        <is>
          <t>City</t>
        </is>
      </c>
      <c r="R10" s="177" t="inlineStr">
        <is>
          <t>No</t>
        </is>
      </c>
      <c r="S10" s="177" t="inlineStr">
        <is>
          <t>Debt service</t>
        </is>
      </c>
      <c r="T10" s="177" t="n">
        <v>1</v>
      </c>
      <c r="U10" s="177" t="n">
        <v>20</v>
      </c>
      <c r="V10" s="178" t="n">
        <v>0.045</v>
      </c>
      <c r="W10" s="159">
        <f>IFERROR(IF(AND(R10="Yes",S10="Debt service",U10&gt;0),IF(V10=0,P10/U10,P10*V10/(1-(1+V10)^(-U10))),0),0)</f>
        <v/>
      </c>
      <c r="X10" s="179">
        <f>IFERROR(IF(OR(R10&lt;&gt;"Yes",Q10&lt;&gt;"City"),0,IF(S10="Cash capital",IF(T10&lt;=5,IF(O10&lt;&gt;"",O10,MAX(0,N(F10)+N(K10))*IF(N10&lt;&gt;"",N10,M10)),0),IF(S10="Debt service",IF(T10&gt;5,0,W10*MAX(0,MIN(5-T10+1,U10))),IF(OR(S10="Annual O&amp;M",S10="Maintenance-only"),IF(T10&gt;5,0,IF(O10&lt;&gt;"",O10,MAX(0,N(F10)+N(K10))*IF(N10&lt;&gt;"",N10,M10))*MAX(0,5-T10+1)),0)))),0)</f>
        <v/>
      </c>
      <c r="Y10" s="179">
        <f>IFERROR(IF(OR(R10&lt;&gt;"Yes",Q10&lt;&gt;"City"),0,IF(S10="Cash capital",IF(T10&lt;=10,IF(O10&lt;&gt;"",O10,MAX(0,N(G10)+N(K10))*IF(N10&lt;&gt;"",N10,M10)),0),IF(S10="Debt service",IF(T10&gt;10,0,W10*MAX(0,MIN(10-T10+1,U10))),IF(OR(S10="Annual O&amp;M",S10="Maintenance-only"),IF(T10&gt;10,0,IF(O10&lt;&gt;"",O10,MAX(0,N(G10)+N(K10))*IF(N10&lt;&gt;"",N10,M10))*MAX(0,10-T10+1)),0)))),0)</f>
        <v/>
      </c>
      <c r="Z10" s="179">
        <f>IFERROR(IF(OR(R10&lt;&gt;"Yes",Q10&lt;&gt;"City"),0,IF(S10="Cash capital",IF(T10&lt;=15,IF(O10&lt;&gt;"",O10,MAX(0,N(H10)+N(K10))*IF(N10&lt;&gt;"",N10,M10)),0),IF(S10="Debt service",IF(T10&gt;15,0,W10*MAX(0,MIN(15-T10+1,U10))),IF(OR(S10="Annual O&amp;M",S10="Maintenance-only"),IF(T10&gt;15,0,IF(O10&lt;&gt;"",O10,MAX(0,N(H10)+N(K10))*IF(N10&lt;&gt;"",N10,M10))*MAX(0,15-T10+1)),0)))),0)</f>
        <v/>
      </c>
      <c r="AA10" s="179">
        <f>IFERROR(IF(OR(R10&lt;&gt;"Yes",Q10&lt;&gt;"City"),0,IF(S10="Cash capital",IF(T10&lt;=20,IF(O10&lt;&gt;"",O10,MAX(0,N(I10)+N(K10))*IF(N10&lt;&gt;"",N10,M10)),0),IF(S10="Debt service",IF(T10&gt;20,0,W10*MAX(0,MIN(20-T10+1,U10))),IF(OR(S10="Annual O&amp;M",S10="Maintenance-only"),IF(T10&gt;20,0,IF(O10&lt;&gt;"",O10,MAX(0,N(I10)+N(K10))*IF(N10&lt;&gt;"",N10,M10))*MAX(0,20-T10+1)),0)))),0)</f>
        <v/>
      </c>
      <c r="AB10" s="179">
        <f>IFERROR(IF(OR(R10&lt;&gt;"Yes",Q10&lt;&gt;"City"),0,IF(S10="Cash capital",IF(T10&lt;=30,IF(O10&lt;&gt;"",O10,MAX(0,N(J10)+N(K10))*IF(N10&lt;&gt;"",N10,M10)),0),IF(S10="Debt service",IF(T10&gt;30,0,W10*MAX(0,MIN(30-T10+1,U10))),IF(OR(S10="Annual O&amp;M",S10="Maintenance-only"),IF(T10&gt;30,0,IF(O10&lt;&gt;"",O10,MAX(0,N(J10)+N(K10))*IF(N10&lt;&gt;"",N10,M10))*MAX(0,30-T10+1)),0)))),0)</f>
        <v/>
      </c>
      <c r="AC10" s="179">
        <f>IFERROR(IF(OR(R10&lt;&gt;"Yes",Q10&lt;&gt;"ESD"),0,IF(S10="Cash capital",IF(T10&lt;=5,IF(O10&lt;&gt;"",O10,MAX(0,N(F10)+N(K10))*IF(N10&lt;&gt;"",N10,M10)),0),IF(S10="Debt service",IF(T10&gt;5,0,W10*MAX(0,MIN(5-T10+1,U10))),IF(OR(S10="Annual O&amp;M",S10="Maintenance-only"),IF(T10&gt;5,0,IF(O10&lt;&gt;"",O10,MAX(0,N(F10)+N(K10))*IF(N10&lt;&gt;"",N10,M10))*MAX(0,5-T10+1)),0)))),0)</f>
        <v/>
      </c>
      <c r="AD10" s="179">
        <f>IFERROR(IF(OR(R10&lt;&gt;"Yes",Q10&lt;&gt;"ESD"),0,IF(S10="Cash capital",IF(T10&lt;=10,IF(O10&lt;&gt;"",O10,MAX(0,N(G10)+N(K10))*IF(N10&lt;&gt;"",N10,M10)),0),IF(S10="Debt service",IF(T10&gt;10,0,W10*MAX(0,MIN(10-T10+1,U10))),IF(OR(S10="Annual O&amp;M",S10="Maintenance-only"),IF(T10&gt;10,0,IF(O10&lt;&gt;"",O10,MAX(0,N(G10)+N(K10))*IF(N10&lt;&gt;"",N10,M10))*MAX(0,10-T10+1)),0)))),0)</f>
        <v/>
      </c>
      <c r="AE10" s="179">
        <f>IFERROR(IF(OR(R10&lt;&gt;"Yes",Q10&lt;&gt;"ESD"),0,IF(S10="Cash capital",IF(T10&lt;=15,IF(O10&lt;&gt;"",O10,MAX(0,N(H10)+N(K10))*IF(N10&lt;&gt;"",N10,M10)),0),IF(S10="Debt service",IF(T10&gt;15,0,W10*MAX(0,MIN(15-T10+1,U10))),IF(OR(S10="Annual O&amp;M",S10="Maintenance-only"),IF(T10&gt;15,0,IF(O10&lt;&gt;"",O10,MAX(0,N(H10)+N(K10))*IF(N10&lt;&gt;"",N10,M10))*MAX(0,15-T10+1)),0)))),0)</f>
        <v/>
      </c>
      <c r="AF10" s="179">
        <f>IFERROR(IF(OR(R10&lt;&gt;"Yes",Q10&lt;&gt;"ESD"),0,IF(S10="Cash capital",IF(T10&lt;=20,IF(O10&lt;&gt;"",O10,MAX(0,N(I10)+N(K10))*IF(N10&lt;&gt;"",N10,M10)),0),IF(S10="Debt service",IF(T10&gt;20,0,W10*MAX(0,MIN(20-T10+1,U10))),IF(OR(S10="Annual O&amp;M",S10="Maintenance-only"),IF(T10&gt;20,0,IF(O10&lt;&gt;"",O10,MAX(0,N(I10)+N(K10))*IF(N10&lt;&gt;"",N10,M10))*MAX(0,20-T10+1)),0)))),0)</f>
        <v/>
      </c>
      <c r="AG10" s="179">
        <f>IFERROR(IF(OR(R10&lt;&gt;"Yes",Q10&lt;&gt;"ESD"),0,IF(S10="Cash capital",IF(T10&lt;=30,IF(O10&lt;&gt;"",O10,MAX(0,N(J10)+N(K10))*IF(N10&lt;&gt;"",N10,M10)),0),IF(S10="Debt service",IF(T10&gt;30,0,W10*MAX(0,MIN(30-T10+1,U10))),IF(OR(S10="Annual O&amp;M",S10="Maintenance-only"),IF(T10&gt;30,0,IF(O10&lt;&gt;"",O10,MAX(0,N(J10)+N(K10))*IF(N10&lt;&gt;"",N10,M10))*MAX(0,30-T10+1)),0)))),0)</f>
        <v/>
      </c>
      <c r="AH10" s="188" t="inlineStr">
        <is>
          <t>Planning trigger only; topography and basin engineer review required.</t>
        </is>
      </c>
    </row>
    <row r="11" ht="14.25" customHeight="1" s="106">
      <c r="A11" s="105" t="inlineStr">
        <is>
          <t>WWTP expansion capacity</t>
        </is>
      </c>
      <c r="B11" s="105" t="inlineStr">
        <is>
          <t>City</t>
        </is>
      </c>
      <c r="C11" s="105" t="inlineStr">
        <is>
          <t>sewer demand MGD</t>
        </is>
      </c>
      <c r="D11" s="105" t="inlineStr">
        <is>
          <t>MGD</t>
        </is>
      </c>
      <c r="E11" s="105" t="inlineStr">
        <is>
          <t>250 gpd/LUE</t>
        </is>
      </c>
      <c r="F11" s="172">
        <f>(('03_Multi_Horizon_Results'!$B$22/INPUTS!$D$50)*'12_Takeoff_Assumptions'!$B$14/1000000)</f>
        <v/>
      </c>
      <c r="G11" s="172">
        <f>(('03_Multi_Horizon_Results'!$C$22/INPUTS!$D$50)*'12_Takeoff_Assumptions'!$B$14/1000000)</f>
        <v/>
      </c>
      <c r="H11" s="172">
        <f>(('03_Multi_Horizon_Results'!$D$22/INPUTS!$D$50)*'12_Takeoff_Assumptions'!$B$14/1000000)</f>
        <v/>
      </c>
      <c r="I11" s="172">
        <f>(('03_Multi_Horizon_Results'!$E$22/INPUTS!$D$50)*'12_Takeoff_Assumptions'!$B$14/1000000)</f>
        <v/>
      </c>
      <c r="J11" s="172">
        <f>(('03_Multi_Horizon_Results'!$F$22/INPUTS!$D$50)*'12_Takeoff_Assumptions'!$B$14/1000000)</f>
        <v/>
      </c>
      <c r="K11" s="173" t="n"/>
      <c r="L11" s="172">
        <f>MAX(0,N(G11)+N(K11))</f>
        <v/>
      </c>
      <c r="M11" s="174" t="n">
        <v>6000000</v>
      </c>
      <c r="N11" s="175" t="n"/>
      <c r="O11" s="175" t="n"/>
      <c r="P11" s="174">
        <f>IFERROR(IF(O11&lt;&gt;"",O11,L11*IF(N11&lt;&gt;"",N11,M11)),0)</f>
        <v/>
      </c>
      <c r="Q11" s="176" t="inlineStr">
        <is>
          <t>City</t>
        </is>
      </c>
      <c r="R11" s="177" t="inlineStr">
        <is>
          <t>No</t>
        </is>
      </c>
      <c r="S11" s="177" t="inlineStr">
        <is>
          <t>Debt service</t>
        </is>
      </c>
      <c r="T11" s="177" t="n">
        <v>1</v>
      </c>
      <c r="U11" s="177" t="n">
        <v>20</v>
      </c>
      <c r="V11" s="178" t="n">
        <v>0.045</v>
      </c>
      <c r="W11" s="159">
        <f>IFERROR(IF(AND(R11="Yes",S11="Debt service",U11&gt;0),IF(V11=0,P11/U11,P11*V11/(1-(1+V11)^(-U11))),0),0)</f>
        <v/>
      </c>
      <c r="X11" s="179">
        <f>IFERROR(IF(OR(R11&lt;&gt;"Yes",Q11&lt;&gt;"City"),0,IF(S11="Cash capital",IF(T11&lt;=5,IF(O11&lt;&gt;"",O11,MAX(0,N(F11)+N(K11))*IF(N11&lt;&gt;"",N11,M11)),0),IF(S11="Debt service",IF(T11&gt;5,0,W11*MAX(0,MIN(5-T11+1,U11))),IF(OR(S11="Annual O&amp;M",S11="Maintenance-only"),IF(T11&gt;5,0,IF(O11&lt;&gt;"",O11,MAX(0,N(F11)+N(K11))*IF(N11&lt;&gt;"",N11,M11))*MAX(0,5-T11+1)),0)))),0)</f>
        <v/>
      </c>
      <c r="Y11" s="179">
        <f>IFERROR(IF(OR(R11&lt;&gt;"Yes",Q11&lt;&gt;"City"),0,IF(S11="Cash capital",IF(T11&lt;=10,IF(O11&lt;&gt;"",O11,MAX(0,N(G11)+N(K11))*IF(N11&lt;&gt;"",N11,M11)),0),IF(S11="Debt service",IF(T11&gt;10,0,W11*MAX(0,MIN(10-T11+1,U11))),IF(OR(S11="Annual O&amp;M",S11="Maintenance-only"),IF(T11&gt;10,0,IF(O11&lt;&gt;"",O11,MAX(0,N(G11)+N(K11))*IF(N11&lt;&gt;"",N11,M11))*MAX(0,10-T11+1)),0)))),0)</f>
        <v/>
      </c>
      <c r="Z11" s="179">
        <f>IFERROR(IF(OR(R11&lt;&gt;"Yes",Q11&lt;&gt;"City"),0,IF(S11="Cash capital",IF(T11&lt;=15,IF(O11&lt;&gt;"",O11,MAX(0,N(H11)+N(K11))*IF(N11&lt;&gt;"",N11,M11)),0),IF(S11="Debt service",IF(T11&gt;15,0,W11*MAX(0,MIN(15-T11+1,U11))),IF(OR(S11="Annual O&amp;M",S11="Maintenance-only"),IF(T11&gt;15,0,IF(O11&lt;&gt;"",O11,MAX(0,N(H11)+N(K11))*IF(N11&lt;&gt;"",N11,M11))*MAX(0,15-T11+1)),0)))),0)</f>
        <v/>
      </c>
      <c r="AA11" s="179">
        <f>IFERROR(IF(OR(R11&lt;&gt;"Yes",Q11&lt;&gt;"City"),0,IF(S11="Cash capital",IF(T11&lt;=20,IF(O11&lt;&gt;"",O11,MAX(0,N(I11)+N(K11))*IF(N11&lt;&gt;"",N11,M11)),0),IF(S11="Debt service",IF(T11&gt;20,0,W11*MAX(0,MIN(20-T11+1,U11))),IF(OR(S11="Annual O&amp;M",S11="Maintenance-only"),IF(T11&gt;20,0,IF(O11&lt;&gt;"",O11,MAX(0,N(I11)+N(K11))*IF(N11&lt;&gt;"",N11,M11))*MAX(0,20-T11+1)),0)))),0)</f>
        <v/>
      </c>
      <c r="AB11" s="179">
        <f>IFERROR(IF(OR(R11&lt;&gt;"Yes",Q11&lt;&gt;"City"),0,IF(S11="Cash capital",IF(T11&lt;=30,IF(O11&lt;&gt;"",O11,MAX(0,N(J11)+N(K11))*IF(N11&lt;&gt;"",N11,M11)),0),IF(S11="Debt service",IF(T11&gt;30,0,W11*MAX(0,MIN(30-T11+1,U11))),IF(OR(S11="Annual O&amp;M",S11="Maintenance-only"),IF(T11&gt;30,0,IF(O11&lt;&gt;"",O11,MAX(0,N(J11)+N(K11))*IF(N11&lt;&gt;"",N11,M11))*MAX(0,30-T11+1)),0)))),0)</f>
        <v/>
      </c>
      <c r="AC11" s="179">
        <f>IFERROR(IF(OR(R11&lt;&gt;"Yes",Q11&lt;&gt;"ESD"),0,IF(S11="Cash capital",IF(T11&lt;=5,IF(O11&lt;&gt;"",O11,MAX(0,N(F11)+N(K11))*IF(N11&lt;&gt;"",N11,M11)),0),IF(S11="Debt service",IF(T11&gt;5,0,W11*MAX(0,MIN(5-T11+1,U11))),IF(OR(S11="Annual O&amp;M",S11="Maintenance-only"),IF(T11&gt;5,0,IF(O11&lt;&gt;"",O11,MAX(0,N(F11)+N(K11))*IF(N11&lt;&gt;"",N11,M11))*MAX(0,5-T11+1)),0)))),0)</f>
        <v/>
      </c>
      <c r="AD11" s="179">
        <f>IFERROR(IF(OR(R11&lt;&gt;"Yes",Q11&lt;&gt;"ESD"),0,IF(S11="Cash capital",IF(T11&lt;=10,IF(O11&lt;&gt;"",O11,MAX(0,N(G11)+N(K11))*IF(N11&lt;&gt;"",N11,M11)),0),IF(S11="Debt service",IF(T11&gt;10,0,W11*MAX(0,MIN(10-T11+1,U11))),IF(OR(S11="Annual O&amp;M",S11="Maintenance-only"),IF(T11&gt;10,0,IF(O11&lt;&gt;"",O11,MAX(0,N(G11)+N(K11))*IF(N11&lt;&gt;"",N11,M11))*MAX(0,10-T11+1)),0)))),0)</f>
        <v/>
      </c>
      <c r="AE11" s="179">
        <f>IFERROR(IF(OR(R11&lt;&gt;"Yes",Q11&lt;&gt;"ESD"),0,IF(S11="Cash capital",IF(T11&lt;=15,IF(O11&lt;&gt;"",O11,MAX(0,N(H11)+N(K11))*IF(N11&lt;&gt;"",N11,M11)),0),IF(S11="Debt service",IF(T11&gt;15,0,W11*MAX(0,MIN(15-T11+1,U11))),IF(OR(S11="Annual O&amp;M",S11="Maintenance-only"),IF(T11&gt;15,0,IF(O11&lt;&gt;"",O11,MAX(0,N(H11)+N(K11))*IF(N11&lt;&gt;"",N11,M11))*MAX(0,15-T11+1)),0)))),0)</f>
        <v/>
      </c>
      <c r="AF11" s="179">
        <f>IFERROR(IF(OR(R11&lt;&gt;"Yes",Q11&lt;&gt;"ESD"),0,IF(S11="Cash capital",IF(T11&lt;=20,IF(O11&lt;&gt;"",O11,MAX(0,N(I11)+N(K11))*IF(N11&lt;&gt;"",N11,M11)),0),IF(S11="Debt service",IF(T11&gt;20,0,W11*MAX(0,MIN(20-T11+1,U11))),IF(OR(S11="Annual O&amp;M",S11="Maintenance-only"),IF(T11&gt;20,0,IF(O11&lt;&gt;"",O11,MAX(0,N(I11)+N(K11))*IF(N11&lt;&gt;"",N11,M11))*MAX(0,20-T11+1)),0)))),0)</f>
        <v/>
      </c>
      <c r="AG11" s="179">
        <f>IFERROR(IF(OR(R11&lt;&gt;"Yes",Q11&lt;&gt;"ESD"),0,IF(S11="Cash capital",IF(T11&lt;=30,IF(O11&lt;&gt;"",O11,MAX(0,N(J11)+N(K11))*IF(N11&lt;&gt;"",N11,M11)),0),IF(S11="Debt service",IF(T11&gt;30,0,W11*MAX(0,MIN(30-T11+1,U11))),IF(OR(S11="Annual O&amp;M",S11="Maintenance-only"),IF(T11&gt;30,0,IF(O11&lt;&gt;"",O11,MAX(0,N(J11)+N(K11))*IF(N11&lt;&gt;"",N11,M11))*MAX(0,30-T11+1)),0)))),0)</f>
        <v/>
      </c>
      <c r="AH11" s="188" t="inlineStr">
        <is>
          <t>Shows estimated sewer demand capacity exposure, not an engineering design directive.</t>
        </is>
      </c>
    </row>
    <row r="12" ht="14.25" customHeight="1" s="106">
      <c r="A12" s="105" t="inlineStr">
        <is>
          <t>Collector street</t>
        </is>
      </c>
      <c r="B12" s="105" t="inlineStr">
        <is>
          <t>City</t>
        </is>
      </c>
      <c r="C12" s="105" t="inlineStr">
        <is>
          <t>captured acres</t>
        </is>
      </c>
      <c r="D12" s="105" t="inlineStr">
        <is>
          <t>lane-miles</t>
        </is>
      </c>
      <c r="E12" s="105" t="inlineStr">
        <is>
          <t>0.02 lane-mi/ac</t>
        </is>
      </c>
      <c r="F12" s="172">
        <f>'03_Multi_Horizon_Results'!$B$5*'12_Takeoff_Assumptions'!$B$7</f>
        <v/>
      </c>
      <c r="G12" s="172">
        <f>'03_Multi_Horizon_Results'!$C$5*'12_Takeoff_Assumptions'!$B$7</f>
        <v/>
      </c>
      <c r="H12" s="172">
        <f>'03_Multi_Horizon_Results'!$D$5*'12_Takeoff_Assumptions'!$B$7</f>
        <v/>
      </c>
      <c r="I12" s="172">
        <f>'03_Multi_Horizon_Results'!$E$5*'12_Takeoff_Assumptions'!$B$7</f>
        <v/>
      </c>
      <c r="J12" s="172">
        <f>'03_Multi_Horizon_Results'!$F$5*'12_Takeoff_Assumptions'!$B$7</f>
        <v/>
      </c>
      <c r="K12" s="173" t="n"/>
      <c r="L12" s="172">
        <f>MAX(0,N(G12)+N(K12))</f>
        <v/>
      </c>
      <c r="M12" s="174" t="n">
        <v>750000</v>
      </c>
      <c r="N12" s="175" t="n"/>
      <c r="O12" s="175" t="n"/>
      <c r="P12" s="174">
        <f>IFERROR(IF(O12&lt;&gt;"",O12,L12*IF(N12&lt;&gt;"",N12,M12)),0)</f>
        <v/>
      </c>
      <c r="Q12" s="176" t="inlineStr">
        <is>
          <t>City</t>
        </is>
      </c>
      <c r="R12" s="177" t="inlineStr">
        <is>
          <t>No</t>
        </is>
      </c>
      <c r="S12" s="177" t="inlineStr">
        <is>
          <t>Debt service</t>
        </is>
      </c>
      <c r="T12" s="177" t="n">
        <v>1</v>
      </c>
      <c r="U12" s="177" t="n">
        <v>20</v>
      </c>
      <c r="V12" s="178" t="n">
        <v>0.045</v>
      </c>
      <c r="W12" s="159">
        <f>IFERROR(IF(AND(R12="Yes",S12="Debt service",U12&gt;0),IF(V12=0,P12/U12,P12*V12/(1-(1+V12)^(-U12))),0),0)</f>
        <v/>
      </c>
      <c r="X12" s="179">
        <f>IFERROR(IF(OR(R12&lt;&gt;"Yes",Q12&lt;&gt;"City"),0,IF(S12="Cash capital",IF(T12&lt;=5,IF(O12&lt;&gt;"",O12,MAX(0,N(F12)+N(K12))*IF(N12&lt;&gt;"",N12,M12)),0),IF(S12="Debt service",IF(T12&gt;5,0,W12*MAX(0,MIN(5-T12+1,U12))),IF(OR(S12="Annual O&amp;M",S12="Maintenance-only"),IF(T12&gt;5,0,IF(O12&lt;&gt;"",O12,MAX(0,N(F12)+N(K12))*IF(N12&lt;&gt;"",N12,M12))*MAX(0,5-T12+1)),0)))),0)</f>
        <v/>
      </c>
      <c r="Y12" s="179">
        <f>IFERROR(IF(OR(R12&lt;&gt;"Yes",Q12&lt;&gt;"City"),0,IF(S12="Cash capital",IF(T12&lt;=10,IF(O12&lt;&gt;"",O12,MAX(0,N(G12)+N(K12))*IF(N12&lt;&gt;"",N12,M12)),0),IF(S12="Debt service",IF(T12&gt;10,0,W12*MAX(0,MIN(10-T12+1,U12))),IF(OR(S12="Annual O&amp;M",S12="Maintenance-only"),IF(T12&gt;10,0,IF(O12&lt;&gt;"",O12,MAX(0,N(G12)+N(K12))*IF(N12&lt;&gt;"",N12,M12))*MAX(0,10-T12+1)),0)))),0)</f>
        <v/>
      </c>
      <c r="Z12" s="179">
        <f>IFERROR(IF(OR(R12&lt;&gt;"Yes",Q12&lt;&gt;"City"),0,IF(S12="Cash capital",IF(T12&lt;=15,IF(O12&lt;&gt;"",O12,MAX(0,N(H12)+N(K12))*IF(N12&lt;&gt;"",N12,M12)),0),IF(S12="Debt service",IF(T12&gt;15,0,W12*MAX(0,MIN(15-T12+1,U12))),IF(OR(S12="Annual O&amp;M",S12="Maintenance-only"),IF(T12&gt;15,0,IF(O12&lt;&gt;"",O12,MAX(0,N(H12)+N(K12))*IF(N12&lt;&gt;"",N12,M12))*MAX(0,15-T12+1)),0)))),0)</f>
        <v/>
      </c>
      <c r="AA12" s="179">
        <f>IFERROR(IF(OR(R12&lt;&gt;"Yes",Q12&lt;&gt;"City"),0,IF(S12="Cash capital",IF(T12&lt;=20,IF(O12&lt;&gt;"",O12,MAX(0,N(I12)+N(K12))*IF(N12&lt;&gt;"",N12,M12)),0),IF(S12="Debt service",IF(T12&gt;20,0,W12*MAX(0,MIN(20-T12+1,U12))),IF(OR(S12="Annual O&amp;M",S12="Maintenance-only"),IF(T12&gt;20,0,IF(O12&lt;&gt;"",O12,MAX(0,N(I12)+N(K12))*IF(N12&lt;&gt;"",N12,M12))*MAX(0,20-T12+1)),0)))),0)</f>
        <v/>
      </c>
      <c r="AB12" s="179">
        <f>IFERROR(IF(OR(R12&lt;&gt;"Yes",Q12&lt;&gt;"City"),0,IF(S12="Cash capital",IF(T12&lt;=30,IF(O12&lt;&gt;"",O12,MAX(0,N(J12)+N(K12))*IF(N12&lt;&gt;"",N12,M12)),0),IF(S12="Debt service",IF(T12&gt;30,0,W12*MAX(0,MIN(30-T12+1,U12))),IF(OR(S12="Annual O&amp;M",S12="Maintenance-only"),IF(T12&gt;30,0,IF(O12&lt;&gt;"",O12,MAX(0,N(J12)+N(K12))*IF(N12&lt;&gt;"",N12,M12))*MAX(0,30-T12+1)),0)))),0)</f>
        <v/>
      </c>
      <c r="AC12" s="179">
        <f>IFERROR(IF(OR(R12&lt;&gt;"Yes",Q12&lt;&gt;"ESD"),0,IF(S12="Cash capital",IF(T12&lt;=5,IF(O12&lt;&gt;"",O12,MAX(0,N(F12)+N(K12))*IF(N12&lt;&gt;"",N12,M12)),0),IF(S12="Debt service",IF(T12&gt;5,0,W12*MAX(0,MIN(5-T12+1,U12))),IF(OR(S12="Annual O&amp;M",S12="Maintenance-only"),IF(T12&gt;5,0,IF(O12&lt;&gt;"",O12,MAX(0,N(F12)+N(K12))*IF(N12&lt;&gt;"",N12,M12))*MAX(0,5-T12+1)),0)))),0)</f>
        <v/>
      </c>
      <c r="AD12" s="179">
        <f>IFERROR(IF(OR(R12&lt;&gt;"Yes",Q12&lt;&gt;"ESD"),0,IF(S12="Cash capital",IF(T12&lt;=10,IF(O12&lt;&gt;"",O12,MAX(0,N(G12)+N(K12))*IF(N12&lt;&gt;"",N12,M12)),0),IF(S12="Debt service",IF(T12&gt;10,0,W12*MAX(0,MIN(10-T12+1,U12))),IF(OR(S12="Annual O&amp;M",S12="Maintenance-only"),IF(T12&gt;10,0,IF(O12&lt;&gt;"",O12,MAX(0,N(G12)+N(K12))*IF(N12&lt;&gt;"",N12,M12))*MAX(0,10-T12+1)),0)))),0)</f>
        <v/>
      </c>
      <c r="AE12" s="179">
        <f>IFERROR(IF(OR(R12&lt;&gt;"Yes",Q12&lt;&gt;"ESD"),0,IF(S12="Cash capital",IF(T12&lt;=15,IF(O12&lt;&gt;"",O12,MAX(0,N(H12)+N(K12))*IF(N12&lt;&gt;"",N12,M12)),0),IF(S12="Debt service",IF(T12&gt;15,0,W12*MAX(0,MIN(15-T12+1,U12))),IF(OR(S12="Annual O&amp;M",S12="Maintenance-only"),IF(T12&gt;15,0,IF(O12&lt;&gt;"",O12,MAX(0,N(H12)+N(K12))*IF(N12&lt;&gt;"",N12,M12))*MAX(0,15-T12+1)),0)))),0)</f>
        <v/>
      </c>
      <c r="AF12" s="179">
        <f>IFERROR(IF(OR(R12&lt;&gt;"Yes",Q12&lt;&gt;"ESD"),0,IF(S12="Cash capital",IF(T12&lt;=20,IF(O12&lt;&gt;"",O12,MAX(0,N(I12)+N(K12))*IF(N12&lt;&gt;"",N12,M12)),0),IF(S12="Debt service",IF(T12&gt;20,0,W12*MAX(0,MIN(20-T12+1,U12))),IF(OR(S12="Annual O&amp;M",S12="Maintenance-only"),IF(T12&gt;20,0,IF(O12&lt;&gt;"",O12,MAX(0,N(I12)+N(K12))*IF(N12&lt;&gt;"",N12,M12))*MAX(0,20-T12+1)),0)))),0)</f>
        <v/>
      </c>
      <c r="AG12" s="179">
        <f>IFERROR(IF(OR(R12&lt;&gt;"Yes",Q12&lt;&gt;"ESD"),0,IF(S12="Cash capital",IF(T12&lt;=30,IF(O12&lt;&gt;"",O12,MAX(0,N(J12)+N(K12))*IF(N12&lt;&gt;"",N12,M12)),0),IF(S12="Debt service",IF(T12&gt;30,0,W12*MAX(0,MIN(30-T12+1,U12))),IF(OR(S12="Annual O&amp;M",S12="Maintenance-only"),IF(T12&gt;30,0,IF(O12&lt;&gt;"",O12,MAX(0,N(J12)+N(K12))*IF(N12&lt;&gt;"",N12,M12))*MAX(0,30-T12+1)),0)))),0)</f>
        <v/>
      </c>
      <c r="AH12" s="188" t="inlineStr">
        <is>
          <t>Thoroughfare planning allowance; actual route/section should override.</t>
        </is>
      </c>
    </row>
    <row r="13" ht="28.5" customHeight="1" s="106">
      <c r="A13" s="105" t="inlineStr">
        <is>
          <t>Local street</t>
        </is>
      </c>
      <c r="B13" s="105" t="inlineStr">
        <is>
          <t>City</t>
        </is>
      </c>
      <c r="C13" s="105" t="inlineStr">
        <is>
          <t>captured acres</t>
        </is>
      </c>
      <c r="D13" s="105" t="inlineStr">
        <is>
          <t>lane-miles</t>
        </is>
      </c>
      <c r="E13" s="105" t="inlineStr">
        <is>
          <t>120 centerline LF/ac × 2 lanes</t>
        </is>
      </c>
      <c r="F13" s="172">
        <f>('03_Multi_Horizon_Results'!$B$5*'12_Takeoff_Assumptions'!$B$6/5280)*'12_Takeoff_Assumptions'!$B$8</f>
        <v/>
      </c>
      <c r="G13" s="172">
        <f>('03_Multi_Horizon_Results'!$C$5*'12_Takeoff_Assumptions'!$B$6/5280)*'12_Takeoff_Assumptions'!$B$8</f>
        <v/>
      </c>
      <c r="H13" s="172">
        <f>('03_Multi_Horizon_Results'!$D$5*'12_Takeoff_Assumptions'!$B$6/5280)*'12_Takeoff_Assumptions'!$B$8</f>
        <v/>
      </c>
      <c r="I13" s="172">
        <f>('03_Multi_Horizon_Results'!$E$5*'12_Takeoff_Assumptions'!$B$6/5280)*'12_Takeoff_Assumptions'!$B$8</f>
        <v/>
      </c>
      <c r="J13" s="172">
        <f>('03_Multi_Horizon_Results'!$F$5*'12_Takeoff_Assumptions'!$B$6/5280)*'12_Takeoff_Assumptions'!$B$8</f>
        <v/>
      </c>
      <c r="K13" s="173" t="n"/>
      <c r="L13" s="172">
        <f>MAX(0,N(G13)+N(K13))</f>
        <v/>
      </c>
      <c r="M13" s="174" t="n">
        <v>600000</v>
      </c>
      <c r="N13" s="175" t="n"/>
      <c r="O13" s="175" t="n"/>
      <c r="P13" s="174">
        <f>IFERROR(IF(O13&lt;&gt;"",O13,L13*IF(N13&lt;&gt;"",N13,M13)),0)</f>
        <v/>
      </c>
      <c r="Q13" s="176" t="inlineStr">
        <is>
          <t>City</t>
        </is>
      </c>
      <c r="R13" s="177" t="inlineStr">
        <is>
          <t>No</t>
        </is>
      </c>
      <c r="S13" s="177" t="inlineStr">
        <is>
          <t>Debt service</t>
        </is>
      </c>
      <c r="T13" s="177" t="n">
        <v>1</v>
      </c>
      <c r="U13" s="177" t="n">
        <v>20</v>
      </c>
      <c r="V13" s="178" t="n">
        <v>0.045</v>
      </c>
      <c r="W13" s="159">
        <f>IFERROR(IF(AND(R13="Yes",S13="Debt service",U13&gt;0),IF(V13=0,P13/U13,P13*V13/(1-(1+V13)^(-U13))),0),0)</f>
        <v/>
      </c>
      <c r="X13" s="179">
        <f>IFERROR(IF(OR(R13&lt;&gt;"Yes",Q13&lt;&gt;"City"),0,IF(S13="Cash capital",IF(T13&lt;=5,IF(O13&lt;&gt;"",O13,MAX(0,N(F13)+N(K13))*IF(N13&lt;&gt;"",N13,M13)),0),IF(S13="Debt service",IF(T13&gt;5,0,W13*MAX(0,MIN(5-T13+1,U13))),IF(OR(S13="Annual O&amp;M",S13="Maintenance-only"),IF(T13&gt;5,0,IF(O13&lt;&gt;"",O13,MAX(0,N(F13)+N(K13))*IF(N13&lt;&gt;"",N13,M13))*MAX(0,5-T13+1)),0)))),0)</f>
        <v/>
      </c>
      <c r="Y13" s="179">
        <f>IFERROR(IF(OR(R13&lt;&gt;"Yes",Q13&lt;&gt;"City"),0,IF(S13="Cash capital",IF(T13&lt;=10,IF(O13&lt;&gt;"",O13,MAX(0,N(G13)+N(K13))*IF(N13&lt;&gt;"",N13,M13)),0),IF(S13="Debt service",IF(T13&gt;10,0,W13*MAX(0,MIN(10-T13+1,U13))),IF(OR(S13="Annual O&amp;M",S13="Maintenance-only"),IF(T13&gt;10,0,IF(O13&lt;&gt;"",O13,MAX(0,N(G13)+N(K13))*IF(N13&lt;&gt;"",N13,M13))*MAX(0,10-T13+1)),0)))),0)</f>
        <v/>
      </c>
      <c r="Z13" s="179">
        <f>IFERROR(IF(OR(R13&lt;&gt;"Yes",Q13&lt;&gt;"City"),0,IF(S13="Cash capital",IF(T13&lt;=15,IF(O13&lt;&gt;"",O13,MAX(0,N(H13)+N(K13))*IF(N13&lt;&gt;"",N13,M13)),0),IF(S13="Debt service",IF(T13&gt;15,0,W13*MAX(0,MIN(15-T13+1,U13))),IF(OR(S13="Annual O&amp;M",S13="Maintenance-only"),IF(T13&gt;15,0,IF(O13&lt;&gt;"",O13,MAX(0,N(H13)+N(K13))*IF(N13&lt;&gt;"",N13,M13))*MAX(0,15-T13+1)),0)))),0)</f>
        <v/>
      </c>
      <c r="AA13" s="179">
        <f>IFERROR(IF(OR(R13&lt;&gt;"Yes",Q13&lt;&gt;"City"),0,IF(S13="Cash capital",IF(T13&lt;=20,IF(O13&lt;&gt;"",O13,MAX(0,N(I13)+N(K13))*IF(N13&lt;&gt;"",N13,M13)),0),IF(S13="Debt service",IF(T13&gt;20,0,W13*MAX(0,MIN(20-T13+1,U13))),IF(OR(S13="Annual O&amp;M",S13="Maintenance-only"),IF(T13&gt;20,0,IF(O13&lt;&gt;"",O13,MAX(0,N(I13)+N(K13))*IF(N13&lt;&gt;"",N13,M13))*MAX(0,20-T13+1)),0)))),0)</f>
        <v/>
      </c>
      <c r="AB13" s="179">
        <f>IFERROR(IF(OR(R13&lt;&gt;"Yes",Q13&lt;&gt;"City"),0,IF(S13="Cash capital",IF(T13&lt;=30,IF(O13&lt;&gt;"",O13,MAX(0,N(J13)+N(K13))*IF(N13&lt;&gt;"",N13,M13)),0),IF(S13="Debt service",IF(T13&gt;30,0,W13*MAX(0,MIN(30-T13+1,U13))),IF(OR(S13="Annual O&amp;M",S13="Maintenance-only"),IF(T13&gt;30,0,IF(O13&lt;&gt;"",O13,MAX(0,N(J13)+N(K13))*IF(N13&lt;&gt;"",N13,M13))*MAX(0,30-T13+1)),0)))),0)</f>
        <v/>
      </c>
      <c r="AC13" s="179">
        <f>IFERROR(IF(OR(R13&lt;&gt;"Yes",Q13&lt;&gt;"ESD"),0,IF(S13="Cash capital",IF(T13&lt;=5,IF(O13&lt;&gt;"",O13,MAX(0,N(F13)+N(K13))*IF(N13&lt;&gt;"",N13,M13)),0),IF(S13="Debt service",IF(T13&gt;5,0,W13*MAX(0,MIN(5-T13+1,U13))),IF(OR(S13="Annual O&amp;M",S13="Maintenance-only"),IF(T13&gt;5,0,IF(O13&lt;&gt;"",O13,MAX(0,N(F13)+N(K13))*IF(N13&lt;&gt;"",N13,M13))*MAX(0,5-T13+1)),0)))),0)</f>
        <v/>
      </c>
      <c r="AD13" s="179">
        <f>IFERROR(IF(OR(R13&lt;&gt;"Yes",Q13&lt;&gt;"ESD"),0,IF(S13="Cash capital",IF(T13&lt;=10,IF(O13&lt;&gt;"",O13,MAX(0,N(G13)+N(K13))*IF(N13&lt;&gt;"",N13,M13)),0),IF(S13="Debt service",IF(T13&gt;10,0,W13*MAX(0,MIN(10-T13+1,U13))),IF(OR(S13="Annual O&amp;M",S13="Maintenance-only"),IF(T13&gt;10,0,IF(O13&lt;&gt;"",O13,MAX(0,N(G13)+N(K13))*IF(N13&lt;&gt;"",N13,M13))*MAX(0,10-T13+1)),0)))),0)</f>
        <v/>
      </c>
      <c r="AE13" s="179">
        <f>IFERROR(IF(OR(R13&lt;&gt;"Yes",Q13&lt;&gt;"ESD"),0,IF(S13="Cash capital",IF(T13&lt;=15,IF(O13&lt;&gt;"",O13,MAX(0,N(H13)+N(K13))*IF(N13&lt;&gt;"",N13,M13)),0),IF(S13="Debt service",IF(T13&gt;15,0,W13*MAX(0,MIN(15-T13+1,U13))),IF(OR(S13="Annual O&amp;M",S13="Maintenance-only"),IF(T13&gt;15,0,IF(O13&lt;&gt;"",O13,MAX(0,N(H13)+N(K13))*IF(N13&lt;&gt;"",N13,M13))*MAX(0,15-T13+1)),0)))),0)</f>
        <v/>
      </c>
      <c r="AF13" s="179">
        <f>IFERROR(IF(OR(R13&lt;&gt;"Yes",Q13&lt;&gt;"ESD"),0,IF(S13="Cash capital",IF(T13&lt;=20,IF(O13&lt;&gt;"",O13,MAX(0,N(I13)+N(K13))*IF(N13&lt;&gt;"",N13,M13)),0),IF(S13="Debt service",IF(T13&gt;20,0,W13*MAX(0,MIN(20-T13+1,U13))),IF(OR(S13="Annual O&amp;M",S13="Maintenance-only"),IF(T13&gt;20,0,IF(O13&lt;&gt;"",O13,MAX(0,N(I13)+N(K13))*IF(N13&lt;&gt;"",N13,M13))*MAX(0,20-T13+1)),0)))),0)</f>
        <v/>
      </c>
      <c r="AG13" s="179">
        <f>IFERROR(IF(OR(R13&lt;&gt;"Yes",Q13&lt;&gt;"ESD"),0,IF(S13="Cash capital",IF(T13&lt;=30,IF(O13&lt;&gt;"",O13,MAX(0,N(J13)+N(K13))*IF(N13&lt;&gt;"",N13,M13)),0),IF(S13="Debt service",IF(T13&gt;30,0,W13*MAX(0,MIN(30-T13+1,U13))),IF(OR(S13="Annual O&amp;M",S13="Maintenance-only"),IF(T13&gt;30,0,IF(O13&lt;&gt;"",O13,MAX(0,N(J13)+N(K13))*IF(N13&lt;&gt;"",N13,M13))*MAX(0,30-T13+1)),0)))),0)</f>
        <v/>
      </c>
      <c r="AH13" s="188" t="inlineStr">
        <is>
          <t>Local street lane-mile takeoff; actual plat should override.</t>
        </is>
      </c>
    </row>
    <row r="14" ht="14.25" customHeight="1" s="106">
      <c r="A14" s="105" t="inlineStr">
        <is>
          <t>Sidewalk / trail</t>
        </is>
      </c>
      <c r="B14" s="105" t="inlineStr">
        <is>
          <t>City</t>
        </is>
      </c>
      <c r="C14" s="105" t="inlineStr">
        <is>
          <t>captured acres</t>
        </is>
      </c>
      <c r="D14" s="105" t="inlineStr">
        <is>
          <t>linear ft</t>
        </is>
      </c>
      <c r="E14" s="105" t="inlineStr">
        <is>
          <t>300 LF/ac</t>
        </is>
      </c>
      <c r="F14" s="172">
        <f>'03_Multi_Horizon_Results'!$B$5*'12_Takeoff_Assumptions'!$B$24</f>
        <v/>
      </c>
      <c r="G14" s="172">
        <f>'03_Multi_Horizon_Results'!$C$5*'12_Takeoff_Assumptions'!$B$24</f>
        <v/>
      </c>
      <c r="H14" s="172">
        <f>'03_Multi_Horizon_Results'!$D$5*'12_Takeoff_Assumptions'!$B$24</f>
        <v/>
      </c>
      <c r="I14" s="172">
        <f>'03_Multi_Horizon_Results'!$E$5*'12_Takeoff_Assumptions'!$B$24</f>
        <v/>
      </c>
      <c r="J14" s="172">
        <f>'03_Multi_Horizon_Results'!$F$5*'12_Takeoff_Assumptions'!$B$24</f>
        <v/>
      </c>
      <c r="K14" s="173" t="n"/>
      <c r="L14" s="172">
        <f>MAX(0,N(G14)+N(K14))</f>
        <v/>
      </c>
      <c r="M14" s="174" t="n">
        <v>75</v>
      </c>
      <c r="N14" s="175" t="n"/>
      <c r="O14" s="175" t="n"/>
      <c r="P14" s="174">
        <f>IFERROR(IF(O14&lt;&gt;"",O14,L14*IF(N14&lt;&gt;"",N14,M14)),0)</f>
        <v/>
      </c>
      <c r="Q14" s="176" t="inlineStr">
        <is>
          <t>City</t>
        </is>
      </c>
      <c r="R14" s="177" t="inlineStr">
        <is>
          <t>No</t>
        </is>
      </c>
      <c r="S14" s="177" t="inlineStr">
        <is>
          <t>Debt service</t>
        </is>
      </c>
      <c r="T14" s="177" t="n">
        <v>1</v>
      </c>
      <c r="U14" s="177" t="n">
        <v>20</v>
      </c>
      <c r="V14" s="178" t="n">
        <v>0.045</v>
      </c>
      <c r="W14" s="159">
        <f>IFERROR(IF(AND(R14="Yes",S14="Debt service",U14&gt;0),IF(V14=0,P14/U14,P14*V14/(1-(1+V14)^(-U14))),0),0)</f>
        <v/>
      </c>
      <c r="X14" s="179">
        <f>IFERROR(IF(OR(R14&lt;&gt;"Yes",Q14&lt;&gt;"City"),0,IF(S14="Cash capital",IF(T14&lt;=5,IF(O14&lt;&gt;"",O14,MAX(0,N(F14)+N(K14))*IF(N14&lt;&gt;"",N14,M14)),0),IF(S14="Debt service",IF(T14&gt;5,0,W14*MAX(0,MIN(5-T14+1,U14))),IF(OR(S14="Annual O&amp;M",S14="Maintenance-only"),IF(T14&gt;5,0,IF(O14&lt;&gt;"",O14,MAX(0,N(F14)+N(K14))*IF(N14&lt;&gt;"",N14,M14))*MAX(0,5-T14+1)),0)))),0)</f>
        <v/>
      </c>
      <c r="Y14" s="179">
        <f>IFERROR(IF(OR(R14&lt;&gt;"Yes",Q14&lt;&gt;"City"),0,IF(S14="Cash capital",IF(T14&lt;=10,IF(O14&lt;&gt;"",O14,MAX(0,N(G14)+N(K14))*IF(N14&lt;&gt;"",N14,M14)),0),IF(S14="Debt service",IF(T14&gt;10,0,W14*MAX(0,MIN(10-T14+1,U14))),IF(OR(S14="Annual O&amp;M",S14="Maintenance-only"),IF(T14&gt;10,0,IF(O14&lt;&gt;"",O14,MAX(0,N(G14)+N(K14))*IF(N14&lt;&gt;"",N14,M14))*MAX(0,10-T14+1)),0)))),0)</f>
        <v/>
      </c>
      <c r="Z14" s="179">
        <f>IFERROR(IF(OR(R14&lt;&gt;"Yes",Q14&lt;&gt;"City"),0,IF(S14="Cash capital",IF(T14&lt;=15,IF(O14&lt;&gt;"",O14,MAX(0,N(H14)+N(K14))*IF(N14&lt;&gt;"",N14,M14)),0),IF(S14="Debt service",IF(T14&gt;15,0,W14*MAX(0,MIN(15-T14+1,U14))),IF(OR(S14="Annual O&amp;M",S14="Maintenance-only"),IF(T14&gt;15,0,IF(O14&lt;&gt;"",O14,MAX(0,N(H14)+N(K14))*IF(N14&lt;&gt;"",N14,M14))*MAX(0,15-T14+1)),0)))),0)</f>
        <v/>
      </c>
      <c r="AA14" s="179">
        <f>IFERROR(IF(OR(R14&lt;&gt;"Yes",Q14&lt;&gt;"City"),0,IF(S14="Cash capital",IF(T14&lt;=20,IF(O14&lt;&gt;"",O14,MAX(0,N(I14)+N(K14))*IF(N14&lt;&gt;"",N14,M14)),0),IF(S14="Debt service",IF(T14&gt;20,0,W14*MAX(0,MIN(20-T14+1,U14))),IF(OR(S14="Annual O&amp;M",S14="Maintenance-only"),IF(T14&gt;20,0,IF(O14&lt;&gt;"",O14,MAX(0,N(I14)+N(K14))*IF(N14&lt;&gt;"",N14,M14))*MAX(0,20-T14+1)),0)))),0)</f>
        <v/>
      </c>
      <c r="AB14" s="179">
        <f>IFERROR(IF(OR(R14&lt;&gt;"Yes",Q14&lt;&gt;"City"),0,IF(S14="Cash capital",IF(T14&lt;=30,IF(O14&lt;&gt;"",O14,MAX(0,N(J14)+N(K14))*IF(N14&lt;&gt;"",N14,M14)),0),IF(S14="Debt service",IF(T14&gt;30,0,W14*MAX(0,MIN(30-T14+1,U14))),IF(OR(S14="Annual O&amp;M",S14="Maintenance-only"),IF(T14&gt;30,0,IF(O14&lt;&gt;"",O14,MAX(0,N(J14)+N(K14))*IF(N14&lt;&gt;"",N14,M14))*MAX(0,30-T14+1)),0)))),0)</f>
        <v/>
      </c>
      <c r="AC14" s="179">
        <f>IFERROR(IF(OR(R14&lt;&gt;"Yes",Q14&lt;&gt;"ESD"),0,IF(S14="Cash capital",IF(T14&lt;=5,IF(O14&lt;&gt;"",O14,MAX(0,N(F14)+N(K14))*IF(N14&lt;&gt;"",N14,M14)),0),IF(S14="Debt service",IF(T14&gt;5,0,W14*MAX(0,MIN(5-T14+1,U14))),IF(OR(S14="Annual O&amp;M",S14="Maintenance-only"),IF(T14&gt;5,0,IF(O14&lt;&gt;"",O14,MAX(0,N(F14)+N(K14))*IF(N14&lt;&gt;"",N14,M14))*MAX(0,5-T14+1)),0)))),0)</f>
        <v/>
      </c>
      <c r="AD14" s="179">
        <f>IFERROR(IF(OR(R14&lt;&gt;"Yes",Q14&lt;&gt;"ESD"),0,IF(S14="Cash capital",IF(T14&lt;=10,IF(O14&lt;&gt;"",O14,MAX(0,N(G14)+N(K14))*IF(N14&lt;&gt;"",N14,M14)),0),IF(S14="Debt service",IF(T14&gt;10,0,W14*MAX(0,MIN(10-T14+1,U14))),IF(OR(S14="Annual O&amp;M",S14="Maintenance-only"),IF(T14&gt;10,0,IF(O14&lt;&gt;"",O14,MAX(0,N(G14)+N(K14))*IF(N14&lt;&gt;"",N14,M14))*MAX(0,10-T14+1)),0)))),0)</f>
        <v/>
      </c>
      <c r="AE14" s="179">
        <f>IFERROR(IF(OR(R14&lt;&gt;"Yes",Q14&lt;&gt;"ESD"),0,IF(S14="Cash capital",IF(T14&lt;=15,IF(O14&lt;&gt;"",O14,MAX(0,N(H14)+N(K14))*IF(N14&lt;&gt;"",N14,M14)),0),IF(S14="Debt service",IF(T14&gt;15,0,W14*MAX(0,MIN(15-T14+1,U14))),IF(OR(S14="Annual O&amp;M",S14="Maintenance-only"),IF(T14&gt;15,0,IF(O14&lt;&gt;"",O14,MAX(0,N(H14)+N(K14))*IF(N14&lt;&gt;"",N14,M14))*MAX(0,15-T14+1)),0)))),0)</f>
        <v/>
      </c>
      <c r="AF14" s="179">
        <f>IFERROR(IF(OR(R14&lt;&gt;"Yes",Q14&lt;&gt;"ESD"),0,IF(S14="Cash capital",IF(T14&lt;=20,IF(O14&lt;&gt;"",O14,MAX(0,N(I14)+N(K14))*IF(N14&lt;&gt;"",N14,M14)),0),IF(S14="Debt service",IF(T14&gt;20,0,W14*MAX(0,MIN(20-T14+1,U14))),IF(OR(S14="Annual O&amp;M",S14="Maintenance-only"),IF(T14&gt;20,0,IF(O14&lt;&gt;"",O14,MAX(0,N(I14)+N(K14))*IF(N14&lt;&gt;"",N14,M14))*MAX(0,20-T14+1)),0)))),0)</f>
        <v/>
      </c>
      <c r="AG14" s="179">
        <f>IFERROR(IF(OR(R14&lt;&gt;"Yes",Q14&lt;&gt;"ESD"),0,IF(S14="Cash capital",IF(T14&lt;=30,IF(O14&lt;&gt;"",O14,MAX(0,N(J14)+N(K14))*IF(N14&lt;&gt;"",N14,M14)),0),IF(S14="Debt service",IF(T14&gt;30,0,W14*MAX(0,MIN(30-T14+1,U14))),IF(OR(S14="Annual O&amp;M",S14="Maintenance-only"),IF(T14&gt;30,0,IF(O14&lt;&gt;"",O14,MAX(0,N(J14)+N(K14))*IF(N14&lt;&gt;"",N14,M14))*MAX(0,30-T14+1)),0)))),0)</f>
        <v/>
      </c>
      <c r="AH14" s="188" t="inlineStr">
        <is>
          <t>Planning benchmark; frontage/trail plans should override.</t>
        </is>
      </c>
    </row>
    <row r="15" ht="14.25" customHeight="1" s="106">
      <c r="A15" s="105" t="inlineStr">
        <is>
          <t>Drainage / detention acreage</t>
        </is>
      </c>
      <c r="B15" s="105" t="inlineStr">
        <is>
          <t>City</t>
        </is>
      </c>
      <c r="C15" s="105" t="inlineStr">
        <is>
          <t>captured acres</t>
        </is>
      </c>
      <c r="D15" s="105" t="inlineStr">
        <is>
          <t>acres</t>
        </is>
      </c>
      <c r="E15" s="105" t="inlineStr">
        <is>
          <t>0.10 ac/ac</t>
        </is>
      </c>
      <c r="F15" s="172">
        <f>'03_Multi_Horizon_Results'!$B$5*'12_Takeoff_Assumptions'!$B$25</f>
        <v/>
      </c>
      <c r="G15" s="172">
        <f>'03_Multi_Horizon_Results'!$C$5*'12_Takeoff_Assumptions'!$B$25</f>
        <v/>
      </c>
      <c r="H15" s="172">
        <f>'03_Multi_Horizon_Results'!$D$5*'12_Takeoff_Assumptions'!$B$25</f>
        <v/>
      </c>
      <c r="I15" s="172">
        <f>'03_Multi_Horizon_Results'!$E$5*'12_Takeoff_Assumptions'!$B$25</f>
        <v/>
      </c>
      <c r="J15" s="172">
        <f>'03_Multi_Horizon_Results'!$F$5*'12_Takeoff_Assumptions'!$B$25</f>
        <v/>
      </c>
      <c r="K15" s="173" t="n"/>
      <c r="L15" s="172">
        <f>MAX(0,N(G15)+N(K15))</f>
        <v/>
      </c>
      <c r="M15" s="174" t="n">
        <v>150000</v>
      </c>
      <c r="N15" s="175" t="n"/>
      <c r="O15" s="175" t="n"/>
      <c r="P15" s="174">
        <f>IFERROR(IF(O15&lt;&gt;"",O15,L15*IF(N15&lt;&gt;"",N15,M15)),0)</f>
        <v/>
      </c>
      <c r="Q15" s="176" t="inlineStr">
        <is>
          <t>City</t>
        </is>
      </c>
      <c r="R15" s="177" t="inlineStr">
        <is>
          <t>No</t>
        </is>
      </c>
      <c r="S15" s="177" t="inlineStr">
        <is>
          <t>Debt service</t>
        </is>
      </c>
      <c r="T15" s="177" t="n">
        <v>1</v>
      </c>
      <c r="U15" s="177" t="n">
        <v>20</v>
      </c>
      <c r="V15" s="178" t="n">
        <v>0.045</v>
      </c>
      <c r="W15" s="159">
        <f>IFERROR(IF(AND(R15="Yes",S15="Debt service",U15&gt;0),IF(V15=0,P15/U15,P15*V15/(1-(1+V15)^(-U15))),0),0)</f>
        <v/>
      </c>
      <c r="X15" s="179">
        <f>IFERROR(IF(OR(R15&lt;&gt;"Yes",Q15&lt;&gt;"City"),0,IF(S15="Cash capital",IF(T15&lt;=5,IF(O15&lt;&gt;"",O15,MAX(0,N(F15)+N(K15))*IF(N15&lt;&gt;"",N15,M15)),0),IF(S15="Debt service",IF(T15&gt;5,0,W15*MAX(0,MIN(5-T15+1,U15))),IF(OR(S15="Annual O&amp;M",S15="Maintenance-only"),IF(T15&gt;5,0,IF(O15&lt;&gt;"",O15,MAX(0,N(F15)+N(K15))*IF(N15&lt;&gt;"",N15,M15))*MAX(0,5-T15+1)),0)))),0)</f>
        <v/>
      </c>
      <c r="Y15" s="179">
        <f>IFERROR(IF(OR(R15&lt;&gt;"Yes",Q15&lt;&gt;"City"),0,IF(S15="Cash capital",IF(T15&lt;=10,IF(O15&lt;&gt;"",O15,MAX(0,N(G15)+N(K15))*IF(N15&lt;&gt;"",N15,M15)),0),IF(S15="Debt service",IF(T15&gt;10,0,W15*MAX(0,MIN(10-T15+1,U15))),IF(OR(S15="Annual O&amp;M",S15="Maintenance-only"),IF(T15&gt;10,0,IF(O15&lt;&gt;"",O15,MAX(0,N(G15)+N(K15))*IF(N15&lt;&gt;"",N15,M15))*MAX(0,10-T15+1)),0)))),0)</f>
        <v/>
      </c>
      <c r="Z15" s="179">
        <f>IFERROR(IF(OR(R15&lt;&gt;"Yes",Q15&lt;&gt;"City"),0,IF(S15="Cash capital",IF(T15&lt;=15,IF(O15&lt;&gt;"",O15,MAX(0,N(H15)+N(K15))*IF(N15&lt;&gt;"",N15,M15)),0),IF(S15="Debt service",IF(T15&gt;15,0,W15*MAX(0,MIN(15-T15+1,U15))),IF(OR(S15="Annual O&amp;M",S15="Maintenance-only"),IF(T15&gt;15,0,IF(O15&lt;&gt;"",O15,MAX(0,N(H15)+N(K15))*IF(N15&lt;&gt;"",N15,M15))*MAX(0,15-T15+1)),0)))),0)</f>
        <v/>
      </c>
      <c r="AA15" s="179">
        <f>IFERROR(IF(OR(R15&lt;&gt;"Yes",Q15&lt;&gt;"City"),0,IF(S15="Cash capital",IF(T15&lt;=20,IF(O15&lt;&gt;"",O15,MAX(0,N(I15)+N(K15))*IF(N15&lt;&gt;"",N15,M15)),0),IF(S15="Debt service",IF(T15&gt;20,0,W15*MAX(0,MIN(20-T15+1,U15))),IF(OR(S15="Annual O&amp;M",S15="Maintenance-only"),IF(T15&gt;20,0,IF(O15&lt;&gt;"",O15,MAX(0,N(I15)+N(K15))*IF(N15&lt;&gt;"",N15,M15))*MAX(0,20-T15+1)),0)))),0)</f>
        <v/>
      </c>
      <c r="AB15" s="179">
        <f>IFERROR(IF(OR(R15&lt;&gt;"Yes",Q15&lt;&gt;"City"),0,IF(S15="Cash capital",IF(T15&lt;=30,IF(O15&lt;&gt;"",O15,MAX(0,N(J15)+N(K15))*IF(N15&lt;&gt;"",N15,M15)),0),IF(S15="Debt service",IF(T15&gt;30,0,W15*MAX(0,MIN(30-T15+1,U15))),IF(OR(S15="Annual O&amp;M",S15="Maintenance-only"),IF(T15&gt;30,0,IF(O15&lt;&gt;"",O15,MAX(0,N(J15)+N(K15))*IF(N15&lt;&gt;"",N15,M15))*MAX(0,30-T15+1)),0)))),0)</f>
        <v/>
      </c>
      <c r="AC15" s="179">
        <f>IFERROR(IF(OR(R15&lt;&gt;"Yes",Q15&lt;&gt;"ESD"),0,IF(S15="Cash capital",IF(T15&lt;=5,IF(O15&lt;&gt;"",O15,MAX(0,N(F15)+N(K15))*IF(N15&lt;&gt;"",N15,M15)),0),IF(S15="Debt service",IF(T15&gt;5,0,W15*MAX(0,MIN(5-T15+1,U15))),IF(OR(S15="Annual O&amp;M",S15="Maintenance-only"),IF(T15&gt;5,0,IF(O15&lt;&gt;"",O15,MAX(0,N(F15)+N(K15))*IF(N15&lt;&gt;"",N15,M15))*MAX(0,5-T15+1)),0)))),0)</f>
        <v/>
      </c>
      <c r="AD15" s="179">
        <f>IFERROR(IF(OR(R15&lt;&gt;"Yes",Q15&lt;&gt;"ESD"),0,IF(S15="Cash capital",IF(T15&lt;=10,IF(O15&lt;&gt;"",O15,MAX(0,N(G15)+N(K15))*IF(N15&lt;&gt;"",N15,M15)),0),IF(S15="Debt service",IF(T15&gt;10,0,W15*MAX(0,MIN(10-T15+1,U15))),IF(OR(S15="Annual O&amp;M",S15="Maintenance-only"),IF(T15&gt;10,0,IF(O15&lt;&gt;"",O15,MAX(0,N(G15)+N(K15))*IF(N15&lt;&gt;"",N15,M15))*MAX(0,10-T15+1)),0)))),0)</f>
        <v/>
      </c>
      <c r="AE15" s="179">
        <f>IFERROR(IF(OR(R15&lt;&gt;"Yes",Q15&lt;&gt;"ESD"),0,IF(S15="Cash capital",IF(T15&lt;=15,IF(O15&lt;&gt;"",O15,MAX(0,N(H15)+N(K15))*IF(N15&lt;&gt;"",N15,M15)),0),IF(S15="Debt service",IF(T15&gt;15,0,W15*MAX(0,MIN(15-T15+1,U15))),IF(OR(S15="Annual O&amp;M",S15="Maintenance-only"),IF(T15&gt;15,0,IF(O15&lt;&gt;"",O15,MAX(0,N(H15)+N(K15))*IF(N15&lt;&gt;"",N15,M15))*MAX(0,15-T15+1)),0)))),0)</f>
        <v/>
      </c>
      <c r="AF15" s="179">
        <f>IFERROR(IF(OR(R15&lt;&gt;"Yes",Q15&lt;&gt;"ESD"),0,IF(S15="Cash capital",IF(T15&lt;=20,IF(O15&lt;&gt;"",O15,MAX(0,N(I15)+N(K15))*IF(N15&lt;&gt;"",N15,M15)),0),IF(S15="Debt service",IF(T15&gt;20,0,W15*MAX(0,MIN(20-T15+1,U15))),IF(OR(S15="Annual O&amp;M",S15="Maintenance-only"),IF(T15&gt;20,0,IF(O15&lt;&gt;"",O15,MAX(0,N(I15)+N(K15))*IF(N15&lt;&gt;"",N15,M15))*MAX(0,20-T15+1)),0)))),0)</f>
        <v/>
      </c>
      <c r="AG15" s="179">
        <f>IFERROR(IF(OR(R15&lt;&gt;"Yes",Q15&lt;&gt;"ESD"),0,IF(S15="Cash capital",IF(T15&lt;=30,IF(O15&lt;&gt;"",O15,MAX(0,N(J15)+N(K15))*IF(N15&lt;&gt;"",N15,M15)),0),IF(S15="Debt service",IF(T15&gt;30,0,W15*MAX(0,MIN(30-T15+1,U15))),IF(OR(S15="Annual O&amp;M",S15="Maintenance-only"),IF(T15&gt;30,0,IF(O15&lt;&gt;"",O15,MAX(0,N(J15)+N(K15))*IF(N15&lt;&gt;"",N15,M15))*MAX(0,30-T15+1)),0)))),0)</f>
        <v/>
      </c>
      <c r="AH15" s="188" t="inlineStr">
        <is>
          <t>Drainage/detention planning share; drainage study should override.</t>
        </is>
      </c>
    </row>
    <row r="16" ht="28.5" customHeight="1" s="106">
      <c r="A16" s="105" t="inlineStr">
        <is>
          <t>Traffic signals</t>
        </is>
      </c>
      <c r="B16" s="105" t="inlineStr">
        <is>
          <t>City</t>
        </is>
      </c>
      <c r="C16" s="105" t="inlineStr">
        <is>
          <t>commercial/industrial sqft</t>
        </is>
      </c>
      <c r="D16" s="105" t="inlineStr">
        <is>
          <t>each</t>
        </is>
      </c>
      <c r="E16" s="105" t="inlineStr">
        <is>
          <t>threshold 150,000 sqft</t>
        </is>
      </c>
      <c r="F16" s="172">
        <f>IF('03_Multi_Horizon_Results'!$B$10&gt;'12_Takeoff_Assumptions'!$B$26,ROUNDUP('03_Multi_Horizon_Results'!$B$10/'12_Takeoff_Assumptions'!$B$26,0),0)</f>
        <v/>
      </c>
      <c r="G16" s="172">
        <f>IF('03_Multi_Horizon_Results'!$C$10&gt;'12_Takeoff_Assumptions'!$B$26,ROUNDUP('03_Multi_Horizon_Results'!$C$10/'12_Takeoff_Assumptions'!$B$26,0),0)</f>
        <v/>
      </c>
      <c r="H16" s="172">
        <f>IF('03_Multi_Horizon_Results'!$D$10&gt;'12_Takeoff_Assumptions'!$B$26,ROUNDUP('03_Multi_Horizon_Results'!$D$10/'12_Takeoff_Assumptions'!$B$26,0),0)</f>
        <v/>
      </c>
      <c r="I16" s="172">
        <f>IF('03_Multi_Horizon_Results'!$E$10&gt;'12_Takeoff_Assumptions'!$B$26,ROUNDUP('03_Multi_Horizon_Results'!$E$10/'12_Takeoff_Assumptions'!$B$26,0),0)</f>
        <v/>
      </c>
      <c r="J16" s="172">
        <f>IF('03_Multi_Horizon_Results'!$F$10&gt;'12_Takeoff_Assumptions'!$B$26,ROUNDUP('03_Multi_Horizon_Results'!$F$10/'12_Takeoff_Assumptions'!$B$26,0),0)</f>
        <v/>
      </c>
      <c r="K16" s="173" t="n"/>
      <c r="L16" s="172">
        <f>MAX(0,N(G16)+N(K16))</f>
        <v/>
      </c>
      <c r="M16" s="174" t="n">
        <v>350000</v>
      </c>
      <c r="N16" s="175" t="n"/>
      <c r="O16" s="175" t="n"/>
      <c r="P16" s="174">
        <f>IFERROR(IF(O16&lt;&gt;"",O16,L16*IF(N16&lt;&gt;"",N16,M16)),0)</f>
        <v/>
      </c>
      <c r="Q16" s="176" t="inlineStr">
        <is>
          <t>City</t>
        </is>
      </c>
      <c r="R16" s="177" t="inlineStr">
        <is>
          <t>No</t>
        </is>
      </c>
      <c r="S16" s="177" t="inlineStr">
        <is>
          <t>Debt service</t>
        </is>
      </c>
      <c r="T16" s="177" t="n">
        <v>1</v>
      </c>
      <c r="U16" s="177" t="n">
        <v>20</v>
      </c>
      <c r="V16" s="178" t="n">
        <v>0.045</v>
      </c>
      <c r="W16" s="159">
        <f>IFERROR(IF(AND(R16="Yes",S16="Debt service",U16&gt;0),IF(V16=0,P16/U16,P16*V16/(1-(1+V16)^(-U16))),0),0)</f>
        <v/>
      </c>
      <c r="X16" s="179">
        <f>IFERROR(IF(OR(R16&lt;&gt;"Yes",Q16&lt;&gt;"City"),0,IF(S16="Cash capital",IF(T16&lt;=5,IF(O16&lt;&gt;"",O16,MAX(0,N(F16)+N(K16))*IF(N16&lt;&gt;"",N16,M16)),0),IF(S16="Debt service",IF(T16&gt;5,0,W16*MAX(0,MIN(5-T16+1,U16))),IF(OR(S16="Annual O&amp;M",S16="Maintenance-only"),IF(T16&gt;5,0,IF(O16&lt;&gt;"",O16,MAX(0,N(F16)+N(K16))*IF(N16&lt;&gt;"",N16,M16))*MAX(0,5-T16+1)),0)))),0)</f>
        <v/>
      </c>
      <c r="Y16" s="179">
        <f>IFERROR(IF(OR(R16&lt;&gt;"Yes",Q16&lt;&gt;"City"),0,IF(S16="Cash capital",IF(T16&lt;=10,IF(O16&lt;&gt;"",O16,MAX(0,N(G16)+N(K16))*IF(N16&lt;&gt;"",N16,M16)),0),IF(S16="Debt service",IF(T16&gt;10,0,W16*MAX(0,MIN(10-T16+1,U16))),IF(OR(S16="Annual O&amp;M",S16="Maintenance-only"),IF(T16&gt;10,0,IF(O16&lt;&gt;"",O16,MAX(0,N(G16)+N(K16))*IF(N16&lt;&gt;"",N16,M16))*MAX(0,10-T16+1)),0)))),0)</f>
        <v/>
      </c>
      <c r="Z16" s="179">
        <f>IFERROR(IF(OR(R16&lt;&gt;"Yes",Q16&lt;&gt;"City"),0,IF(S16="Cash capital",IF(T16&lt;=15,IF(O16&lt;&gt;"",O16,MAX(0,N(H16)+N(K16))*IF(N16&lt;&gt;"",N16,M16)),0),IF(S16="Debt service",IF(T16&gt;15,0,W16*MAX(0,MIN(15-T16+1,U16))),IF(OR(S16="Annual O&amp;M",S16="Maintenance-only"),IF(T16&gt;15,0,IF(O16&lt;&gt;"",O16,MAX(0,N(H16)+N(K16))*IF(N16&lt;&gt;"",N16,M16))*MAX(0,15-T16+1)),0)))),0)</f>
        <v/>
      </c>
      <c r="AA16" s="179">
        <f>IFERROR(IF(OR(R16&lt;&gt;"Yes",Q16&lt;&gt;"City"),0,IF(S16="Cash capital",IF(T16&lt;=20,IF(O16&lt;&gt;"",O16,MAX(0,N(I16)+N(K16))*IF(N16&lt;&gt;"",N16,M16)),0),IF(S16="Debt service",IF(T16&gt;20,0,W16*MAX(0,MIN(20-T16+1,U16))),IF(OR(S16="Annual O&amp;M",S16="Maintenance-only"),IF(T16&gt;20,0,IF(O16&lt;&gt;"",O16,MAX(0,N(I16)+N(K16))*IF(N16&lt;&gt;"",N16,M16))*MAX(0,20-T16+1)),0)))),0)</f>
        <v/>
      </c>
      <c r="AB16" s="179">
        <f>IFERROR(IF(OR(R16&lt;&gt;"Yes",Q16&lt;&gt;"City"),0,IF(S16="Cash capital",IF(T16&lt;=30,IF(O16&lt;&gt;"",O16,MAX(0,N(J16)+N(K16))*IF(N16&lt;&gt;"",N16,M16)),0),IF(S16="Debt service",IF(T16&gt;30,0,W16*MAX(0,MIN(30-T16+1,U16))),IF(OR(S16="Annual O&amp;M",S16="Maintenance-only"),IF(T16&gt;30,0,IF(O16&lt;&gt;"",O16,MAX(0,N(J16)+N(K16))*IF(N16&lt;&gt;"",N16,M16))*MAX(0,30-T16+1)),0)))),0)</f>
        <v/>
      </c>
      <c r="AC16" s="179">
        <f>IFERROR(IF(OR(R16&lt;&gt;"Yes",Q16&lt;&gt;"ESD"),0,IF(S16="Cash capital",IF(T16&lt;=5,IF(O16&lt;&gt;"",O16,MAX(0,N(F16)+N(K16))*IF(N16&lt;&gt;"",N16,M16)),0),IF(S16="Debt service",IF(T16&gt;5,0,W16*MAX(0,MIN(5-T16+1,U16))),IF(OR(S16="Annual O&amp;M",S16="Maintenance-only"),IF(T16&gt;5,0,IF(O16&lt;&gt;"",O16,MAX(0,N(F16)+N(K16))*IF(N16&lt;&gt;"",N16,M16))*MAX(0,5-T16+1)),0)))),0)</f>
        <v/>
      </c>
      <c r="AD16" s="179">
        <f>IFERROR(IF(OR(R16&lt;&gt;"Yes",Q16&lt;&gt;"ESD"),0,IF(S16="Cash capital",IF(T16&lt;=10,IF(O16&lt;&gt;"",O16,MAX(0,N(G16)+N(K16))*IF(N16&lt;&gt;"",N16,M16)),0),IF(S16="Debt service",IF(T16&gt;10,0,W16*MAX(0,MIN(10-T16+1,U16))),IF(OR(S16="Annual O&amp;M",S16="Maintenance-only"),IF(T16&gt;10,0,IF(O16&lt;&gt;"",O16,MAX(0,N(G16)+N(K16))*IF(N16&lt;&gt;"",N16,M16))*MAX(0,10-T16+1)),0)))),0)</f>
        <v/>
      </c>
      <c r="AE16" s="179">
        <f>IFERROR(IF(OR(R16&lt;&gt;"Yes",Q16&lt;&gt;"ESD"),0,IF(S16="Cash capital",IF(T16&lt;=15,IF(O16&lt;&gt;"",O16,MAX(0,N(H16)+N(K16))*IF(N16&lt;&gt;"",N16,M16)),0),IF(S16="Debt service",IF(T16&gt;15,0,W16*MAX(0,MIN(15-T16+1,U16))),IF(OR(S16="Annual O&amp;M",S16="Maintenance-only"),IF(T16&gt;15,0,IF(O16&lt;&gt;"",O16,MAX(0,N(H16)+N(K16))*IF(N16&lt;&gt;"",N16,M16))*MAX(0,15-T16+1)),0)))),0)</f>
        <v/>
      </c>
      <c r="AF16" s="179">
        <f>IFERROR(IF(OR(R16&lt;&gt;"Yes",Q16&lt;&gt;"ESD"),0,IF(S16="Cash capital",IF(T16&lt;=20,IF(O16&lt;&gt;"",O16,MAX(0,N(I16)+N(K16))*IF(N16&lt;&gt;"",N16,M16)),0),IF(S16="Debt service",IF(T16&gt;20,0,W16*MAX(0,MIN(20-T16+1,U16))),IF(OR(S16="Annual O&amp;M",S16="Maintenance-only"),IF(T16&gt;20,0,IF(O16&lt;&gt;"",O16,MAX(0,N(I16)+N(K16))*IF(N16&lt;&gt;"",N16,M16))*MAX(0,20-T16+1)),0)))),0)</f>
        <v/>
      </c>
      <c r="AG16" s="179">
        <f>IFERROR(IF(OR(R16&lt;&gt;"Yes",Q16&lt;&gt;"ESD"),0,IF(S16="Cash capital",IF(T16&lt;=30,IF(O16&lt;&gt;"",O16,MAX(0,N(J16)+N(K16))*IF(N16&lt;&gt;"",N16,M16)),0),IF(S16="Debt service",IF(T16&gt;30,0,W16*MAX(0,MIN(30-T16+1,U16))),IF(OR(S16="Annual O&amp;M",S16="Maintenance-only"),IF(T16&gt;30,0,IF(O16&lt;&gt;"",O16,MAX(0,N(J16)+N(K16))*IF(N16&lt;&gt;"",N16,M16))*MAX(0,30-T16+1)),0)))),0)</f>
        <v/>
      </c>
      <c r="AH16" s="188" t="inlineStr">
        <is>
          <t>Planning trigger; traffic impact analysis should override.</t>
        </is>
      </c>
    </row>
    <row r="17" ht="28.5" customHeight="1" s="106">
      <c r="A17" s="105" t="inlineStr">
        <is>
          <t>Police FTEs (sworn)</t>
        </is>
      </c>
      <c r="B17" s="105" t="inlineStr">
        <is>
          <t>City</t>
        </is>
      </c>
      <c r="C17" s="105" t="inlineStr">
        <is>
          <t>captured residents</t>
        </is>
      </c>
      <c r="D17" s="105" t="inlineStr">
        <is>
          <t>FTE</t>
        </is>
      </c>
      <c r="E17" s="105" t="inlineStr">
        <is>
          <t>2.0 FTE/1,000 residents</t>
        </is>
      </c>
      <c r="F17" s="172">
        <f>('03_Multi_Horizon_Results'!$B$7/1000*'12_Takeoff_Assumptions'!$B$11)</f>
        <v/>
      </c>
      <c r="G17" s="172">
        <f>('03_Multi_Horizon_Results'!$C$7/1000*'12_Takeoff_Assumptions'!$B$11)</f>
        <v/>
      </c>
      <c r="H17" s="172">
        <f>('03_Multi_Horizon_Results'!$D$7/1000*'12_Takeoff_Assumptions'!$B$11)</f>
        <v/>
      </c>
      <c r="I17" s="172">
        <f>('03_Multi_Horizon_Results'!$E$7/1000*'12_Takeoff_Assumptions'!$B$11)</f>
        <v/>
      </c>
      <c r="J17" s="172">
        <f>('03_Multi_Horizon_Results'!$F$7/1000*'12_Takeoff_Assumptions'!$B$11)</f>
        <v/>
      </c>
      <c r="K17" s="173" t="n"/>
      <c r="L17" s="172">
        <f>MAX(0,N(G17)+N(K17))</f>
        <v/>
      </c>
      <c r="M17" s="174" t="n">
        <v>120000</v>
      </c>
      <c r="N17" s="175" t="n"/>
      <c r="O17" s="175" t="n"/>
      <c r="P17" s="174">
        <f>IFERROR(IF(O17&lt;&gt;"",O17,L17*IF(N17&lt;&gt;"",N17,M17)),0)</f>
        <v/>
      </c>
      <c r="Q17" s="176" t="inlineStr">
        <is>
          <t>City</t>
        </is>
      </c>
      <c r="R17" s="177" t="inlineStr">
        <is>
          <t>No</t>
        </is>
      </c>
      <c r="S17" s="177" t="inlineStr">
        <is>
          <t>Debt service</t>
        </is>
      </c>
      <c r="T17" s="177" t="n">
        <v>1</v>
      </c>
      <c r="U17" s="177" t="n">
        <v>20</v>
      </c>
      <c r="V17" s="178" t="n">
        <v>0.045</v>
      </c>
      <c r="W17" s="159">
        <f>IFERROR(IF(AND(R17="Yes",S17="Debt service",U17&gt;0),IF(V17=0,P17/U17,P17*V17/(1-(1+V17)^(-U17))),0),0)</f>
        <v/>
      </c>
      <c r="X17" s="179">
        <f>IFERROR(IF(OR(R17&lt;&gt;"Yes",Q17&lt;&gt;"City"),0,IF(S17="Cash capital",IF(T17&lt;=5,IF(O17&lt;&gt;"",O17,MAX(0,N(F17)+N(K17))*IF(N17&lt;&gt;"",N17,M17)),0),IF(S17="Debt service",IF(T17&gt;5,0,W17*MAX(0,MIN(5-T17+1,U17))),IF(OR(S17="Annual O&amp;M",S17="Maintenance-only"),IF(T17&gt;5,0,IF(O17&lt;&gt;"",O17,MAX(0,N(F17)+N(K17))*IF(N17&lt;&gt;"",N17,M17))*MAX(0,5-T17+1)),0)))),0)</f>
        <v/>
      </c>
      <c r="Y17" s="179">
        <f>IFERROR(IF(OR(R17&lt;&gt;"Yes",Q17&lt;&gt;"City"),0,IF(S17="Cash capital",IF(T17&lt;=10,IF(O17&lt;&gt;"",O17,MAX(0,N(G17)+N(K17))*IF(N17&lt;&gt;"",N17,M17)),0),IF(S17="Debt service",IF(T17&gt;10,0,W17*MAX(0,MIN(10-T17+1,U17))),IF(OR(S17="Annual O&amp;M",S17="Maintenance-only"),IF(T17&gt;10,0,IF(O17&lt;&gt;"",O17,MAX(0,N(G17)+N(K17))*IF(N17&lt;&gt;"",N17,M17))*MAX(0,10-T17+1)),0)))),0)</f>
        <v/>
      </c>
      <c r="Z17" s="179">
        <f>IFERROR(IF(OR(R17&lt;&gt;"Yes",Q17&lt;&gt;"City"),0,IF(S17="Cash capital",IF(T17&lt;=15,IF(O17&lt;&gt;"",O17,MAX(0,N(H17)+N(K17))*IF(N17&lt;&gt;"",N17,M17)),0),IF(S17="Debt service",IF(T17&gt;15,0,W17*MAX(0,MIN(15-T17+1,U17))),IF(OR(S17="Annual O&amp;M",S17="Maintenance-only"),IF(T17&gt;15,0,IF(O17&lt;&gt;"",O17,MAX(0,N(H17)+N(K17))*IF(N17&lt;&gt;"",N17,M17))*MAX(0,15-T17+1)),0)))),0)</f>
        <v/>
      </c>
      <c r="AA17" s="179">
        <f>IFERROR(IF(OR(R17&lt;&gt;"Yes",Q17&lt;&gt;"City"),0,IF(S17="Cash capital",IF(T17&lt;=20,IF(O17&lt;&gt;"",O17,MAX(0,N(I17)+N(K17))*IF(N17&lt;&gt;"",N17,M17)),0),IF(S17="Debt service",IF(T17&gt;20,0,W17*MAX(0,MIN(20-T17+1,U17))),IF(OR(S17="Annual O&amp;M",S17="Maintenance-only"),IF(T17&gt;20,0,IF(O17&lt;&gt;"",O17,MAX(0,N(I17)+N(K17))*IF(N17&lt;&gt;"",N17,M17))*MAX(0,20-T17+1)),0)))),0)</f>
        <v/>
      </c>
      <c r="AB17" s="179">
        <f>IFERROR(IF(OR(R17&lt;&gt;"Yes",Q17&lt;&gt;"City"),0,IF(S17="Cash capital",IF(T17&lt;=30,IF(O17&lt;&gt;"",O17,MAX(0,N(J17)+N(K17))*IF(N17&lt;&gt;"",N17,M17)),0),IF(S17="Debt service",IF(T17&gt;30,0,W17*MAX(0,MIN(30-T17+1,U17))),IF(OR(S17="Annual O&amp;M",S17="Maintenance-only"),IF(T17&gt;30,0,IF(O17&lt;&gt;"",O17,MAX(0,N(J17)+N(K17))*IF(N17&lt;&gt;"",N17,M17))*MAX(0,30-T17+1)),0)))),0)</f>
        <v/>
      </c>
      <c r="AC17" s="179">
        <f>IFERROR(IF(OR(R17&lt;&gt;"Yes",Q17&lt;&gt;"ESD"),0,IF(S17="Cash capital",IF(T17&lt;=5,IF(O17&lt;&gt;"",O17,MAX(0,N(F17)+N(K17))*IF(N17&lt;&gt;"",N17,M17)),0),IF(S17="Debt service",IF(T17&gt;5,0,W17*MAX(0,MIN(5-T17+1,U17))),IF(OR(S17="Annual O&amp;M",S17="Maintenance-only"),IF(T17&gt;5,0,IF(O17&lt;&gt;"",O17,MAX(0,N(F17)+N(K17))*IF(N17&lt;&gt;"",N17,M17))*MAX(0,5-T17+1)),0)))),0)</f>
        <v/>
      </c>
      <c r="AD17" s="179">
        <f>IFERROR(IF(OR(R17&lt;&gt;"Yes",Q17&lt;&gt;"ESD"),0,IF(S17="Cash capital",IF(T17&lt;=10,IF(O17&lt;&gt;"",O17,MAX(0,N(G17)+N(K17))*IF(N17&lt;&gt;"",N17,M17)),0),IF(S17="Debt service",IF(T17&gt;10,0,W17*MAX(0,MIN(10-T17+1,U17))),IF(OR(S17="Annual O&amp;M",S17="Maintenance-only"),IF(T17&gt;10,0,IF(O17&lt;&gt;"",O17,MAX(0,N(G17)+N(K17))*IF(N17&lt;&gt;"",N17,M17))*MAX(0,10-T17+1)),0)))),0)</f>
        <v/>
      </c>
      <c r="AE17" s="179">
        <f>IFERROR(IF(OR(R17&lt;&gt;"Yes",Q17&lt;&gt;"ESD"),0,IF(S17="Cash capital",IF(T17&lt;=15,IF(O17&lt;&gt;"",O17,MAX(0,N(H17)+N(K17))*IF(N17&lt;&gt;"",N17,M17)),0),IF(S17="Debt service",IF(T17&gt;15,0,W17*MAX(0,MIN(15-T17+1,U17))),IF(OR(S17="Annual O&amp;M",S17="Maintenance-only"),IF(T17&gt;15,0,IF(O17&lt;&gt;"",O17,MAX(0,N(H17)+N(K17))*IF(N17&lt;&gt;"",N17,M17))*MAX(0,15-T17+1)),0)))),0)</f>
        <v/>
      </c>
      <c r="AF17" s="179">
        <f>IFERROR(IF(OR(R17&lt;&gt;"Yes",Q17&lt;&gt;"ESD"),0,IF(S17="Cash capital",IF(T17&lt;=20,IF(O17&lt;&gt;"",O17,MAX(0,N(I17)+N(K17))*IF(N17&lt;&gt;"",N17,M17)),0),IF(S17="Debt service",IF(T17&gt;20,0,W17*MAX(0,MIN(20-T17+1,U17))),IF(OR(S17="Annual O&amp;M",S17="Maintenance-only"),IF(T17&gt;20,0,IF(O17&lt;&gt;"",O17,MAX(0,N(I17)+N(K17))*IF(N17&lt;&gt;"",N17,M17))*MAX(0,20-T17+1)),0)))),0)</f>
        <v/>
      </c>
      <c r="AG17" s="179">
        <f>IFERROR(IF(OR(R17&lt;&gt;"Yes",Q17&lt;&gt;"ESD"),0,IF(S17="Cash capital",IF(T17&lt;=30,IF(O17&lt;&gt;"",O17,MAX(0,N(J17)+N(K17))*IF(N17&lt;&gt;"",N17,M17)),0),IF(S17="Debt service",IF(T17&gt;30,0,W17*MAX(0,MIN(30-T17+1,U17))),IF(OR(S17="Annual O&amp;M",S17="Maintenance-only"),IF(T17&gt;30,0,IF(O17&lt;&gt;"",O17,MAX(0,N(J17)+N(K17))*IF(N17&lt;&gt;"",N17,M17))*MAX(0,30-T17+1)),0)))),0)</f>
        <v/>
      </c>
      <c r="AH17" s="188" t="inlineStr">
        <is>
          <t>Planning benchmark only; workload-based police staffing should validate.</t>
        </is>
      </c>
    </row>
    <row r="18" ht="14.25" customHeight="1" s="106">
      <c r="A18" s="105" t="inlineStr">
        <is>
          <t>Police vehicles</t>
        </is>
      </c>
      <c r="B18" s="105" t="inlineStr">
        <is>
          <t>City</t>
        </is>
      </c>
      <c r="C18" s="105" t="inlineStr">
        <is>
          <t>police FTE</t>
        </is>
      </c>
      <c r="D18" s="105" t="inlineStr">
        <is>
          <t>each</t>
        </is>
      </c>
      <c r="E18" s="105" t="inlineStr">
        <is>
          <t>1 vehicle / 2 FTE</t>
        </is>
      </c>
      <c r="F18" s="172">
        <f>IF(('03_Multi_Horizon_Results'!$B$7/1000*'12_Takeoff_Assumptions'!$B$11)&gt;=1,ROUNDUP(('03_Multi_Horizon_Results'!$B$7/1000*'12_Takeoff_Assumptions'!$B$11)/2,0),0)</f>
        <v/>
      </c>
      <c r="G18" s="172">
        <f>IF(('03_Multi_Horizon_Results'!$C$7/1000*'12_Takeoff_Assumptions'!$B$11)&gt;=1,ROUNDUP(('03_Multi_Horizon_Results'!$C$7/1000*'12_Takeoff_Assumptions'!$B$11)/2,0),0)</f>
        <v/>
      </c>
      <c r="H18" s="172">
        <f>IF(('03_Multi_Horizon_Results'!$D$7/1000*'12_Takeoff_Assumptions'!$B$11)&gt;=1,ROUNDUP(('03_Multi_Horizon_Results'!$D$7/1000*'12_Takeoff_Assumptions'!$B$11)/2,0),0)</f>
        <v/>
      </c>
      <c r="I18" s="172">
        <f>IF(('03_Multi_Horizon_Results'!$E$7/1000*'12_Takeoff_Assumptions'!$B$11)&gt;=1,ROUNDUP(('03_Multi_Horizon_Results'!$E$7/1000*'12_Takeoff_Assumptions'!$B$11)/2,0),0)</f>
        <v/>
      </c>
      <c r="J18" s="172">
        <f>IF(('03_Multi_Horizon_Results'!$F$7/1000*'12_Takeoff_Assumptions'!$B$11)&gt;=1,ROUNDUP(('03_Multi_Horizon_Results'!$F$7/1000*'12_Takeoff_Assumptions'!$B$11)/2,0),0)</f>
        <v/>
      </c>
      <c r="K18" s="173" t="n"/>
      <c r="L18" s="172">
        <f>MAX(0,N(G18)+N(K18))</f>
        <v/>
      </c>
      <c r="M18" s="174" t="n">
        <v>65000</v>
      </c>
      <c r="N18" s="175" t="n"/>
      <c r="O18" s="175" t="n"/>
      <c r="P18" s="174">
        <f>IFERROR(IF(O18&lt;&gt;"",O18,L18*IF(N18&lt;&gt;"",N18,M18)),0)</f>
        <v/>
      </c>
      <c r="Q18" s="176" t="inlineStr">
        <is>
          <t>City</t>
        </is>
      </c>
      <c r="R18" s="177" t="inlineStr">
        <is>
          <t>No</t>
        </is>
      </c>
      <c r="S18" s="177" t="inlineStr">
        <is>
          <t>Debt service</t>
        </is>
      </c>
      <c r="T18" s="177" t="n">
        <v>1</v>
      </c>
      <c r="U18" s="177" t="n">
        <v>20</v>
      </c>
      <c r="V18" s="178" t="n">
        <v>0.045</v>
      </c>
      <c r="W18" s="159">
        <f>IFERROR(IF(AND(R18="Yes",S18="Debt service",U18&gt;0),IF(V18=0,P18/U18,P18*V18/(1-(1+V18)^(-U18))),0),0)</f>
        <v/>
      </c>
      <c r="X18" s="179">
        <f>IFERROR(IF(OR(R18&lt;&gt;"Yes",Q18&lt;&gt;"City"),0,IF(S18="Cash capital",IF(T18&lt;=5,IF(O18&lt;&gt;"",O18,MAX(0,N(F18)+N(K18))*IF(N18&lt;&gt;"",N18,M18)),0),IF(S18="Debt service",IF(T18&gt;5,0,W18*MAX(0,MIN(5-T18+1,U18))),IF(OR(S18="Annual O&amp;M",S18="Maintenance-only"),IF(T18&gt;5,0,IF(O18&lt;&gt;"",O18,MAX(0,N(F18)+N(K18))*IF(N18&lt;&gt;"",N18,M18))*MAX(0,5-T18+1)),0)))),0)</f>
        <v/>
      </c>
      <c r="Y18" s="179">
        <f>IFERROR(IF(OR(R18&lt;&gt;"Yes",Q18&lt;&gt;"City"),0,IF(S18="Cash capital",IF(T18&lt;=10,IF(O18&lt;&gt;"",O18,MAX(0,N(G18)+N(K18))*IF(N18&lt;&gt;"",N18,M18)),0),IF(S18="Debt service",IF(T18&gt;10,0,W18*MAX(0,MIN(10-T18+1,U18))),IF(OR(S18="Annual O&amp;M",S18="Maintenance-only"),IF(T18&gt;10,0,IF(O18&lt;&gt;"",O18,MAX(0,N(G18)+N(K18))*IF(N18&lt;&gt;"",N18,M18))*MAX(0,10-T18+1)),0)))),0)</f>
        <v/>
      </c>
      <c r="Z18" s="179">
        <f>IFERROR(IF(OR(R18&lt;&gt;"Yes",Q18&lt;&gt;"City"),0,IF(S18="Cash capital",IF(T18&lt;=15,IF(O18&lt;&gt;"",O18,MAX(0,N(H18)+N(K18))*IF(N18&lt;&gt;"",N18,M18)),0),IF(S18="Debt service",IF(T18&gt;15,0,W18*MAX(0,MIN(15-T18+1,U18))),IF(OR(S18="Annual O&amp;M",S18="Maintenance-only"),IF(T18&gt;15,0,IF(O18&lt;&gt;"",O18,MAX(0,N(H18)+N(K18))*IF(N18&lt;&gt;"",N18,M18))*MAX(0,15-T18+1)),0)))),0)</f>
        <v/>
      </c>
      <c r="AA18" s="179">
        <f>IFERROR(IF(OR(R18&lt;&gt;"Yes",Q18&lt;&gt;"City"),0,IF(S18="Cash capital",IF(T18&lt;=20,IF(O18&lt;&gt;"",O18,MAX(0,N(I18)+N(K18))*IF(N18&lt;&gt;"",N18,M18)),0),IF(S18="Debt service",IF(T18&gt;20,0,W18*MAX(0,MIN(20-T18+1,U18))),IF(OR(S18="Annual O&amp;M",S18="Maintenance-only"),IF(T18&gt;20,0,IF(O18&lt;&gt;"",O18,MAX(0,N(I18)+N(K18))*IF(N18&lt;&gt;"",N18,M18))*MAX(0,20-T18+1)),0)))),0)</f>
        <v/>
      </c>
      <c r="AB18" s="179">
        <f>IFERROR(IF(OR(R18&lt;&gt;"Yes",Q18&lt;&gt;"City"),0,IF(S18="Cash capital",IF(T18&lt;=30,IF(O18&lt;&gt;"",O18,MAX(0,N(J18)+N(K18))*IF(N18&lt;&gt;"",N18,M18)),0),IF(S18="Debt service",IF(T18&gt;30,0,W18*MAX(0,MIN(30-T18+1,U18))),IF(OR(S18="Annual O&amp;M",S18="Maintenance-only"),IF(T18&gt;30,0,IF(O18&lt;&gt;"",O18,MAX(0,N(J18)+N(K18))*IF(N18&lt;&gt;"",N18,M18))*MAX(0,30-T18+1)),0)))),0)</f>
        <v/>
      </c>
      <c r="AC18" s="179">
        <f>IFERROR(IF(OR(R18&lt;&gt;"Yes",Q18&lt;&gt;"ESD"),0,IF(S18="Cash capital",IF(T18&lt;=5,IF(O18&lt;&gt;"",O18,MAX(0,N(F18)+N(K18))*IF(N18&lt;&gt;"",N18,M18)),0),IF(S18="Debt service",IF(T18&gt;5,0,W18*MAX(0,MIN(5-T18+1,U18))),IF(OR(S18="Annual O&amp;M",S18="Maintenance-only"),IF(T18&gt;5,0,IF(O18&lt;&gt;"",O18,MAX(0,N(F18)+N(K18))*IF(N18&lt;&gt;"",N18,M18))*MAX(0,5-T18+1)),0)))),0)</f>
        <v/>
      </c>
      <c r="AD18" s="179">
        <f>IFERROR(IF(OR(R18&lt;&gt;"Yes",Q18&lt;&gt;"ESD"),0,IF(S18="Cash capital",IF(T18&lt;=10,IF(O18&lt;&gt;"",O18,MAX(0,N(G18)+N(K18))*IF(N18&lt;&gt;"",N18,M18)),0),IF(S18="Debt service",IF(T18&gt;10,0,W18*MAX(0,MIN(10-T18+1,U18))),IF(OR(S18="Annual O&amp;M",S18="Maintenance-only"),IF(T18&gt;10,0,IF(O18&lt;&gt;"",O18,MAX(0,N(G18)+N(K18))*IF(N18&lt;&gt;"",N18,M18))*MAX(0,10-T18+1)),0)))),0)</f>
        <v/>
      </c>
      <c r="AE18" s="179">
        <f>IFERROR(IF(OR(R18&lt;&gt;"Yes",Q18&lt;&gt;"ESD"),0,IF(S18="Cash capital",IF(T18&lt;=15,IF(O18&lt;&gt;"",O18,MAX(0,N(H18)+N(K18))*IF(N18&lt;&gt;"",N18,M18)),0),IF(S18="Debt service",IF(T18&gt;15,0,W18*MAX(0,MIN(15-T18+1,U18))),IF(OR(S18="Annual O&amp;M",S18="Maintenance-only"),IF(T18&gt;15,0,IF(O18&lt;&gt;"",O18,MAX(0,N(H18)+N(K18))*IF(N18&lt;&gt;"",N18,M18))*MAX(0,15-T18+1)),0)))),0)</f>
        <v/>
      </c>
      <c r="AF18" s="179">
        <f>IFERROR(IF(OR(R18&lt;&gt;"Yes",Q18&lt;&gt;"ESD"),0,IF(S18="Cash capital",IF(T18&lt;=20,IF(O18&lt;&gt;"",O18,MAX(0,N(I18)+N(K18))*IF(N18&lt;&gt;"",N18,M18)),0),IF(S18="Debt service",IF(T18&gt;20,0,W18*MAX(0,MIN(20-T18+1,U18))),IF(OR(S18="Annual O&amp;M",S18="Maintenance-only"),IF(T18&gt;20,0,IF(O18&lt;&gt;"",O18,MAX(0,N(I18)+N(K18))*IF(N18&lt;&gt;"",N18,M18))*MAX(0,20-T18+1)),0)))),0)</f>
        <v/>
      </c>
      <c r="AG18" s="179">
        <f>IFERROR(IF(OR(R18&lt;&gt;"Yes",Q18&lt;&gt;"ESD"),0,IF(S18="Cash capital",IF(T18&lt;=30,IF(O18&lt;&gt;"",O18,MAX(0,N(J18)+N(K18))*IF(N18&lt;&gt;"",N18,M18)),0),IF(S18="Debt service",IF(T18&gt;30,0,W18*MAX(0,MIN(30-T18+1,U18))),IF(OR(S18="Annual O&amp;M",S18="Maintenance-only"),IF(T18&gt;30,0,IF(O18&lt;&gt;"",O18,MAX(0,N(J18)+N(K18))*IF(N18&lt;&gt;"",N18,M18))*MAX(0,30-T18+1)),0)))),0)</f>
        <v/>
      </c>
      <c r="AH18" s="188" t="inlineStr">
        <is>
          <t>Planning fleet benchmark; police/fleet plan should validate.</t>
        </is>
      </c>
    </row>
    <row r="19" ht="14.25" customHeight="1" s="106">
      <c r="A19" s="105" t="inlineStr">
        <is>
          <t>Park acreage</t>
        </is>
      </c>
      <c r="B19" s="105" t="inlineStr">
        <is>
          <t>City</t>
        </is>
      </c>
      <c r="C19" s="105" t="inlineStr">
        <is>
          <t>captured residents</t>
        </is>
      </c>
      <c r="D19" s="105" t="inlineStr">
        <is>
          <t>acres</t>
        </is>
      </c>
      <c r="E19" s="105" t="inlineStr">
        <is>
          <t>5 ac/1,000 residents</t>
        </is>
      </c>
      <c r="F19" s="172">
        <f>'03_Multi_Horizon_Results'!$B$7/1000*'12_Takeoff_Assumptions'!$B$10</f>
        <v/>
      </c>
      <c r="G19" s="172">
        <f>'03_Multi_Horizon_Results'!$C$7/1000*'12_Takeoff_Assumptions'!$B$10</f>
        <v/>
      </c>
      <c r="H19" s="172">
        <f>'03_Multi_Horizon_Results'!$D$7/1000*'12_Takeoff_Assumptions'!$B$10</f>
        <v/>
      </c>
      <c r="I19" s="172">
        <f>'03_Multi_Horizon_Results'!$E$7/1000*'12_Takeoff_Assumptions'!$B$10</f>
        <v/>
      </c>
      <c r="J19" s="172">
        <f>'03_Multi_Horizon_Results'!$F$7/1000*'12_Takeoff_Assumptions'!$B$10</f>
        <v/>
      </c>
      <c r="K19" s="173" t="n"/>
      <c r="L19" s="172">
        <f>MAX(0,N(G19)+N(K19))</f>
        <v/>
      </c>
      <c r="M19" s="174" t="n">
        <v>100000</v>
      </c>
      <c r="N19" s="175" t="n"/>
      <c r="O19" s="175" t="n"/>
      <c r="P19" s="174">
        <f>IFERROR(IF(O19&lt;&gt;"",O19,L19*IF(N19&lt;&gt;"",N19,M19)),0)</f>
        <v/>
      </c>
      <c r="Q19" s="176" t="inlineStr">
        <is>
          <t>City</t>
        </is>
      </c>
      <c r="R19" s="177" t="inlineStr">
        <is>
          <t>No</t>
        </is>
      </c>
      <c r="S19" s="177" t="inlineStr">
        <is>
          <t>Debt service</t>
        </is>
      </c>
      <c r="T19" s="177" t="n">
        <v>1</v>
      </c>
      <c r="U19" s="177" t="n">
        <v>20</v>
      </c>
      <c r="V19" s="178" t="n">
        <v>0.045</v>
      </c>
      <c r="W19" s="159">
        <f>IFERROR(IF(AND(R19="Yes",S19="Debt service",U19&gt;0),IF(V19=0,P19/U19,P19*V19/(1-(1+V19)^(-U19))),0),0)</f>
        <v/>
      </c>
      <c r="X19" s="179">
        <f>IFERROR(IF(OR(R19&lt;&gt;"Yes",Q19&lt;&gt;"City"),0,IF(S19="Cash capital",IF(T19&lt;=5,IF(O19&lt;&gt;"",O19,MAX(0,N(F19)+N(K19))*IF(N19&lt;&gt;"",N19,M19)),0),IF(S19="Debt service",IF(T19&gt;5,0,W19*MAX(0,MIN(5-T19+1,U19))),IF(OR(S19="Annual O&amp;M",S19="Maintenance-only"),IF(T19&gt;5,0,IF(O19&lt;&gt;"",O19,MAX(0,N(F19)+N(K19))*IF(N19&lt;&gt;"",N19,M19))*MAX(0,5-T19+1)),0)))),0)</f>
        <v/>
      </c>
      <c r="Y19" s="179">
        <f>IFERROR(IF(OR(R19&lt;&gt;"Yes",Q19&lt;&gt;"City"),0,IF(S19="Cash capital",IF(T19&lt;=10,IF(O19&lt;&gt;"",O19,MAX(0,N(G19)+N(K19))*IF(N19&lt;&gt;"",N19,M19)),0),IF(S19="Debt service",IF(T19&gt;10,0,W19*MAX(0,MIN(10-T19+1,U19))),IF(OR(S19="Annual O&amp;M",S19="Maintenance-only"),IF(T19&gt;10,0,IF(O19&lt;&gt;"",O19,MAX(0,N(G19)+N(K19))*IF(N19&lt;&gt;"",N19,M19))*MAX(0,10-T19+1)),0)))),0)</f>
        <v/>
      </c>
      <c r="Z19" s="179">
        <f>IFERROR(IF(OR(R19&lt;&gt;"Yes",Q19&lt;&gt;"City"),0,IF(S19="Cash capital",IF(T19&lt;=15,IF(O19&lt;&gt;"",O19,MAX(0,N(H19)+N(K19))*IF(N19&lt;&gt;"",N19,M19)),0),IF(S19="Debt service",IF(T19&gt;15,0,W19*MAX(0,MIN(15-T19+1,U19))),IF(OR(S19="Annual O&amp;M",S19="Maintenance-only"),IF(T19&gt;15,0,IF(O19&lt;&gt;"",O19,MAX(0,N(H19)+N(K19))*IF(N19&lt;&gt;"",N19,M19))*MAX(0,15-T19+1)),0)))),0)</f>
        <v/>
      </c>
      <c r="AA19" s="179">
        <f>IFERROR(IF(OR(R19&lt;&gt;"Yes",Q19&lt;&gt;"City"),0,IF(S19="Cash capital",IF(T19&lt;=20,IF(O19&lt;&gt;"",O19,MAX(0,N(I19)+N(K19))*IF(N19&lt;&gt;"",N19,M19)),0),IF(S19="Debt service",IF(T19&gt;20,0,W19*MAX(0,MIN(20-T19+1,U19))),IF(OR(S19="Annual O&amp;M",S19="Maintenance-only"),IF(T19&gt;20,0,IF(O19&lt;&gt;"",O19,MAX(0,N(I19)+N(K19))*IF(N19&lt;&gt;"",N19,M19))*MAX(0,20-T19+1)),0)))),0)</f>
        <v/>
      </c>
      <c r="AB19" s="179">
        <f>IFERROR(IF(OR(R19&lt;&gt;"Yes",Q19&lt;&gt;"City"),0,IF(S19="Cash capital",IF(T19&lt;=30,IF(O19&lt;&gt;"",O19,MAX(0,N(J19)+N(K19))*IF(N19&lt;&gt;"",N19,M19)),0),IF(S19="Debt service",IF(T19&gt;30,0,W19*MAX(0,MIN(30-T19+1,U19))),IF(OR(S19="Annual O&amp;M",S19="Maintenance-only"),IF(T19&gt;30,0,IF(O19&lt;&gt;"",O19,MAX(0,N(J19)+N(K19))*IF(N19&lt;&gt;"",N19,M19))*MAX(0,30-T19+1)),0)))),0)</f>
        <v/>
      </c>
      <c r="AC19" s="179">
        <f>IFERROR(IF(OR(R19&lt;&gt;"Yes",Q19&lt;&gt;"ESD"),0,IF(S19="Cash capital",IF(T19&lt;=5,IF(O19&lt;&gt;"",O19,MAX(0,N(F19)+N(K19))*IF(N19&lt;&gt;"",N19,M19)),0),IF(S19="Debt service",IF(T19&gt;5,0,W19*MAX(0,MIN(5-T19+1,U19))),IF(OR(S19="Annual O&amp;M",S19="Maintenance-only"),IF(T19&gt;5,0,IF(O19&lt;&gt;"",O19,MAX(0,N(F19)+N(K19))*IF(N19&lt;&gt;"",N19,M19))*MAX(0,5-T19+1)),0)))),0)</f>
        <v/>
      </c>
      <c r="AD19" s="179">
        <f>IFERROR(IF(OR(R19&lt;&gt;"Yes",Q19&lt;&gt;"ESD"),0,IF(S19="Cash capital",IF(T19&lt;=10,IF(O19&lt;&gt;"",O19,MAX(0,N(G19)+N(K19))*IF(N19&lt;&gt;"",N19,M19)),0),IF(S19="Debt service",IF(T19&gt;10,0,W19*MAX(0,MIN(10-T19+1,U19))),IF(OR(S19="Annual O&amp;M",S19="Maintenance-only"),IF(T19&gt;10,0,IF(O19&lt;&gt;"",O19,MAX(0,N(G19)+N(K19))*IF(N19&lt;&gt;"",N19,M19))*MAX(0,10-T19+1)),0)))),0)</f>
        <v/>
      </c>
      <c r="AE19" s="179">
        <f>IFERROR(IF(OR(R19&lt;&gt;"Yes",Q19&lt;&gt;"ESD"),0,IF(S19="Cash capital",IF(T19&lt;=15,IF(O19&lt;&gt;"",O19,MAX(0,N(H19)+N(K19))*IF(N19&lt;&gt;"",N19,M19)),0),IF(S19="Debt service",IF(T19&gt;15,0,W19*MAX(0,MIN(15-T19+1,U19))),IF(OR(S19="Annual O&amp;M",S19="Maintenance-only"),IF(T19&gt;15,0,IF(O19&lt;&gt;"",O19,MAX(0,N(H19)+N(K19))*IF(N19&lt;&gt;"",N19,M19))*MAX(0,15-T19+1)),0)))),0)</f>
        <v/>
      </c>
      <c r="AF19" s="179">
        <f>IFERROR(IF(OR(R19&lt;&gt;"Yes",Q19&lt;&gt;"ESD"),0,IF(S19="Cash capital",IF(T19&lt;=20,IF(O19&lt;&gt;"",O19,MAX(0,N(I19)+N(K19))*IF(N19&lt;&gt;"",N19,M19)),0),IF(S19="Debt service",IF(T19&gt;20,0,W19*MAX(0,MIN(20-T19+1,U19))),IF(OR(S19="Annual O&amp;M",S19="Maintenance-only"),IF(T19&gt;20,0,IF(O19&lt;&gt;"",O19,MAX(0,N(I19)+N(K19))*IF(N19&lt;&gt;"",N19,M19))*MAX(0,20-T19+1)),0)))),0)</f>
        <v/>
      </c>
      <c r="AG19" s="179">
        <f>IFERROR(IF(OR(R19&lt;&gt;"Yes",Q19&lt;&gt;"ESD"),0,IF(S19="Cash capital",IF(T19&lt;=30,IF(O19&lt;&gt;"",O19,MAX(0,N(J19)+N(K19))*IF(N19&lt;&gt;"",N19,M19)),0),IF(S19="Debt service",IF(T19&gt;30,0,W19*MAX(0,MIN(30-T19+1,U19))),IF(OR(S19="Annual O&amp;M",S19="Maintenance-only"),IF(T19&gt;30,0,IF(O19&lt;&gt;"",O19,MAX(0,N(J19)+N(K19))*IF(N19&lt;&gt;"",N19,M19))*MAX(0,30-T19+1)),0)))),0)</f>
        <v/>
      </c>
      <c r="AH19" s="188" t="inlineStr">
        <is>
          <t>Local planning target, not an NRPA universal standard.</t>
        </is>
      </c>
    </row>
    <row r="20" ht="14.25" customHeight="1" s="106">
      <c r="A20" s="105" t="inlineStr">
        <is>
          <t>Public works vehicles</t>
        </is>
      </c>
      <c r="B20" s="105" t="inlineStr">
        <is>
          <t>City</t>
        </is>
      </c>
      <c r="C20" s="105" t="inlineStr">
        <is>
          <t>captured acres</t>
        </is>
      </c>
      <c r="D20" s="105" t="inlineStr">
        <is>
          <t>each</t>
        </is>
      </c>
      <c r="E20" s="105" t="inlineStr">
        <is>
          <t>threshold 500 ac</t>
        </is>
      </c>
      <c r="F20" s="172">
        <f>IF('03_Multi_Horizon_Results'!$B$5&gt;='12_Takeoff_Assumptions'!$B$17,ROUNDUP('03_Multi_Horizon_Results'!$B$5/'12_Takeoff_Assumptions'!$B$17,0),0)</f>
        <v/>
      </c>
      <c r="G20" s="172">
        <f>IF('03_Multi_Horizon_Results'!$C$5&gt;='12_Takeoff_Assumptions'!$B$17,ROUNDUP('03_Multi_Horizon_Results'!$C$5/'12_Takeoff_Assumptions'!$B$17,0),0)</f>
        <v/>
      </c>
      <c r="H20" s="172">
        <f>IF('03_Multi_Horizon_Results'!$D$5&gt;='12_Takeoff_Assumptions'!$B$17,ROUNDUP('03_Multi_Horizon_Results'!$D$5/'12_Takeoff_Assumptions'!$B$17,0),0)</f>
        <v/>
      </c>
      <c r="I20" s="172">
        <f>IF('03_Multi_Horizon_Results'!$E$5&gt;='12_Takeoff_Assumptions'!$B$17,ROUNDUP('03_Multi_Horizon_Results'!$E$5/'12_Takeoff_Assumptions'!$B$17,0),0)</f>
        <v/>
      </c>
      <c r="J20" s="172">
        <f>IF('03_Multi_Horizon_Results'!$F$5&gt;='12_Takeoff_Assumptions'!$B$17,ROUNDUP('03_Multi_Horizon_Results'!$F$5/'12_Takeoff_Assumptions'!$B$17,0),0)</f>
        <v/>
      </c>
      <c r="K20" s="173" t="n"/>
      <c r="L20" s="172">
        <f>MAX(0,N(G20)+N(K20))</f>
        <v/>
      </c>
      <c r="M20" s="174" t="n">
        <v>150000</v>
      </c>
      <c r="N20" s="175" t="n"/>
      <c r="O20" s="175" t="n"/>
      <c r="P20" s="174">
        <f>IFERROR(IF(O20&lt;&gt;"",O20,L20*IF(N20&lt;&gt;"",N20,M20)),0)</f>
        <v/>
      </c>
      <c r="Q20" s="176" t="inlineStr">
        <is>
          <t>City</t>
        </is>
      </c>
      <c r="R20" s="177" t="inlineStr">
        <is>
          <t>No</t>
        </is>
      </c>
      <c r="S20" s="177" t="inlineStr">
        <is>
          <t>Debt service</t>
        </is>
      </c>
      <c r="T20" s="177" t="n">
        <v>1</v>
      </c>
      <c r="U20" s="177" t="n">
        <v>20</v>
      </c>
      <c r="V20" s="178" t="n">
        <v>0.045</v>
      </c>
      <c r="W20" s="159">
        <f>IFERROR(IF(AND(R20="Yes",S20="Debt service",U20&gt;0),IF(V20=0,P20/U20,P20*V20/(1-(1+V20)^(-U20))),0),0)</f>
        <v/>
      </c>
      <c r="X20" s="179">
        <f>IFERROR(IF(OR(R20&lt;&gt;"Yes",Q20&lt;&gt;"City"),0,IF(S20="Cash capital",IF(T20&lt;=5,IF(O20&lt;&gt;"",O20,MAX(0,N(F20)+N(K20))*IF(N20&lt;&gt;"",N20,M20)),0),IF(S20="Debt service",IF(T20&gt;5,0,W20*MAX(0,MIN(5-T20+1,U20))),IF(OR(S20="Annual O&amp;M",S20="Maintenance-only"),IF(T20&gt;5,0,IF(O20&lt;&gt;"",O20,MAX(0,N(F20)+N(K20))*IF(N20&lt;&gt;"",N20,M20))*MAX(0,5-T20+1)),0)))),0)</f>
        <v/>
      </c>
      <c r="Y20" s="179">
        <f>IFERROR(IF(OR(R20&lt;&gt;"Yes",Q20&lt;&gt;"City"),0,IF(S20="Cash capital",IF(T20&lt;=10,IF(O20&lt;&gt;"",O20,MAX(0,N(G20)+N(K20))*IF(N20&lt;&gt;"",N20,M20)),0),IF(S20="Debt service",IF(T20&gt;10,0,W20*MAX(0,MIN(10-T20+1,U20))),IF(OR(S20="Annual O&amp;M",S20="Maintenance-only"),IF(T20&gt;10,0,IF(O20&lt;&gt;"",O20,MAX(0,N(G20)+N(K20))*IF(N20&lt;&gt;"",N20,M20))*MAX(0,10-T20+1)),0)))),0)</f>
        <v/>
      </c>
      <c r="Z20" s="179">
        <f>IFERROR(IF(OR(R20&lt;&gt;"Yes",Q20&lt;&gt;"City"),0,IF(S20="Cash capital",IF(T20&lt;=15,IF(O20&lt;&gt;"",O20,MAX(0,N(H20)+N(K20))*IF(N20&lt;&gt;"",N20,M20)),0),IF(S20="Debt service",IF(T20&gt;15,0,W20*MAX(0,MIN(15-T20+1,U20))),IF(OR(S20="Annual O&amp;M",S20="Maintenance-only"),IF(T20&gt;15,0,IF(O20&lt;&gt;"",O20,MAX(0,N(H20)+N(K20))*IF(N20&lt;&gt;"",N20,M20))*MAX(0,15-T20+1)),0)))),0)</f>
        <v/>
      </c>
      <c r="AA20" s="179">
        <f>IFERROR(IF(OR(R20&lt;&gt;"Yes",Q20&lt;&gt;"City"),0,IF(S20="Cash capital",IF(T20&lt;=20,IF(O20&lt;&gt;"",O20,MAX(0,N(I20)+N(K20))*IF(N20&lt;&gt;"",N20,M20)),0),IF(S20="Debt service",IF(T20&gt;20,0,W20*MAX(0,MIN(20-T20+1,U20))),IF(OR(S20="Annual O&amp;M",S20="Maintenance-only"),IF(T20&gt;20,0,IF(O20&lt;&gt;"",O20,MAX(0,N(I20)+N(K20))*IF(N20&lt;&gt;"",N20,M20))*MAX(0,20-T20+1)),0)))),0)</f>
        <v/>
      </c>
      <c r="AB20" s="179">
        <f>IFERROR(IF(OR(R20&lt;&gt;"Yes",Q20&lt;&gt;"City"),0,IF(S20="Cash capital",IF(T20&lt;=30,IF(O20&lt;&gt;"",O20,MAX(0,N(J20)+N(K20))*IF(N20&lt;&gt;"",N20,M20)),0),IF(S20="Debt service",IF(T20&gt;30,0,W20*MAX(0,MIN(30-T20+1,U20))),IF(OR(S20="Annual O&amp;M",S20="Maintenance-only"),IF(T20&gt;30,0,IF(O20&lt;&gt;"",O20,MAX(0,N(J20)+N(K20))*IF(N20&lt;&gt;"",N20,M20))*MAX(0,30-T20+1)),0)))),0)</f>
        <v/>
      </c>
      <c r="AC20" s="179">
        <f>IFERROR(IF(OR(R20&lt;&gt;"Yes",Q20&lt;&gt;"ESD"),0,IF(S20="Cash capital",IF(T20&lt;=5,IF(O20&lt;&gt;"",O20,MAX(0,N(F20)+N(K20))*IF(N20&lt;&gt;"",N20,M20)),0),IF(S20="Debt service",IF(T20&gt;5,0,W20*MAX(0,MIN(5-T20+1,U20))),IF(OR(S20="Annual O&amp;M",S20="Maintenance-only"),IF(T20&gt;5,0,IF(O20&lt;&gt;"",O20,MAX(0,N(F20)+N(K20))*IF(N20&lt;&gt;"",N20,M20))*MAX(0,5-T20+1)),0)))),0)</f>
        <v/>
      </c>
      <c r="AD20" s="179">
        <f>IFERROR(IF(OR(R20&lt;&gt;"Yes",Q20&lt;&gt;"ESD"),0,IF(S20="Cash capital",IF(T20&lt;=10,IF(O20&lt;&gt;"",O20,MAX(0,N(G20)+N(K20))*IF(N20&lt;&gt;"",N20,M20)),0),IF(S20="Debt service",IF(T20&gt;10,0,W20*MAX(0,MIN(10-T20+1,U20))),IF(OR(S20="Annual O&amp;M",S20="Maintenance-only"),IF(T20&gt;10,0,IF(O20&lt;&gt;"",O20,MAX(0,N(G20)+N(K20))*IF(N20&lt;&gt;"",N20,M20))*MAX(0,10-T20+1)),0)))),0)</f>
        <v/>
      </c>
      <c r="AE20" s="179">
        <f>IFERROR(IF(OR(R20&lt;&gt;"Yes",Q20&lt;&gt;"ESD"),0,IF(S20="Cash capital",IF(T20&lt;=15,IF(O20&lt;&gt;"",O20,MAX(0,N(H20)+N(K20))*IF(N20&lt;&gt;"",N20,M20)),0),IF(S20="Debt service",IF(T20&gt;15,0,W20*MAX(0,MIN(15-T20+1,U20))),IF(OR(S20="Annual O&amp;M",S20="Maintenance-only"),IF(T20&gt;15,0,IF(O20&lt;&gt;"",O20,MAX(0,N(H20)+N(K20))*IF(N20&lt;&gt;"",N20,M20))*MAX(0,15-T20+1)),0)))),0)</f>
        <v/>
      </c>
      <c r="AF20" s="179">
        <f>IFERROR(IF(OR(R20&lt;&gt;"Yes",Q20&lt;&gt;"ESD"),0,IF(S20="Cash capital",IF(T20&lt;=20,IF(O20&lt;&gt;"",O20,MAX(0,N(I20)+N(K20))*IF(N20&lt;&gt;"",N20,M20)),0),IF(S20="Debt service",IF(T20&gt;20,0,W20*MAX(0,MIN(20-T20+1,U20))),IF(OR(S20="Annual O&amp;M",S20="Maintenance-only"),IF(T20&gt;20,0,IF(O20&lt;&gt;"",O20,MAX(0,N(I20)+N(K20))*IF(N20&lt;&gt;"",N20,M20))*MAX(0,20-T20+1)),0)))),0)</f>
        <v/>
      </c>
      <c r="AG20" s="179">
        <f>IFERROR(IF(OR(R20&lt;&gt;"Yes",Q20&lt;&gt;"ESD"),0,IF(S20="Cash capital",IF(T20&lt;=30,IF(O20&lt;&gt;"",O20,MAX(0,N(J20)+N(K20))*IF(N20&lt;&gt;"",N20,M20)),0),IF(S20="Debt service",IF(T20&gt;30,0,W20*MAX(0,MIN(30-T20+1,U20))),IF(OR(S20="Annual O&amp;M",S20="Maintenance-only"),IF(T20&gt;30,0,IF(O20&lt;&gt;"",O20,MAX(0,N(J20)+N(K20))*IF(N20&lt;&gt;"",N20,M20))*MAX(0,30-T20+1)),0)))),0)</f>
        <v/>
      </c>
      <c r="AH20" s="188" t="inlineStr">
        <is>
          <t>Fleet planning trigger; Public Works validation required.</t>
        </is>
      </c>
    </row>
    <row r="21" ht="28.5" customHeight="1" s="106">
      <c r="A21" s="105" t="inlineStr">
        <is>
          <t>Fire stations</t>
        </is>
      </c>
      <c r="B21" s="105" t="inlineStr">
        <is>
          <t>ESD</t>
        </is>
      </c>
      <c r="C21" s="105" t="inlineStr">
        <is>
          <t>captured residents</t>
        </is>
      </c>
      <c r="D21" s="105" t="inlineStr">
        <is>
          <t>each</t>
        </is>
      </c>
      <c r="E21" s="105" t="inlineStr">
        <is>
          <t>threshold 3,500 residents</t>
        </is>
      </c>
      <c r="F21" s="172">
        <f>IF('03_Multi_Horizon_Results'!$B$7&gt;='12_Takeoff_Assumptions'!$B$18,INT('03_Multi_Horizon_Results'!$B$7/'12_Takeoff_Assumptions'!$B$18),0)</f>
        <v/>
      </c>
      <c r="G21" s="172">
        <f>IF('03_Multi_Horizon_Results'!$C$7&gt;='12_Takeoff_Assumptions'!$B$18,INT('03_Multi_Horizon_Results'!$C$7/'12_Takeoff_Assumptions'!$B$18),0)</f>
        <v/>
      </c>
      <c r="H21" s="172">
        <f>IF('03_Multi_Horizon_Results'!$D$7&gt;='12_Takeoff_Assumptions'!$B$18,INT('03_Multi_Horizon_Results'!$D$7/'12_Takeoff_Assumptions'!$B$18),0)</f>
        <v/>
      </c>
      <c r="I21" s="172">
        <f>IF('03_Multi_Horizon_Results'!$E$7&gt;='12_Takeoff_Assumptions'!$B$18,INT('03_Multi_Horizon_Results'!$E$7/'12_Takeoff_Assumptions'!$B$18),0)</f>
        <v/>
      </c>
      <c r="J21" s="172">
        <f>IF('03_Multi_Horizon_Results'!$F$7&gt;='12_Takeoff_Assumptions'!$B$18,INT('03_Multi_Horizon_Results'!$F$7/'12_Takeoff_Assumptions'!$B$18),0)</f>
        <v/>
      </c>
      <c r="K21" s="173" t="n"/>
      <c r="L21" s="172">
        <f>MAX(0,N(G21)+N(K21))</f>
        <v/>
      </c>
      <c r="M21" s="174" t="n">
        <v>5000000</v>
      </c>
      <c r="N21" s="175" t="n"/>
      <c r="O21" s="175" t="n"/>
      <c r="P21" s="174">
        <f>IFERROR(IF(O21&lt;&gt;"",O21,L21*IF(N21&lt;&gt;"",N21,M21)),0)</f>
        <v/>
      </c>
      <c r="Q21" s="176" t="inlineStr">
        <is>
          <t>ESD</t>
        </is>
      </c>
      <c r="R21" s="177" t="inlineStr">
        <is>
          <t>No</t>
        </is>
      </c>
      <c r="S21" s="177" t="inlineStr">
        <is>
          <t>Debt service</t>
        </is>
      </c>
      <c r="T21" s="177" t="n">
        <v>1</v>
      </c>
      <c r="U21" s="177" t="n">
        <v>20</v>
      </c>
      <c r="V21" s="178" t="n">
        <v>0.045</v>
      </c>
      <c r="W21" s="159">
        <f>IFERROR(IF(AND(R21="Yes",S21="Debt service",U21&gt;0),IF(V21=0,P21/U21,P21*V21/(1-(1+V21)^(-U21))),0),0)</f>
        <v/>
      </c>
      <c r="X21" s="179">
        <f>IFERROR(IF(OR(R21&lt;&gt;"Yes",Q21&lt;&gt;"City"),0,IF(S21="Cash capital",IF(T21&lt;=5,IF(O21&lt;&gt;"",O21,MAX(0,N(F21)+N(K21))*IF(N21&lt;&gt;"",N21,M21)),0),IF(S21="Debt service",IF(T21&gt;5,0,W21*MAX(0,MIN(5-T21+1,U21))),IF(OR(S21="Annual O&amp;M",S21="Maintenance-only"),IF(T21&gt;5,0,IF(O21&lt;&gt;"",O21,MAX(0,N(F21)+N(K21))*IF(N21&lt;&gt;"",N21,M21))*MAX(0,5-T21+1)),0)))),0)</f>
        <v/>
      </c>
      <c r="Y21" s="179">
        <f>IFERROR(IF(OR(R21&lt;&gt;"Yes",Q21&lt;&gt;"City"),0,IF(S21="Cash capital",IF(T21&lt;=10,IF(O21&lt;&gt;"",O21,MAX(0,N(G21)+N(K21))*IF(N21&lt;&gt;"",N21,M21)),0),IF(S21="Debt service",IF(T21&gt;10,0,W21*MAX(0,MIN(10-T21+1,U21))),IF(OR(S21="Annual O&amp;M",S21="Maintenance-only"),IF(T21&gt;10,0,IF(O21&lt;&gt;"",O21,MAX(0,N(G21)+N(K21))*IF(N21&lt;&gt;"",N21,M21))*MAX(0,10-T21+1)),0)))),0)</f>
        <v/>
      </c>
      <c r="Z21" s="179">
        <f>IFERROR(IF(OR(R21&lt;&gt;"Yes",Q21&lt;&gt;"City"),0,IF(S21="Cash capital",IF(T21&lt;=15,IF(O21&lt;&gt;"",O21,MAX(0,N(H21)+N(K21))*IF(N21&lt;&gt;"",N21,M21)),0),IF(S21="Debt service",IF(T21&gt;15,0,W21*MAX(0,MIN(15-T21+1,U21))),IF(OR(S21="Annual O&amp;M",S21="Maintenance-only"),IF(T21&gt;15,0,IF(O21&lt;&gt;"",O21,MAX(0,N(H21)+N(K21))*IF(N21&lt;&gt;"",N21,M21))*MAX(0,15-T21+1)),0)))),0)</f>
        <v/>
      </c>
      <c r="AA21" s="179">
        <f>IFERROR(IF(OR(R21&lt;&gt;"Yes",Q21&lt;&gt;"City"),0,IF(S21="Cash capital",IF(T21&lt;=20,IF(O21&lt;&gt;"",O21,MAX(0,N(I21)+N(K21))*IF(N21&lt;&gt;"",N21,M21)),0),IF(S21="Debt service",IF(T21&gt;20,0,W21*MAX(0,MIN(20-T21+1,U21))),IF(OR(S21="Annual O&amp;M",S21="Maintenance-only"),IF(T21&gt;20,0,IF(O21&lt;&gt;"",O21,MAX(0,N(I21)+N(K21))*IF(N21&lt;&gt;"",N21,M21))*MAX(0,20-T21+1)),0)))),0)</f>
        <v/>
      </c>
      <c r="AB21" s="179">
        <f>IFERROR(IF(OR(R21&lt;&gt;"Yes",Q21&lt;&gt;"City"),0,IF(S21="Cash capital",IF(T21&lt;=30,IF(O21&lt;&gt;"",O21,MAX(0,N(J21)+N(K21))*IF(N21&lt;&gt;"",N21,M21)),0),IF(S21="Debt service",IF(T21&gt;30,0,W21*MAX(0,MIN(30-T21+1,U21))),IF(OR(S21="Annual O&amp;M",S21="Maintenance-only"),IF(T21&gt;30,0,IF(O21&lt;&gt;"",O21,MAX(0,N(J21)+N(K21))*IF(N21&lt;&gt;"",N21,M21))*MAX(0,30-T21+1)),0)))),0)</f>
        <v/>
      </c>
      <c r="AC21" s="179">
        <f>IFERROR(IF(OR(R21&lt;&gt;"Yes",Q21&lt;&gt;"ESD"),0,IF(S21="Cash capital",IF(T21&lt;=5,IF(O21&lt;&gt;"",O21,MAX(0,N(F21)+N(K21))*IF(N21&lt;&gt;"",N21,M21)),0),IF(S21="Debt service",IF(T21&gt;5,0,W21*MAX(0,MIN(5-T21+1,U21))),IF(OR(S21="Annual O&amp;M",S21="Maintenance-only"),IF(T21&gt;5,0,IF(O21&lt;&gt;"",O21,MAX(0,N(F21)+N(K21))*IF(N21&lt;&gt;"",N21,M21))*MAX(0,5-T21+1)),0)))),0)</f>
        <v/>
      </c>
      <c r="AD21" s="179">
        <f>IFERROR(IF(OR(R21&lt;&gt;"Yes",Q21&lt;&gt;"ESD"),0,IF(S21="Cash capital",IF(T21&lt;=10,IF(O21&lt;&gt;"",O21,MAX(0,N(G21)+N(K21))*IF(N21&lt;&gt;"",N21,M21)),0),IF(S21="Debt service",IF(T21&gt;10,0,W21*MAX(0,MIN(10-T21+1,U21))),IF(OR(S21="Annual O&amp;M",S21="Maintenance-only"),IF(T21&gt;10,0,IF(O21&lt;&gt;"",O21,MAX(0,N(G21)+N(K21))*IF(N21&lt;&gt;"",N21,M21))*MAX(0,10-T21+1)),0)))),0)</f>
        <v/>
      </c>
      <c r="AE21" s="179">
        <f>IFERROR(IF(OR(R21&lt;&gt;"Yes",Q21&lt;&gt;"ESD"),0,IF(S21="Cash capital",IF(T21&lt;=15,IF(O21&lt;&gt;"",O21,MAX(0,N(H21)+N(K21))*IF(N21&lt;&gt;"",N21,M21)),0),IF(S21="Debt service",IF(T21&gt;15,0,W21*MAX(0,MIN(15-T21+1,U21))),IF(OR(S21="Annual O&amp;M",S21="Maintenance-only"),IF(T21&gt;15,0,IF(O21&lt;&gt;"",O21,MAX(0,N(H21)+N(K21))*IF(N21&lt;&gt;"",N21,M21))*MAX(0,15-T21+1)),0)))),0)</f>
        <v/>
      </c>
      <c r="AF21" s="179">
        <f>IFERROR(IF(OR(R21&lt;&gt;"Yes",Q21&lt;&gt;"ESD"),0,IF(S21="Cash capital",IF(T21&lt;=20,IF(O21&lt;&gt;"",O21,MAX(0,N(I21)+N(K21))*IF(N21&lt;&gt;"",N21,M21)),0),IF(S21="Debt service",IF(T21&gt;20,0,W21*MAX(0,MIN(20-T21+1,U21))),IF(OR(S21="Annual O&amp;M",S21="Maintenance-only"),IF(T21&gt;20,0,IF(O21&lt;&gt;"",O21,MAX(0,N(I21)+N(K21))*IF(N21&lt;&gt;"",N21,M21))*MAX(0,20-T21+1)),0)))),0)</f>
        <v/>
      </c>
      <c r="AG21" s="179">
        <f>IFERROR(IF(OR(R21&lt;&gt;"Yes",Q21&lt;&gt;"ESD"),0,IF(S21="Cash capital",IF(T21&lt;=30,IF(O21&lt;&gt;"",O21,MAX(0,N(J21)+N(K21))*IF(N21&lt;&gt;"",N21,M21)),0),IF(S21="Debt service",IF(T21&gt;30,0,W21*MAX(0,MIN(30-T21+1,U21))),IF(OR(S21="Annual O&amp;M",S21="Maintenance-only"),IF(T21&gt;30,0,IF(O21&lt;&gt;"",O21,MAX(0,N(J21)+N(K21))*IF(N21&lt;&gt;"",N21,M21))*MAX(0,30-T21+1)),0)))),0)</f>
        <v/>
      </c>
      <c r="AH21" s="188" t="inlineStr">
        <is>
          <t>ESD fire/rescue and EMS-assist station trigger; call-volume validation required.</t>
        </is>
      </c>
    </row>
    <row r="22" ht="28.5" customHeight="1" s="106">
      <c r="A22" s="105" t="inlineStr">
        <is>
          <t>Engine companies (Type I pumper)</t>
        </is>
      </c>
      <c r="B22" s="105" t="inlineStr">
        <is>
          <t>ESD</t>
        </is>
      </c>
      <c r="C22" s="105" t="inlineStr">
        <is>
          <t>captured residents</t>
        </is>
      </c>
      <c r="D22" s="105" t="inlineStr">
        <is>
          <t>each</t>
        </is>
      </c>
      <c r="E22" s="105" t="inlineStr">
        <is>
          <t>threshold 7,000 residents</t>
        </is>
      </c>
      <c r="F22" s="172">
        <f>IF('03_Multi_Horizon_Results'!$B$7&gt;='12_Takeoff_Assumptions'!$B$19,INT('03_Multi_Horizon_Results'!$B$7/'12_Takeoff_Assumptions'!$B$19),0)</f>
        <v/>
      </c>
      <c r="G22" s="172">
        <f>IF('03_Multi_Horizon_Results'!$C$7&gt;='12_Takeoff_Assumptions'!$B$19,INT('03_Multi_Horizon_Results'!$C$7/'12_Takeoff_Assumptions'!$B$19),0)</f>
        <v/>
      </c>
      <c r="H22" s="172">
        <f>IF('03_Multi_Horizon_Results'!$D$7&gt;='12_Takeoff_Assumptions'!$B$19,INT('03_Multi_Horizon_Results'!$D$7/'12_Takeoff_Assumptions'!$B$19),0)</f>
        <v/>
      </c>
      <c r="I22" s="172">
        <f>IF('03_Multi_Horizon_Results'!$E$7&gt;='12_Takeoff_Assumptions'!$B$19,INT('03_Multi_Horizon_Results'!$E$7/'12_Takeoff_Assumptions'!$B$19),0)</f>
        <v/>
      </c>
      <c r="J22" s="172">
        <f>IF('03_Multi_Horizon_Results'!$F$7&gt;='12_Takeoff_Assumptions'!$B$19,INT('03_Multi_Horizon_Results'!$F$7/'12_Takeoff_Assumptions'!$B$19),0)</f>
        <v/>
      </c>
      <c r="K22" s="173" t="n"/>
      <c r="L22" s="172">
        <f>MAX(0,N(G22)+N(K22))</f>
        <v/>
      </c>
      <c r="M22" s="174" t="n">
        <v>1200000</v>
      </c>
      <c r="N22" s="175" t="n"/>
      <c r="O22" s="175" t="n"/>
      <c r="P22" s="174">
        <f>IFERROR(IF(O22&lt;&gt;"",O22,L22*IF(N22&lt;&gt;"",N22,M22)),0)</f>
        <v/>
      </c>
      <c r="Q22" s="176" t="inlineStr">
        <is>
          <t>ESD</t>
        </is>
      </c>
      <c r="R22" s="177" t="inlineStr">
        <is>
          <t>No</t>
        </is>
      </c>
      <c r="S22" s="177" t="inlineStr">
        <is>
          <t>Debt service</t>
        </is>
      </c>
      <c r="T22" s="177" t="n">
        <v>1</v>
      </c>
      <c r="U22" s="177" t="n">
        <v>20</v>
      </c>
      <c r="V22" s="178" t="n">
        <v>0.045</v>
      </c>
      <c r="W22" s="159">
        <f>IFERROR(IF(AND(R22="Yes",S22="Debt service",U22&gt;0),IF(V22=0,P22/U22,P22*V22/(1-(1+V22)^(-U22))),0),0)</f>
        <v/>
      </c>
      <c r="X22" s="179">
        <f>IFERROR(IF(OR(R22&lt;&gt;"Yes",Q22&lt;&gt;"City"),0,IF(S22="Cash capital",IF(T22&lt;=5,IF(O22&lt;&gt;"",O22,MAX(0,N(F22)+N(K22))*IF(N22&lt;&gt;"",N22,M22)),0),IF(S22="Debt service",IF(T22&gt;5,0,W22*MAX(0,MIN(5-T22+1,U22))),IF(OR(S22="Annual O&amp;M",S22="Maintenance-only"),IF(T22&gt;5,0,IF(O22&lt;&gt;"",O22,MAX(0,N(F22)+N(K22))*IF(N22&lt;&gt;"",N22,M22))*MAX(0,5-T22+1)),0)))),0)</f>
        <v/>
      </c>
      <c r="Y22" s="179">
        <f>IFERROR(IF(OR(R22&lt;&gt;"Yes",Q22&lt;&gt;"City"),0,IF(S22="Cash capital",IF(T22&lt;=10,IF(O22&lt;&gt;"",O22,MAX(0,N(G22)+N(K22))*IF(N22&lt;&gt;"",N22,M22)),0),IF(S22="Debt service",IF(T22&gt;10,0,W22*MAX(0,MIN(10-T22+1,U22))),IF(OR(S22="Annual O&amp;M",S22="Maintenance-only"),IF(T22&gt;10,0,IF(O22&lt;&gt;"",O22,MAX(0,N(G22)+N(K22))*IF(N22&lt;&gt;"",N22,M22))*MAX(0,10-T22+1)),0)))),0)</f>
        <v/>
      </c>
      <c r="Z22" s="179">
        <f>IFERROR(IF(OR(R22&lt;&gt;"Yes",Q22&lt;&gt;"City"),0,IF(S22="Cash capital",IF(T22&lt;=15,IF(O22&lt;&gt;"",O22,MAX(0,N(H22)+N(K22))*IF(N22&lt;&gt;"",N22,M22)),0),IF(S22="Debt service",IF(T22&gt;15,0,W22*MAX(0,MIN(15-T22+1,U22))),IF(OR(S22="Annual O&amp;M",S22="Maintenance-only"),IF(T22&gt;15,0,IF(O22&lt;&gt;"",O22,MAX(0,N(H22)+N(K22))*IF(N22&lt;&gt;"",N22,M22))*MAX(0,15-T22+1)),0)))),0)</f>
        <v/>
      </c>
      <c r="AA22" s="179">
        <f>IFERROR(IF(OR(R22&lt;&gt;"Yes",Q22&lt;&gt;"City"),0,IF(S22="Cash capital",IF(T22&lt;=20,IF(O22&lt;&gt;"",O22,MAX(0,N(I22)+N(K22))*IF(N22&lt;&gt;"",N22,M22)),0),IF(S22="Debt service",IF(T22&gt;20,0,W22*MAX(0,MIN(20-T22+1,U22))),IF(OR(S22="Annual O&amp;M",S22="Maintenance-only"),IF(T22&gt;20,0,IF(O22&lt;&gt;"",O22,MAX(0,N(I22)+N(K22))*IF(N22&lt;&gt;"",N22,M22))*MAX(0,20-T22+1)),0)))),0)</f>
        <v/>
      </c>
      <c r="AB22" s="179">
        <f>IFERROR(IF(OR(R22&lt;&gt;"Yes",Q22&lt;&gt;"City"),0,IF(S22="Cash capital",IF(T22&lt;=30,IF(O22&lt;&gt;"",O22,MAX(0,N(J22)+N(K22))*IF(N22&lt;&gt;"",N22,M22)),0),IF(S22="Debt service",IF(T22&gt;30,0,W22*MAX(0,MIN(30-T22+1,U22))),IF(OR(S22="Annual O&amp;M",S22="Maintenance-only"),IF(T22&gt;30,0,IF(O22&lt;&gt;"",O22,MAX(0,N(J22)+N(K22))*IF(N22&lt;&gt;"",N22,M22))*MAX(0,30-T22+1)),0)))),0)</f>
        <v/>
      </c>
      <c r="AC22" s="179">
        <f>IFERROR(IF(OR(R22&lt;&gt;"Yes",Q22&lt;&gt;"ESD"),0,IF(S22="Cash capital",IF(T22&lt;=5,IF(O22&lt;&gt;"",O22,MAX(0,N(F22)+N(K22))*IF(N22&lt;&gt;"",N22,M22)),0),IF(S22="Debt service",IF(T22&gt;5,0,W22*MAX(0,MIN(5-T22+1,U22))),IF(OR(S22="Annual O&amp;M",S22="Maintenance-only"),IF(T22&gt;5,0,IF(O22&lt;&gt;"",O22,MAX(0,N(F22)+N(K22))*IF(N22&lt;&gt;"",N22,M22))*MAX(0,5-T22+1)),0)))),0)</f>
        <v/>
      </c>
      <c r="AD22" s="179">
        <f>IFERROR(IF(OR(R22&lt;&gt;"Yes",Q22&lt;&gt;"ESD"),0,IF(S22="Cash capital",IF(T22&lt;=10,IF(O22&lt;&gt;"",O22,MAX(0,N(G22)+N(K22))*IF(N22&lt;&gt;"",N22,M22)),0),IF(S22="Debt service",IF(T22&gt;10,0,W22*MAX(0,MIN(10-T22+1,U22))),IF(OR(S22="Annual O&amp;M",S22="Maintenance-only"),IF(T22&gt;10,0,IF(O22&lt;&gt;"",O22,MAX(0,N(G22)+N(K22))*IF(N22&lt;&gt;"",N22,M22))*MAX(0,10-T22+1)),0)))),0)</f>
        <v/>
      </c>
      <c r="AE22" s="179">
        <f>IFERROR(IF(OR(R22&lt;&gt;"Yes",Q22&lt;&gt;"ESD"),0,IF(S22="Cash capital",IF(T22&lt;=15,IF(O22&lt;&gt;"",O22,MAX(0,N(H22)+N(K22))*IF(N22&lt;&gt;"",N22,M22)),0),IF(S22="Debt service",IF(T22&gt;15,0,W22*MAX(0,MIN(15-T22+1,U22))),IF(OR(S22="Annual O&amp;M",S22="Maintenance-only"),IF(T22&gt;15,0,IF(O22&lt;&gt;"",O22,MAX(0,N(H22)+N(K22))*IF(N22&lt;&gt;"",N22,M22))*MAX(0,15-T22+1)),0)))),0)</f>
        <v/>
      </c>
      <c r="AF22" s="179">
        <f>IFERROR(IF(OR(R22&lt;&gt;"Yes",Q22&lt;&gt;"ESD"),0,IF(S22="Cash capital",IF(T22&lt;=20,IF(O22&lt;&gt;"",O22,MAX(0,N(I22)+N(K22))*IF(N22&lt;&gt;"",N22,M22)),0),IF(S22="Debt service",IF(T22&gt;20,0,W22*MAX(0,MIN(20-T22+1,U22))),IF(OR(S22="Annual O&amp;M",S22="Maintenance-only"),IF(T22&gt;20,0,IF(O22&lt;&gt;"",O22,MAX(0,N(I22)+N(K22))*IF(N22&lt;&gt;"",N22,M22))*MAX(0,20-T22+1)),0)))),0)</f>
        <v/>
      </c>
      <c r="AG22" s="179">
        <f>IFERROR(IF(OR(R22&lt;&gt;"Yes",Q22&lt;&gt;"ESD"),0,IF(S22="Cash capital",IF(T22&lt;=30,IF(O22&lt;&gt;"",O22,MAX(0,N(J22)+N(K22))*IF(N22&lt;&gt;"",N22,M22)),0),IF(S22="Debt service",IF(T22&gt;30,0,W22*MAX(0,MIN(30-T22+1,U22))),IF(OR(S22="Annual O&amp;M",S22="Maintenance-only"),IF(T22&gt;30,0,IF(O22&lt;&gt;"",O22,MAX(0,N(J22)+N(K22))*IF(N22&lt;&gt;"",N22,M22))*MAX(0,30-T22+1)),0)))),0)</f>
        <v/>
      </c>
      <c r="AH22" s="188" t="inlineStr">
        <is>
          <t>Apparatus trigger; ESD capital plan should validate.</t>
        </is>
      </c>
    </row>
    <row r="23" ht="28.5" customHeight="1" s="106">
      <c r="A23" s="105" t="inlineStr">
        <is>
          <t>Ladder trucks / quints</t>
        </is>
      </c>
      <c r="B23" s="105" t="inlineStr">
        <is>
          <t>ESD</t>
        </is>
      </c>
      <c r="C23" s="105" t="inlineStr">
        <is>
          <t>captured residents</t>
        </is>
      </c>
      <c r="D23" s="105" t="inlineStr">
        <is>
          <t>each</t>
        </is>
      </c>
      <c r="E23" s="105" t="inlineStr">
        <is>
          <t>threshold 14,000 residents</t>
        </is>
      </c>
      <c r="F23" s="172">
        <f>IF('03_Multi_Horizon_Results'!$B$7&gt;='12_Takeoff_Assumptions'!$B$20,INT('03_Multi_Horizon_Results'!$B$7/'12_Takeoff_Assumptions'!$B$20),0)</f>
        <v/>
      </c>
      <c r="G23" s="172">
        <f>IF('03_Multi_Horizon_Results'!$C$7&gt;='12_Takeoff_Assumptions'!$B$20,INT('03_Multi_Horizon_Results'!$C$7/'12_Takeoff_Assumptions'!$B$20),0)</f>
        <v/>
      </c>
      <c r="H23" s="172">
        <f>IF('03_Multi_Horizon_Results'!$D$7&gt;='12_Takeoff_Assumptions'!$B$20,INT('03_Multi_Horizon_Results'!$D$7/'12_Takeoff_Assumptions'!$B$20),0)</f>
        <v/>
      </c>
      <c r="I23" s="172">
        <f>IF('03_Multi_Horizon_Results'!$E$7&gt;='12_Takeoff_Assumptions'!$B$20,INT('03_Multi_Horizon_Results'!$E$7/'12_Takeoff_Assumptions'!$B$20),0)</f>
        <v/>
      </c>
      <c r="J23" s="172">
        <f>IF('03_Multi_Horizon_Results'!$F$7&gt;='12_Takeoff_Assumptions'!$B$20,INT('03_Multi_Horizon_Results'!$F$7/'12_Takeoff_Assumptions'!$B$20),0)</f>
        <v/>
      </c>
      <c r="K23" s="173" t="n"/>
      <c r="L23" s="172">
        <f>MAX(0,N(G23)+N(K23))</f>
        <v/>
      </c>
      <c r="M23" s="174" t="n">
        <v>1500000</v>
      </c>
      <c r="N23" s="175" t="n"/>
      <c r="O23" s="175" t="n"/>
      <c r="P23" s="174">
        <f>IFERROR(IF(O23&lt;&gt;"",O23,L23*IF(N23&lt;&gt;"",N23,M23)),0)</f>
        <v/>
      </c>
      <c r="Q23" s="176" t="inlineStr">
        <is>
          <t>ESD</t>
        </is>
      </c>
      <c r="R23" s="177" t="inlineStr">
        <is>
          <t>No</t>
        </is>
      </c>
      <c r="S23" s="177" t="inlineStr">
        <is>
          <t>Debt service</t>
        </is>
      </c>
      <c r="T23" s="177" t="n">
        <v>1</v>
      </c>
      <c r="U23" s="177" t="n">
        <v>20</v>
      </c>
      <c r="V23" s="178" t="n">
        <v>0.045</v>
      </c>
      <c r="W23" s="159">
        <f>IFERROR(IF(AND(R23="Yes",S23="Debt service",U23&gt;0),IF(V23=0,P23/U23,P23*V23/(1-(1+V23)^(-U23))),0),0)</f>
        <v/>
      </c>
      <c r="X23" s="179">
        <f>IFERROR(IF(OR(R23&lt;&gt;"Yes",Q23&lt;&gt;"City"),0,IF(S23="Cash capital",IF(T23&lt;=5,IF(O23&lt;&gt;"",O23,MAX(0,N(F23)+N(K23))*IF(N23&lt;&gt;"",N23,M23)),0),IF(S23="Debt service",IF(T23&gt;5,0,W23*MAX(0,MIN(5-T23+1,U23))),IF(OR(S23="Annual O&amp;M",S23="Maintenance-only"),IF(T23&gt;5,0,IF(O23&lt;&gt;"",O23,MAX(0,N(F23)+N(K23))*IF(N23&lt;&gt;"",N23,M23))*MAX(0,5-T23+1)),0)))),0)</f>
        <v/>
      </c>
      <c r="Y23" s="179">
        <f>IFERROR(IF(OR(R23&lt;&gt;"Yes",Q23&lt;&gt;"City"),0,IF(S23="Cash capital",IF(T23&lt;=10,IF(O23&lt;&gt;"",O23,MAX(0,N(G23)+N(K23))*IF(N23&lt;&gt;"",N23,M23)),0),IF(S23="Debt service",IF(T23&gt;10,0,W23*MAX(0,MIN(10-T23+1,U23))),IF(OR(S23="Annual O&amp;M",S23="Maintenance-only"),IF(T23&gt;10,0,IF(O23&lt;&gt;"",O23,MAX(0,N(G23)+N(K23))*IF(N23&lt;&gt;"",N23,M23))*MAX(0,10-T23+1)),0)))),0)</f>
        <v/>
      </c>
      <c r="Z23" s="179">
        <f>IFERROR(IF(OR(R23&lt;&gt;"Yes",Q23&lt;&gt;"City"),0,IF(S23="Cash capital",IF(T23&lt;=15,IF(O23&lt;&gt;"",O23,MAX(0,N(H23)+N(K23))*IF(N23&lt;&gt;"",N23,M23)),0),IF(S23="Debt service",IF(T23&gt;15,0,W23*MAX(0,MIN(15-T23+1,U23))),IF(OR(S23="Annual O&amp;M",S23="Maintenance-only"),IF(T23&gt;15,0,IF(O23&lt;&gt;"",O23,MAX(0,N(H23)+N(K23))*IF(N23&lt;&gt;"",N23,M23))*MAX(0,15-T23+1)),0)))),0)</f>
        <v/>
      </c>
      <c r="AA23" s="179">
        <f>IFERROR(IF(OR(R23&lt;&gt;"Yes",Q23&lt;&gt;"City"),0,IF(S23="Cash capital",IF(T23&lt;=20,IF(O23&lt;&gt;"",O23,MAX(0,N(I23)+N(K23))*IF(N23&lt;&gt;"",N23,M23)),0),IF(S23="Debt service",IF(T23&gt;20,0,W23*MAX(0,MIN(20-T23+1,U23))),IF(OR(S23="Annual O&amp;M",S23="Maintenance-only"),IF(T23&gt;20,0,IF(O23&lt;&gt;"",O23,MAX(0,N(I23)+N(K23))*IF(N23&lt;&gt;"",N23,M23))*MAX(0,20-T23+1)),0)))),0)</f>
        <v/>
      </c>
      <c r="AB23" s="179">
        <f>IFERROR(IF(OR(R23&lt;&gt;"Yes",Q23&lt;&gt;"City"),0,IF(S23="Cash capital",IF(T23&lt;=30,IF(O23&lt;&gt;"",O23,MAX(0,N(J23)+N(K23))*IF(N23&lt;&gt;"",N23,M23)),0),IF(S23="Debt service",IF(T23&gt;30,0,W23*MAX(0,MIN(30-T23+1,U23))),IF(OR(S23="Annual O&amp;M",S23="Maintenance-only"),IF(T23&gt;30,0,IF(O23&lt;&gt;"",O23,MAX(0,N(J23)+N(K23))*IF(N23&lt;&gt;"",N23,M23))*MAX(0,30-T23+1)),0)))),0)</f>
        <v/>
      </c>
      <c r="AC23" s="179">
        <f>IFERROR(IF(OR(R23&lt;&gt;"Yes",Q23&lt;&gt;"ESD"),0,IF(S23="Cash capital",IF(T23&lt;=5,IF(O23&lt;&gt;"",O23,MAX(0,N(F23)+N(K23))*IF(N23&lt;&gt;"",N23,M23)),0),IF(S23="Debt service",IF(T23&gt;5,0,W23*MAX(0,MIN(5-T23+1,U23))),IF(OR(S23="Annual O&amp;M",S23="Maintenance-only"),IF(T23&gt;5,0,IF(O23&lt;&gt;"",O23,MAX(0,N(F23)+N(K23))*IF(N23&lt;&gt;"",N23,M23))*MAX(0,5-T23+1)),0)))),0)</f>
        <v/>
      </c>
      <c r="AD23" s="179">
        <f>IFERROR(IF(OR(R23&lt;&gt;"Yes",Q23&lt;&gt;"ESD"),0,IF(S23="Cash capital",IF(T23&lt;=10,IF(O23&lt;&gt;"",O23,MAX(0,N(G23)+N(K23))*IF(N23&lt;&gt;"",N23,M23)),0),IF(S23="Debt service",IF(T23&gt;10,0,W23*MAX(0,MIN(10-T23+1,U23))),IF(OR(S23="Annual O&amp;M",S23="Maintenance-only"),IF(T23&gt;10,0,IF(O23&lt;&gt;"",O23,MAX(0,N(G23)+N(K23))*IF(N23&lt;&gt;"",N23,M23))*MAX(0,10-T23+1)),0)))),0)</f>
        <v/>
      </c>
      <c r="AE23" s="179">
        <f>IFERROR(IF(OR(R23&lt;&gt;"Yes",Q23&lt;&gt;"ESD"),0,IF(S23="Cash capital",IF(T23&lt;=15,IF(O23&lt;&gt;"",O23,MAX(0,N(H23)+N(K23))*IF(N23&lt;&gt;"",N23,M23)),0),IF(S23="Debt service",IF(T23&gt;15,0,W23*MAX(0,MIN(15-T23+1,U23))),IF(OR(S23="Annual O&amp;M",S23="Maintenance-only"),IF(T23&gt;15,0,IF(O23&lt;&gt;"",O23,MAX(0,N(H23)+N(K23))*IF(N23&lt;&gt;"",N23,M23))*MAX(0,15-T23+1)),0)))),0)</f>
        <v/>
      </c>
      <c r="AF23" s="179">
        <f>IFERROR(IF(OR(R23&lt;&gt;"Yes",Q23&lt;&gt;"ESD"),0,IF(S23="Cash capital",IF(T23&lt;=20,IF(O23&lt;&gt;"",O23,MAX(0,N(I23)+N(K23))*IF(N23&lt;&gt;"",N23,M23)),0),IF(S23="Debt service",IF(T23&gt;20,0,W23*MAX(0,MIN(20-T23+1,U23))),IF(OR(S23="Annual O&amp;M",S23="Maintenance-only"),IF(T23&gt;20,0,IF(O23&lt;&gt;"",O23,MAX(0,N(I23)+N(K23))*IF(N23&lt;&gt;"",N23,M23))*MAX(0,20-T23+1)),0)))),0)</f>
        <v/>
      </c>
      <c r="AG23" s="179">
        <f>IFERROR(IF(OR(R23&lt;&gt;"Yes",Q23&lt;&gt;"ESD"),0,IF(S23="Cash capital",IF(T23&lt;=30,IF(O23&lt;&gt;"",O23,MAX(0,N(J23)+N(K23))*IF(N23&lt;&gt;"",N23,M23)),0),IF(S23="Debt service",IF(T23&gt;30,0,W23*MAX(0,MIN(30-T23+1,U23))),IF(OR(S23="Annual O&amp;M",S23="Maintenance-only"),IF(T23&gt;30,0,IF(O23&lt;&gt;"",O23,MAX(0,N(J23)+N(K23))*IF(N23&lt;&gt;"",N23,M23))*MAX(0,30-T23+1)),0)))),0)</f>
        <v/>
      </c>
      <c r="AH23" s="188" t="inlineStr">
        <is>
          <t>Apparatus trigger; may require manual override for tall/industrial risk.</t>
        </is>
      </c>
    </row>
    <row r="24" ht="14.25" customHeight="1" s="106">
      <c r="A24" s="105" t="inlineStr">
        <is>
          <t>Brush trucks</t>
        </is>
      </c>
      <c r="B24" s="105" t="inlineStr">
        <is>
          <t>ESD</t>
        </is>
      </c>
      <c r="C24" s="105" t="inlineStr">
        <is>
          <t>captured acres</t>
        </is>
      </c>
      <c r="D24" s="105" t="inlineStr">
        <is>
          <t>each</t>
        </is>
      </c>
      <c r="E24" s="105" t="inlineStr">
        <is>
          <t>threshold 1,500 ac</t>
        </is>
      </c>
      <c r="F24" s="172">
        <f>IF('03_Multi_Horizon_Results'!$B$5&gt;='12_Takeoff_Assumptions'!$B$21,INT('03_Multi_Horizon_Results'!$B$5/'12_Takeoff_Assumptions'!$B$21),0)</f>
        <v/>
      </c>
      <c r="G24" s="172">
        <f>IF('03_Multi_Horizon_Results'!$C$5&gt;='12_Takeoff_Assumptions'!$B$21,INT('03_Multi_Horizon_Results'!$C$5/'12_Takeoff_Assumptions'!$B$21),0)</f>
        <v/>
      </c>
      <c r="H24" s="172">
        <f>IF('03_Multi_Horizon_Results'!$D$5&gt;='12_Takeoff_Assumptions'!$B$21,INT('03_Multi_Horizon_Results'!$D$5/'12_Takeoff_Assumptions'!$B$21),0)</f>
        <v/>
      </c>
      <c r="I24" s="172">
        <f>IF('03_Multi_Horizon_Results'!$E$5&gt;='12_Takeoff_Assumptions'!$B$21,INT('03_Multi_Horizon_Results'!$E$5/'12_Takeoff_Assumptions'!$B$21),0)</f>
        <v/>
      </c>
      <c r="J24" s="172">
        <f>IF('03_Multi_Horizon_Results'!$F$5&gt;='12_Takeoff_Assumptions'!$B$21,INT('03_Multi_Horizon_Results'!$F$5/'12_Takeoff_Assumptions'!$B$21),0)</f>
        <v/>
      </c>
      <c r="K24" s="173" t="n"/>
      <c r="L24" s="172">
        <f>MAX(0,N(G24)+N(K24))</f>
        <v/>
      </c>
      <c r="M24" s="174" t="n">
        <v>400000</v>
      </c>
      <c r="N24" s="175" t="n"/>
      <c r="O24" s="175" t="n"/>
      <c r="P24" s="174">
        <f>IFERROR(IF(O24&lt;&gt;"",O24,L24*IF(N24&lt;&gt;"",N24,M24)),0)</f>
        <v/>
      </c>
      <c r="Q24" s="176" t="inlineStr">
        <is>
          <t>ESD</t>
        </is>
      </c>
      <c r="R24" s="177" t="inlineStr">
        <is>
          <t>No</t>
        </is>
      </c>
      <c r="S24" s="177" t="inlineStr">
        <is>
          <t>Debt service</t>
        </is>
      </c>
      <c r="T24" s="177" t="n">
        <v>1</v>
      </c>
      <c r="U24" s="177" t="n">
        <v>20</v>
      </c>
      <c r="V24" s="178" t="n">
        <v>0.045</v>
      </c>
      <c r="W24" s="159">
        <f>IFERROR(IF(AND(R24="Yes",S24="Debt service",U24&gt;0),IF(V24=0,P24/U24,P24*V24/(1-(1+V24)^(-U24))),0),0)</f>
        <v/>
      </c>
      <c r="X24" s="179">
        <f>IFERROR(IF(OR(R24&lt;&gt;"Yes",Q24&lt;&gt;"City"),0,IF(S24="Cash capital",IF(T24&lt;=5,IF(O24&lt;&gt;"",O24,MAX(0,N(F24)+N(K24))*IF(N24&lt;&gt;"",N24,M24)),0),IF(S24="Debt service",IF(T24&gt;5,0,W24*MAX(0,MIN(5-T24+1,U24))),IF(OR(S24="Annual O&amp;M",S24="Maintenance-only"),IF(T24&gt;5,0,IF(O24&lt;&gt;"",O24,MAX(0,N(F24)+N(K24))*IF(N24&lt;&gt;"",N24,M24))*MAX(0,5-T24+1)),0)))),0)</f>
        <v/>
      </c>
      <c r="Y24" s="179">
        <f>IFERROR(IF(OR(R24&lt;&gt;"Yes",Q24&lt;&gt;"City"),0,IF(S24="Cash capital",IF(T24&lt;=10,IF(O24&lt;&gt;"",O24,MAX(0,N(G24)+N(K24))*IF(N24&lt;&gt;"",N24,M24)),0),IF(S24="Debt service",IF(T24&gt;10,0,W24*MAX(0,MIN(10-T24+1,U24))),IF(OR(S24="Annual O&amp;M",S24="Maintenance-only"),IF(T24&gt;10,0,IF(O24&lt;&gt;"",O24,MAX(0,N(G24)+N(K24))*IF(N24&lt;&gt;"",N24,M24))*MAX(0,10-T24+1)),0)))),0)</f>
        <v/>
      </c>
      <c r="Z24" s="179">
        <f>IFERROR(IF(OR(R24&lt;&gt;"Yes",Q24&lt;&gt;"City"),0,IF(S24="Cash capital",IF(T24&lt;=15,IF(O24&lt;&gt;"",O24,MAX(0,N(H24)+N(K24))*IF(N24&lt;&gt;"",N24,M24)),0),IF(S24="Debt service",IF(T24&gt;15,0,W24*MAX(0,MIN(15-T24+1,U24))),IF(OR(S24="Annual O&amp;M",S24="Maintenance-only"),IF(T24&gt;15,0,IF(O24&lt;&gt;"",O24,MAX(0,N(H24)+N(K24))*IF(N24&lt;&gt;"",N24,M24))*MAX(0,15-T24+1)),0)))),0)</f>
        <v/>
      </c>
      <c r="AA24" s="179">
        <f>IFERROR(IF(OR(R24&lt;&gt;"Yes",Q24&lt;&gt;"City"),0,IF(S24="Cash capital",IF(T24&lt;=20,IF(O24&lt;&gt;"",O24,MAX(0,N(I24)+N(K24))*IF(N24&lt;&gt;"",N24,M24)),0),IF(S24="Debt service",IF(T24&gt;20,0,W24*MAX(0,MIN(20-T24+1,U24))),IF(OR(S24="Annual O&amp;M",S24="Maintenance-only"),IF(T24&gt;20,0,IF(O24&lt;&gt;"",O24,MAX(0,N(I24)+N(K24))*IF(N24&lt;&gt;"",N24,M24))*MAX(0,20-T24+1)),0)))),0)</f>
        <v/>
      </c>
      <c r="AB24" s="179">
        <f>IFERROR(IF(OR(R24&lt;&gt;"Yes",Q24&lt;&gt;"City"),0,IF(S24="Cash capital",IF(T24&lt;=30,IF(O24&lt;&gt;"",O24,MAX(0,N(J24)+N(K24))*IF(N24&lt;&gt;"",N24,M24)),0),IF(S24="Debt service",IF(T24&gt;30,0,W24*MAX(0,MIN(30-T24+1,U24))),IF(OR(S24="Annual O&amp;M",S24="Maintenance-only"),IF(T24&gt;30,0,IF(O24&lt;&gt;"",O24,MAX(0,N(J24)+N(K24))*IF(N24&lt;&gt;"",N24,M24))*MAX(0,30-T24+1)),0)))),0)</f>
        <v/>
      </c>
      <c r="AC24" s="179">
        <f>IFERROR(IF(OR(R24&lt;&gt;"Yes",Q24&lt;&gt;"ESD"),0,IF(S24="Cash capital",IF(T24&lt;=5,IF(O24&lt;&gt;"",O24,MAX(0,N(F24)+N(K24))*IF(N24&lt;&gt;"",N24,M24)),0),IF(S24="Debt service",IF(T24&gt;5,0,W24*MAX(0,MIN(5-T24+1,U24))),IF(OR(S24="Annual O&amp;M",S24="Maintenance-only"),IF(T24&gt;5,0,IF(O24&lt;&gt;"",O24,MAX(0,N(F24)+N(K24))*IF(N24&lt;&gt;"",N24,M24))*MAX(0,5-T24+1)),0)))),0)</f>
        <v/>
      </c>
      <c r="AD24" s="179">
        <f>IFERROR(IF(OR(R24&lt;&gt;"Yes",Q24&lt;&gt;"ESD"),0,IF(S24="Cash capital",IF(T24&lt;=10,IF(O24&lt;&gt;"",O24,MAX(0,N(G24)+N(K24))*IF(N24&lt;&gt;"",N24,M24)),0),IF(S24="Debt service",IF(T24&gt;10,0,W24*MAX(0,MIN(10-T24+1,U24))),IF(OR(S24="Annual O&amp;M",S24="Maintenance-only"),IF(T24&gt;10,0,IF(O24&lt;&gt;"",O24,MAX(0,N(G24)+N(K24))*IF(N24&lt;&gt;"",N24,M24))*MAX(0,10-T24+1)),0)))),0)</f>
        <v/>
      </c>
      <c r="AE24" s="179">
        <f>IFERROR(IF(OR(R24&lt;&gt;"Yes",Q24&lt;&gt;"ESD"),0,IF(S24="Cash capital",IF(T24&lt;=15,IF(O24&lt;&gt;"",O24,MAX(0,N(H24)+N(K24))*IF(N24&lt;&gt;"",N24,M24)),0),IF(S24="Debt service",IF(T24&gt;15,0,W24*MAX(0,MIN(15-T24+1,U24))),IF(OR(S24="Annual O&amp;M",S24="Maintenance-only"),IF(T24&gt;15,0,IF(O24&lt;&gt;"",O24,MAX(0,N(H24)+N(K24))*IF(N24&lt;&gt;"",N24,M24))*MAX(0,15-T24+1)),0)))),0)</f>
        <v/>
      </c>
      <c r="AF24" s="179">
        <f>IFERROR(IF(OR(R24&lt;&gt;"Yes",Q24&lt;&gt;"ESD"),0,IF(S24="Cash capital",IF(T24&lt;=20,IF(O24&lt;&gt;"",O24,MAX(0,N(I24)+N(K24))*IF(N24&lt;&gt;"",N24,M24)),0),IF(S24="Debt service",IF(T24&gt;20,0,W24*MAX(0,MIN(20-T24+1,U24))),IF(OR(S24="Annual O&amp;M",S24="Maintenance-only"),IF(T24&gt;20,0,IF(O24&lt;&gt;"",O24,MAX(0,N(I24)+N(K24))*IF(N24&lt;&gt;"",N24,M24))*MAX(0,20-T24+1)),0)))),0)</f>
        <v/>
      </c>
      <c r="AG24" s="179">
        <f>IFERROR(IF(OR(R24&lt;&gt;"Yes",Q24&lt;&gt;"ESD"),0,IF(S24="Cash capital",IF(T24&lt;=30,IF(O24&lt;&gt;"",O24,MAX(0,N(J24)+N(K24))*IF(N24&lt;&gt;"",N24,M24)),0),IF(S24="Debt service",IF(T24&gt;30,0,W24*MAX(0,MIN(30-T24+1,U24))),IF(OR(S24="Annual O&amp;M",S24="Maintenance-only"),IF(T24&gt;30,0,IF(O24&lt;&gt;"",O24,MAX(0,N(J24)+N(K24))*IF(N24&lt;&gt;"",N24,M24))*MAX(0,30-T24+1)),0)))),0)</f>
        <v/>
      </c>
      <c r="AH24" s="188" t="inlineStr">
        <is>
          <t>Wildland/acreage exposure trigger; ESD validation required.</t>
        </is>
      </c>
    </row>
    <row r="25" ht="14.25" customHeight="1" s="106">
      <c r="A25" s="105" t="inlineStr">
        <is>
          <t>Command vehicles</t>
        </is>
      </c>
      <c r="B25" s="105" t="inlineStr">
        <is>
          <t>ESD</t>
        </is>
      </c>
      <c r="C25" s="105" t="inlineStr">
        <is>
          <t>fire stations</t>
        </is>
      </c>
      <c r="D25" s="105" t="inlineStr">
        <is>
          <t>each</t>
        </is>
      </c>
      <c r="E25" s="105" t="inlineStr">
        <is>
          <t>1 per station</t>
        </is>
      </c>
      <c r="F25" s="172">
        <f>IF('03_Multi_Horizon_Results'!$B$7&gt;='12_Takeoff_Assumptions'!$B$18,INT('03_Multi_Horizon_Results'!$B$7/'12_Takeoff_Assumptions'!$B$18),0)</f>
        <v/>
      </c>
      <c r="G25" s="172">
        <f>IF('03_Multi_Horizon_Results'!$C$7&gt;='12_Takeoff_Assumptions'!$B$18,INT('03_Multi_Horizon_Results'!$C$7/'12_Takeoff_Assumptions'!$B$18),0)</f>
        <v/>
      </c>
      <c r="H25" s="172">
        <f>IF('03_Multi_Horizon_Results'!$D$7&gt;='12_Takeoff_Assumptions'!$B$18,INT('03_Multi_Horizon_Results'!$D$7/'12_Takeoff_Assumptions'!$B$18),0)</f>
        <v/>
      </c>
      <c r="I25" s="172">
        <f>IF('03_Multi_Horizon_Results'!$E$7&gt;='12_Takeoff_Assumptions'!$B$18,INT('03_Multi_Horizon_Results'!$E$7/'12_Takeoff_Assumptions'!$B$18),0)</f>
        <v/>
      </c>
      <c r="J25" s="172">
        <f>IF('03_Multi_Horizon_Results'!$F$7&gt;='12_Takeoff_Assumptions'!$B$18,INT('03_Multi_Horizon_Results'!$F$7/'12_Takeoff_Assumptions'!$B$18),0)</f>
        <v/>
      </c>
      <c r="K25" s="173" t="n"/>
      <c r="L25" s="172">
        <f>MAX(0,N(G25)+N(K25))</f>
        <v/>
      </c>
      <c r="M25" s="174" t="n">
        <v>85000</v>
      </c>
      <c r="N25" s="175" t="n"/>
      <c r="O25" s="175" t="n"/>
      <c r="P25" s="174">
        <f>IFERROR(IF(O25&lt;&gt;"",O25,L25*IF(N25&lt;&gt;"",N25,M25)),0)</f>
        <v/>
      </c>
      <c r="Q25" s="176" t="inlineStr">
        <is>
          <t>ESD</t>
        </is>
      </c>
      <c r="R25" s="177" t="inlineStr">
        <is>
          <t>No</t>
        </is>
      </c>
      <c r="S25" s="177" t="inlineStr">
        <is>
          <t>Debt service</t>
        </is>
      </c>
      <c r="T25" s="177" t="n">
        <v>1</v>
      </c>
      <c r="U25" s="177" t="n">
        <v>20</v>
      </c>
      <c r="V25" s="178" t="n">
        <v>0.045</v>
      </c>
      <c r="W25" s="159">
        <f>IFERROR(IF(AND(R25="Yes",S25="Debt service",U25&gt;0),IF(V25=0,P25/U25,P25*V25/(1-(1+V25)^(-U25))),0),0)</f>
        <v/>
      </c>
      <c r="X25" s="179">
        <f>IFERROR(IF(OR(R25&lt;&gt;"Yes",Q25&lt;&gt;"City"),0,IF(S25="Cash capital",IF(T25&lt;=5,IF(O25&lt;&gt;"",O25,MAX(0,N(F25)+N(K25))*IF(N25&lt;&gt;"",N25,M25)),0),IF(S25="Debt service",IF(T25&gt;5,0,W25*MAX(0,MIN(5-T25+1,U25))),IF(OR(S25="Annual O&amp;M",S25="Maintenance-only"),IF(T25&gt;5,0,IF(O25&lt;&gt;"",O25,MAX(0,N(F25)+N(K25))*IF(N25&lt;&gt;"",N25,M25))*MAX(0,5-T25+1)),0)))),0)</f>
        <v/>
      </c>
      <c r="Y25" s="179">
        <f>IFERROR(IF(OR(R25&lt;&gt;"Yes",Q25&lt;&gt;"City"),0,IF(S25="Cash capital",IF(T25&lt;=10,IF(O25&lt;&gt;"",O25,MAX(0,N(G25)+N(K25))*IF(N25&lt;&gt;"",N25,M25)),0),IF(S25="Debt service",IF(T25&gt;10,0,W25*MAX(0,MIN(10-T25+1,U25))),IF(OR(S25="Annual O&amp;M",S25="Maintenance-only"),IF(T25&gt;10,0,IF(O25&lt;&gt;"",O25,MAX(0,N(G25)+N(K25))*IF(N25&lt;&gt;"",N25,M25))*MAX(0,10-T25+1)),0)))),0)</f>
        <v/>
      </c>
      <c r="Z25" s="179">
        <f>IFERROR(IF(OR(R25&lt;&gt;"Yes",Q25&lt;&gt;"City"),0,IF(S25="Cash capital",IF(T25&lt;=15,IF(O25&lt;&gt;"",O25,MAX(0,N(H25)+N(K25))*IF(N25&lt;&gt;"",N25,M25)),0),IF(S25="Debt service",IF(T25&gt;15,0,W25*MAX(0,MIN(15-T25+1,U25))),IF(OR(S25="Annual O&amp;M",S25="Maintenance-only"),IF(T25&gt;15,0,IF(O25&lt;&gt;"",O25,MAX(0,N(H25)+N(K25))*IF(N25&lt;&gt;"",N25,M25))*MAX(0,15-T25+1)),0)))),0)</f>
        <v/>
      </c>
      <c r="AA25" s="179">
        <f>IFERROR(IF(OR(R25&lt;&gt;"Yes",Q25&lt;&gt;"City"),0,IF(S25="Cash capital",IF(T25&lt;=20,IF(O25&lt;&gt;"",O25,MAX(0,N(I25)+N(K25))*IF(N25&lt;&gt;"",N25,M25)),0),IF(S25="Debt service",IF(T25&gt;20,0,W25*MAX(0,MIN(20-T25+1,U25))),IF(OR(S25="Annual O&amp;M",S25="Maintenance-only"),IF(T25&gt;20,0,IF(O25&lt;&gt;"",O25,MAX(0,N(I25)+N(K25))*IF(N25&lt;&gt;"",N25,M25))*MAX(0,20-T25+1)),0)))),0)</f>
        <v/>
      </c>
      <c r="AB25" s="179">
        <f>IFERROR(IF(OR(R25&lt;&gt;"Yes",Q25&lt;&gt;"City"),0,IF(S25="Cash capital",IF(T25&lt;=30,IF(O25&lt;&gt;"",O25,MAX(0,N(J25)+N(K25))*IF(N25&lt;&gt;"",N25,M25)),0),IF(S25="Debt service",IF(T25&gt;30,0,W25*MAX(0,MIN(30-T25+1,U25))),IF(OR(S25="Annual O&amp;M",S25="Maintenance-only"),IF(T25&gt;30,0,IF(O25&lt;&gt;"",O25,MAX(0,N(J25)+N(K25))*IF(N25&lt;&gt;"",N25,M25))*MAX(0,30-T25+1)),0)))),0)</f>
        <v/>
      </c>
      <c r="AC25" s="179">
        <f>IFERROR(IF(OR(R25&lt;&gt;"Yes",Q25&lt;&gt;"ESD"),0,IF(S25="Cash capital",IF(T25&lt;=5,IF(O25&lt;&gt;"",O25,MAX(0,N(F25)+N(K25))*IF(N25&lt;&gt;"",N25,M25)),0),IF(S25="Debt service",IF(T25&gt;5,0,W25*MAX(0,MIN(5-T25+1,U25))),IF(OR(S25="Annual O&amp;M",S25="Maintenance-only"),IF(T25&gt;5,0,IF(O25&lt;&gt;"",O25,MAX(0,N(F25)+N(K25))*IF(N25&lt;&gt;"",N25,M25))*MAX(0,5-T25+1)),0)))),0)</f>
        <v/>
      </c>
      <c r="AD25" s="179">
        <f>IFERROR(IF(OR(R25&lt;&gt;"Yes",Q25&lt;&gt;"ESD"),0,IF(S25="Cash capital",IF(T25&lt;=10,IF(O25&lt;&gt;"",O25,MAX(0,N(G25)+N(K25))*IF(N25&lt;&gt;"",N25,M25)),0),IF(S25="Debt service",IF(T25&gt;10,0,W25*MAX(0,MIN(10-T25+1,U25))),IF(OR(S25="Annual O&amp;M",S25="Maintenance-only"),IF(T25&gt;10,0,IF(O25&lt;&gt;"",O25,MAX(0,N(G25)+N(K25))*IF(N25&lt;&gt;"",N25,M25))*MAX(0,10-T25+1)),0)))),0)</f>
        <v/>
      </c>
      <c r="AE25" s="179">
        <f>IFERROR(IF(OR(R25&lt;&gt;"Yes",Q25&lt;&gt;"ESD"),0,IF(S25="Cash capital",IF(T25&lt;=15,IF(O25&lt;&gt;"",O25,MAX(0,N(H25)+N(K25))*IF(N25&lt;&gt;"",N25,M25)),0),IF(S25="Debt service",IF(T25&gt;15,0,W25*MAX(0,MIN(15-T25+1,U25))),IF(OR(S25="Annual O&amp;M",S25="Maintenance-only"),IF(T25&gt;15,0,IF(O25&lt;&gt;"",O25,MAX(0,N(H25)+N(K25))*IF(N25&lt;&gt;"",N25,M25))*MAX(0,15-T25+1)),0)))),0)</f>
        <v/>
      </c>
      <c r="AF25" s="179">
        <f>IFERROR(IF(OR(R25&lt;&gt;"Yes",Q25&lt;&gt;"ESD"),0,IF(S25="Cash capital",IF(T25&lt;=20,IF(O25&lt;&gt;"",O25,MAX(0,N(I25)+N(K25))*IF(N25&lt;&gt;"",N25,M25)),0),IF(S25="Debt service",IF(T25&gt;20,0,W25*MAX(0,MIN(20-T25+1,U25))),IF(OR(S25="Annual O&amp;M",S25="Maintenance-only"),IF(T25&gt;20,0,IF(O25&lt;&gt;"",O25,MAX(0,N(I25)+N(K25))*IF(N25&lt;&gt;"",N25,M25))*MAX(0,20-T25+1)),0)))),0)</f>
        <v/>
      </c>
      <c r="AG25" s="179">
        <f>IFERROR(IF(OR(R25&lt;&gt;"Yes",Q25&lt;&gt;"ESD"),0,IF(S25="Cash capital",IF(T25&lt;=30,IF(O25&lt;&gt;"",O25,MAX(0,N(J25)+N(K25))*IF(N25&lt;&gt;"",N25,M25)),0),IF(S25="Debt service",IF(T25&gt;30,0,W25*MAX(0,MIN(30-T25+1,U25))),IF(OR(S25="Annual O&amp;M",S25="Maintenance-only"),IF(T25&gt;30,0,IF(O25&lt;&gt;"",O25,MAX(0,N(J25)+N(K25))*IF(N25&lt;&gt;"",N25,M25))*MAX(0,30-T25+1)),0)))),0)</f>
        <v/>
      </c>
      <c r="AH25" s="188" t="inlineStr">
        <is>
          <t>Command vehicle allowance tied to fire station trigger.</t>
        </is>
      </c>
    </row>
    <row r="26" ht="14.25" customHeight="1" s="106">
      <c r="A26" s="105" t="inlineStr">
        <is>
          <t>SCBA / PPE sets</t>
        </is>
      </c>
      <c r="B26" s="105" t="inlineStr">
        <is>
          <t>ESD</t>
        </is>
      </c>
      <c r="C26" s="105" t="inlineStr">
        <is>
          <t>firefighter FTE</t>
        </is>
      </c>
      <c r="D26" s="105" t="inlineStr">
        <is>
          <t>sets</t>
        </is>
      </c>
      <c r="E26" s="105" t="inlineStr">
        <is>
          <t>1 set/FTE</t>
        </is>
      </c>
      <c r="F26" s="172">
        <f>('03_Multi_Horizon_Results'!$B$7/1000*'12_Takeoff_Assumptions'!$B$22)*'12_Takeoff_Assumptions'!$B$27</f>
        <v/>
      </c>
      <c r="G26" s="172">
        <f>('03_Multi_Horizon_Results'!$C$7/1000*'12_Takeoff_Assumptions'!$B$22)*'12_Takeoff_Assumptions'!$B$27</f>
        <v/>
      </c>
      <c r="H26" s="172">
        <f>('03_Multi_Horizon_Results'!$D$7/1000*'12_Takeoff_Assumptions'!$B$22)*'12_Takeoff_Assumptions'!$B$27</f>
        <v/>
      </c>
      <c r="I26" s="172">
        <f>('03_Multi_Horizon_Results'!$E$7/1000*'12_Takeoff_Assumptions'!$B$22)*'12_Takeoff_Assumptions'!$B$27</f>
        <v/>
      </c>
      <c r="J26" s="172">
        <f>('03_Multi_Horizon_Results'!$F$7/1000*'12_Takeoff_Assumptions'!$B$22)*'12_Takeoff_Assumptions'!$B$27</f>
        <v/>
      </c>
      <c r="K26" s="173" t="n"/>
      <c r="L26" s="172">
        <f>MAX(0,N(G26)+N(K26))</f>
        <v/>
      </c>
      <c r="M26" s="174" t="n">
        <v>12500</v>
      </c>
      <c r="N26" s="175" t="n"/>
      <c r="O26" s="175" t="n"/>
      <c r="P26" s="174">
        <f>IFERROR(IF(O26&lt;&gt;"",O26,L26*IF(N26&lt;&gt;"",N26,M26)),0)</f>
        <v/>
      </c>
      <c r="Q26" s="176" t="inlineStr">
        <is>
          <t>ESD</t>
        </is>
      </c>
      <c r="R26" s="177" t="inlineStr">
        <is>
          <t>No</t>
        </is>
      </c>
      <c r="S26" s="177" t="inlineStr">
        <is>
          <t>Debt service</t>
        </is>
      </c>
      <c r="T26" s="177" t="n">
        <v>1</v>
      </c>
      <c r="U26" s="177" t="n">
        <v>20</v>
      </c>
      <c r="V26" s="178" t="n">
        <v>0.045</v>
      </c>
      <c r="W26" s="159">
        <f>IFERROR(IF(AND(R26="Yes",S26="Debt service",U26&gt;0),IF(V26=0,P26/U26,P26*V26/(1-(1+V26)^(-U26))),0),0)</f>
        <v/>
      </c>
      <c r="X26" s="179">
        <f>IFERROR(IF(OR(R26&lt;&gt;"Yes",Q26&lt;&gt;"City"),0,IF(S26="Cash capital",IF(T26&lt;=5,IF(O26&lt;&gt;"",O26,MAX(0,N(F26)+N(K26))*IF(N26&lt;&gt;"",N26,M26)),0),IF(S26="Debt service",IF(T26&gt;5,0,W26*MAX(0,MIN(5-T26+1,U26))),IF(OR(S26="Annual O&amp;M",S26="Maintenance-only"),IF(T26&gt;5,0,IF(O26&lt;&gt;"",O26,MAX(0,N(F26)+N(K26))*IF(N26&lt;&gt;"",N26,M26))*MAX(0,5-T26+1)),0)))),0)</f>
        <v/>
      </c>
      <c r="Y26" s="179">
        <f>IFERROR(IF(OR(R26&lt;&gt;"Yes",Q26&lt;&gt;"City"),0,IF(S26="Cash capital",IF(T26&lt;=10,IF(O26&lt;&gt;"",O26,MAX(0,N(G26)+N(K26))*IF(N26&lt;&gt;"",N26,M26)),0),IF(S26="Debt service",IF(T26&gt;10,0,W26*MAX(0,MIN(10-T26+1,U26))),IF(OR(S26="Annual O&amp;M",S26="Maintenance-only"),IF(T26&gt;10,0,IF(O26&lt;&gt;"",O26,MAX(0,N(G26)+N(K26))*IF(N26&lt;&gt;"",N26,M26))*MAX(0,10-T26+1)),0)))),0)</f>
        <v/>
      </c>
      <c r="Z26" s="179">
        <f>IFERROR(IF(OR(R26&lt;&gt;"Yes",Q26&lt;&gt;"City"),0,IF(S26="Cash capital",IF(T26&lt;=15,IF(O26&lt;&gt;"",O26,MAX(0,N(H26)+N(K26))*IF(N26&lt;&gt;"",N26,M26)),0),IF(S26="Debt service",IF(T26&gt;15,0,W26*MAX(0,MIN(15-T26+1,U26))),IF(OR(S26="Annual O&amp;M",S26="Maintenance-only"),IF(T26&gt;15,0,IF(O26&lt;&gt;"",O26,MAX(0,N(H26)+N(K26))*IF(N26&lt;&gt;"",N26,M26))*MAX(0,15-T26+1)),0)))),0)</f>
        <v/>
      </c>
      <c r="AA26" s="179">
        <f>IFERROR(IF(OR(R26&lt;&gt;"Yes",Q26&lt;&gt;"City"),0,IF(S26="Cash capital",IF(T26&lt;=20,IF(O26&lt;&gt;"",O26,MAX(0,N(I26)+N(K26))*IF(N26&lt;&gt;"",N26,M26)),0),IF(S26="Debt service",IF(T26&gt;20,0,W26*MAX(0,MIN(20-T26+1,U26))),IF(OR(S26="Annual O&amp;M",S26="Maintenance-only"),IF(T26&gt;20,0,IF(O26&lt;&gt;"",O26,MAX(0,N(I26)+N(K26))*IF(N26&lt;&gt;"",N26,M26))*MAX(0,20-T26+1)),0)))),0)</f>
        <v/>
      </c>
      <c r="AB26" s="179">
        <f>IFERROR(IF(OR(R26&lt;&gt;"Yes",Q26&lt;&gt;"City"),0,IF(S26="Cash capital",IF(T26&lt;=30,IF(O26&lt;&gt;"",O26,MAX(0,N(J26)+N(K26))*IF(N26&lt;&gt;"",N26,M26)),0),IF(S26="Debt service",IF(T26&gt;30,0,W26*MAX(0,MIN(30-T26+1,U26))),IF(OR(S26="Annual O&amp;M",S26="Maintenance-only"),IF(T26&gt;30,0,IF(O26&lt;&gt;"",O26,MAX(0,N(J26)+N(K26))*IF(N26&lt;&gt;"",N26,M26))*MAX(0,30-T26+1)),0)))),0)</f>
        <v/>
      </c>
      <c r="AC26" s="179">
        <f>IFERROR(IF(OR(R26&lt;&gt;"Yes",Q26&lt;&gt;"ESD"),0,IF(S26="Cash capital",IF(T26&lt;=5,IF(O26&lt;&gt;"",O26,MAX(0,N(F26)+N(K26))*IF(N26&lt;&gt;"",N26,M26)),0),IF(S26="Debt service",IF(T26&gt;5,0,W26*MAX(0,MIN(5-T26+1,U26))),IF(OR(S26="Annual O&amp;M",S26="Maintenance-only"),IF(T26&gt;5,0,IF(O26&lt;&gt;"",O26,MAX(0,N(F26)+N(K26))*IF(N26&lt;&gt;"",N26,M26))*MAX(0,5-T26+1)),0)))),0)</f>
        <v/>
      </c>
      <c r="AD26" s="179">
        <f>IFERROR(IF(OR(R26&lt;&gt;"Yes",Q26&lt;&gt;"ESD"),0,IF(S26="Cash capital",IF(T26&lt;=10,IF(O26&lt;&gt;"",O26,MAX(0,N(G26)+N(K26))*IF(N26&lt;&gt;"",N26,M26)),0),IF(S26="Debt service",IF(T26&gt;10,0,W26*MAX(0,MIN(10-T26+1,U26))),IF(OR(S26="Annual O&amp;M",S26="Maintenance-only"),IF(T26&gt;10,0,IF(O26&lt;&gt;"",O26,MAX(0,N(G26)+N(K26))*IF(N26&lt;&gt;"",N26,M26))*MAX(0,10-T26+1)),0)))),0)</f>
        <v/>
      </c>
      <c r="AE26" s="179">
        <f>IFERROR(IF(OR(R26&lt;&gt;"Yes",Q26&lt;&gt;"ESD"),0,IF(S26="Cash capital",IF(T26&lt;=15,IF(O26&lt;&gt;"",O26,MAX(0,N(H26)+N(K26))*IF(N26&lt;&gt;"",N26,M26)),0),IF(S26="Debt service",IF(T26&gt;15,0,W26*MAX(0,MIN(15-T26+1,U26))),IF(OR(S26="Annual O&amp;M",S26="Maintenance-only"),IF(T26&gt;15,0,IF(O26&lt;&gt;"",O26,MAX(0,N(H26)+N(K26))*IF(N26&lt;&gt;"",N26,M26))*MAX(0,15-T26+1)),0)))),0)</f>
        <v/>
      </c>
      <c r="AF26" s="179">
        <f>IFERROR(IF(OR(R26&lt;&gt;"Yes",Q26&lt;&gt;"ESD"),0,IF(S26="Cash capital",IF(T26&lt;=20,IF(O26&lt;&gt;"",O26,MAX(0,N(I26)+N(K26))*IF(N26&lt;&gt;"",N26,M26)),0),IF(S26="Debt service",IF(T26&gt;20,0,W26*MAX(0,MIN(20-T26+1,U26))),IF(OR(S26="Annual O&amp;M",S26="Maintenance-only"),IF(T26&gt;20,0,IF(O26&lt;&gt;"",O26,MAX(0,N(I26)+N(K26))*IF(N26&lt;&gt;"",N26,M26))*MAX(0,20-T26+1)),0)))),0)</f>
        <v/>
      </c>
      <c r="AG26" s="179">
        <f>IFERROR(IF(OR(R26&lt;&gt;"Yes",Q26&lt;&gt;"ESD"),0,IF(S26="Cash capital",IF(T26&lt;=30,IF(O26&lt;&gt;"",O26,MAX(0,N(J26)+N(K26))*IF(N26&lt;&gt;"",N26,M26)),0),IF(S26="Debt service",IF(T26&gt;30,0,W26*MAX(0,MIN(30-T26+1,U26))),IF(OR(S26="Annual O&amp;M",S26="Maintenance-only"),IF(T26&gt;30,0,IF(O26&lt;&gt;"",O26,MAX(0,N(J26)+N(K26))*IF(N26&lt;&gt;"",N26,M26))*MAX(0,30-T26+1)),0)))),0)</f>
        <v/>
      </c>
      <c r="AH26" s="188" t="inlineStr">
        <is>
          <t>Planning equipment allowance; validate with ESD equipment standards.</t>
        </is>
      </c>
    </row>
    <row r="27" ht="28.5" customHeight="1" s="106">
      <c r="A27" s="105" t="inlineStr">
        <is>
          <t>Firefighter / EMT FTEs</t>
        </is>
      </c>
      <c r="B27" s="105" t="inlineStr">
        <is>
          <t>ESD</t>
        </is>
      </c>
      <c r="C27" s="105" t="inlineStr">
        <is>
          <t>captured residents</t>
        </is>
      </c>
      <c r="D27" s="105" t="inlineStr">
        <is>
          <t>FTE</t>
        </is>
      </c>
      <c r="E27" s="105" t="inlineStr">
        <is>
          <t>1.0 FTE/1,000 residents</t>
        </is>
      </c>
      <c r="F27" s="172">
        <f>('03_Multi_Horizon_Results'!$B$7/1000*'12_Takeoff_Assumptions'!$B$22)</f>
        <v/>
      </c>
      <c r="G27" s="172">
        <f>('03_Multi_Horizon_Results'!$C$7/1000*'12_Takeoff_Assumptions'!$B$22)</f>
        <v/>
      </c>
      <c r="H27" s="172">
        <f>('03_Multi_Horizon_Results'!$D$7/1000*'12_Takeoff_Assumptions'!$B$22)</f>
        <v/>
      </c>
      <c r="I27" s="172">
        <f>('03_Multi_Horizon_Results'!$E$7/1000*'12_Takeoff_Assumptions'!$B$22)</f>
        <v/>
      </c>
      <c r="J27" s="172">
        <f>('03_Multi_Horizon_Results'!$F$7/1000*'12_Takeoff_Assumptions'!$B$22)</f>
        <v/>
      </c>
      <c r="K27" s="173" t="n"/>
      <c r="L27" s="172">
        <f>MAX(0,N(G27)+N(K27))</f>
        <v/>
      </c>
      <c r="M27" s="174" t="n">
        <v>110000</v>
      </c>
      <c r="N27" s="175" t="n"/>
      <c r="O27" s="175" t="n"/>
      <c r="P27" s="174">
        <f>IFERROR(IF(O27&lt;&gt;"",O27,L27*IF(N27&lt;&gt;"",N27,M27)),0)</f>
        <v/>
      </c>
      <c r="Q27" s="176" t="inlineStr">
        <is>
          <t>ESD</t>
        </is>
      </c>
      <c r="R27" s="177" t="inlineStr">
        <is>
          <t>No</t>
        </is>
      </c>
      <c r="S27" s="177" t="inlineStr">
        <is>
          <t>Debt service</t>
        </is>
      </c>
      <c r="T27" s="177" t="n">
        <v>1</v>
      </c>
      <c r="U27" s="177" t="n">
        <v>20</v>
      </c>
      <c r="V27" s="178" t="n">
        <v>0.045</v>
      </c>
      <c r="W27" s="159">
        <f>IFERROR(IF(AND(R27="Yes",S27="Debt service",U27&gt;0),IF(V27=0,P27/U27,P27*V27/(1-(1+V27)^(-U27))),0),0)</f>
        <v/>
      </c>
      <c r="X27" s="179">
        <f>IFERROR(IF(OR(R27&lt;&gt;"Yes",Q27&lt;&gt;"City"),0,IF(S27="Cash capital",IF(T27&lt;=5,IF(O27&lt;&gt;"",O27,MAX(0,N(F27)+N(K27))*IF(N27&lt;&gt;"",N27,M27)),0),IF(S27="Debt service",IF(T27&gt;5,0,W27*MAX(0,MIN(5-T27+1,U27))),IF(OR(S27="Annual O&amp;M",S27="Maintenance-only"),IF(T27&gt;5,0,IF(O27&lt;&gt;"",O27,MAX(0,N(F27)+N(K27))*IF(N27&lt;&gt;"",N27,M27))*MAX(0,5-T27+1)),0)))),0)</f>
        <v/>
      </c>
      <c r="Y27" s="179">
        <f>IFERROR(IF(OR(R27&lt;&gt;"Yes",Q27&lt;&gt;"City"),0,IF(S27="Cash capital",IF(T27&lt;=10,IF(O27&lt;&gt;"",O27,MAX(0,N(G27)+N(K27))*IF(N27&lt;&gt;"",N27,M27)),0),IF(S27="Debt service",IF(T27&gt;10,0,W27*MAX(0,MIN(10-T27+1,U27))),IF(OR(S27="Annual O&amp;M",S27="Maintenance-only"),IF(T27&gt;10,0,IF(O27&lt;&gt;"",O27,MAX(0,N(G27)+N(K27))*IF(N27&lt;&gt;"",N27,M27))*MAX(0,10-T27+1)),0)))),0)</f>
        <v/>
      </c>
      <c r="Z27" s="179">
        <f>IFERROR(IF(OR(R27&lt;&gt;"Yes",Q27&lt;&gt;"City"),0,IF(S27="Cash capital",IF(T27&lt;=15,IF(O27&lt;&gt;"",O27,MAX(0,N(H27)+N(K27))*IF(N27&lt;&gt;"",N27,M27)),0),IF(S27="Debt service",IF(T27&gt;15,0,W27*MAX(0,MIN(15-T27+1,U27))),IF(OR(S27="Annual O&amp;M",S27="Maintenance-only"),IF(T27&gt;15,0,IF(O27&lt;&gt;"",O27,MAX(0,N(H27)+N(K27))*IF(N27&lt;&gt;"",N27,M27))*MAX(0,15-T27+1)),0)))),0)</f>
        <v/>
      </c>
      <c r="AA27" s="179">
        <f>IFERROR(IF(OR(R27&lt;&gt;"Yes",Q27&lt;&gt;"City"),0,IF(S27="Cash capital",IF(T27&lt;=20,IF(O27&lt;&gt;"",O27,MAX(0,N(I27)+N(K27))*IF(N27&lt;&gt;"",N27,M27)),0),IF(S27="Debt service",IF(T27&gt;20,0,W27*MAX(0,MIN(20-T27+1,U27))),IF(OR(S27="Annual O&amp;M",S27="Maintenance-only"),IF(T27&gt;20,0,IF(O27&lt;&gt;"",O27,MAX(0,N(I27)+N(K27))*IF(N27&lt;&gt;"",N27,M27))*MAX(0,20-T27+1)),0)))),0)</f>
        <v/>
      </c>
      <c r="AB27" s="179">
        <f>IFERROR(IF(OR(R27&lt;&gt;"Yes",Q27&lt;&gt;"City"),0,IF(S27="Cash capital",IF(T27&lt;=30,IF(O27&lt;&gt;"",O27,MAX(0,N(J27)+N(K27))*IF(N27&lt;&gt;"",N27,M27)),0),IF(S27="Debt service",IF(T27&gt;30,0,W27*MAX(0,MIN(30-T27+1,U27))),IF(OR(S27="Annual O&amp;M",S27="Maintenance-only"),IF(T27&gt;30,0,IF(O27&lt;&gt;"",O27,MAX(0,N(J27)+N(K27))*IF(N27&lt;&gt;"",N27,M27))*MAX(0,30-T27+1)),0)))),0)</f>
        <v/>
      </c>
      <c r="AC27" s="179">
        <f>IFERROR(IF(OR(R27&lt;&gt;"Yes",Q27&lt;&gt;"ESD"),0,IF(S27="Cash capital",IF(T27&lt;=5,IF(O27&lt;&gt;"",O27,MAX(0,N(F27)+N(K27))*IF(N27&lt;&gt;"",N27,M27)),0),IF(S27="Debt service",IF(T27&gt;5,0,W27*MAX(0,MIN(5-T27+1,U27))),IF(OR(S27="Annual O&amp;M",S27="Maintenance-only"),IF(T27&gt;5,0,IF(O27&lt;&gt;"",O27,MAX(0,N(F27)+N(K27))*IF(N27&lt;&gt;"",N27,M27))*MAX(0,5-T27+1)),0)))),0)</f>
        <v/>
      </c>
      <c r="AD27" s="179">
        <f>IFERROR(IF(OR(R27&lt;&gt;"Yes",Q27&lt;&gt;"ESD"),0,IF(S27="Cash capital",IF(T27&lt;=10,IF(O27&lt;&gt;"",O27,MAX(0,N(G27)+N(K27))*IF(N27&lt;&gt;"",N27,M27)),0),IF(S27="Debt service",IF(T27&gt;10,0,W27*MAX(0,MIN(10-T27+1,U27))),IF(OR(S27="Annual O&amp;M",S27="Maintenance-only"),IF(T27&gt;10,0,IF(O27&lt;&gt;"",O27,MAX(0,N(G27)+N(K27))*IF(N27&lt;&gt;"",N27,M27))*MAX(0,10-T27+1)),0)))),0)</f>
        <v/>
      </c>
      <c r="AE27" s="179">
        <f>IFERROR(IF(OR(R27&lt;&gt;"Yes",Q27&lt;&gt;"ESD"),0,IF(S27="Cash capital",IF(T27&lt;=15,IF(O27&lt;&gt;"",O27,MAX(0,N(H27)+N(K27))*IF(N27&lt;&gt;"",N27,M27)),0),IF(S27="Debt service",IF(T27&gt;15,0,W27*MAX(0,MIN(15-T27+1,U27))),IF(OR(S27="Annual O&amp;M",S27="Maintenance-only"),IF(T27&gt;15,0,IF(O27&lt;&gt;"",O27,MAX(0,N(H27)+N(K27))*IF(N27&lt;&gt;"",N27,M27))*MAX(0,15-T27+1)),0)))),0)</f>
        <v/>
      </c>
      <c r="AF27" s="179">
        <f>IFERROR(IF(OR(R27&lt;&gt;"Yes",Q27&lt;&gt;"ESD"),0,IF(S27="Cash capital",IF(T27&lt;=20,IF(O27&lt;&gt;"",O27,MAX(0,N(I27)+N(K27))*IF(N27&lt;&gt;"",N27,M27)),0),IF(S27="Debt service",IF(T27&gt;20,0,W27*MAX(0,MIN(20-T27+1,U27))),IF(OR(S27="Annual O&amp;M",S27="Maintenance-only"),IF(T27&gt;20,0,IF(O27&lt;&gt;"",O27,MAX(0,N(I27)+N(K27))*IF(N27&lt;&gt;"",N27,M27))*MAX(0,20-T27+1)),0)))),0)</f>
        <v/>
      </c>
      <c r="AG27" s="179">
        <f>IFERROR(IF(OR(R27&lt;&gt;"Yes",Q27&lt;&gt;"ESD"),0,IF(S27="Cash capital",IF(T27&lt;=30,IF(O27&lt;&gt;"",O27,MAX(0,N(J27)+N(K27))*IF(N27&lt;&gt;"",N27,M27)),0),IF(S27="Debt service",IF(T27&gt;30,0,W27*MAX(0,MIN(30-T27+1,U27))),IF(OR(S27="Annual O&amp;M",S27="Maintenance-only"),IF(T27&gt;30,0,IF(O27&lt;&gt;"",O27,MAX(0,N(J27)+N(K27))*IF(N27&lt;&gt;"",N27,M27))*MAX(0,30-T27+1)),0)))),0)</f>
        <v/>
      </c>
      <c r="AH27" s="188" t="inlineStr">
        <is>
          <t>Fire/rescue and EMS-assist staffing benchmark; not ambulance transport staffing.</t>
        </is>
      </c>
    </row>
    <row r="28" ht="28.5" customHeight="1" s="106">
      <c r="A28" s="105" t="inlineStr">
        <is>
          <t>Fire officer FTEs</t>
        </is>
      </c>
      <c r="B28" s="105" t="inlineStr">
        <is>
          <t>ESD</t>
        </is>
      </c>
      <c r="C28" s="105" t="inlineStr">
        <is>
          <t>firefighter FTE</t>
        </is>
      </c>
      <c r="D28" s="105" t="inlineStr">
        <is>
          <t>FTE</t>
        </is>
      </c>
      <c r="E28" s="105" t="inlineStr">
        <is>
          <t>1 officer / 5 firefighter FTE</t>
        </is>
      </c>
      <c r="F28" s="172">
        <f>('03_Multi_Horizon_Results'!$B$7/1000*'12_Takeoff_Assumptions'!$B$22)/'12_Takeoff_Assumptions'!$B$23</f>
        <v/>
      </c>
      <c r="G28" s="172">
        <f>('03_Multi_Horizon_Results'!$C$7/1000*'12_Takeoff_Assumptions'!$B$22)/'12_Takeoff_Assumptions'!$B$23</f>
        <v/>
      </c>
      <c r="H28" s="172">
        <f>('03_Multi_Horizon_Results'!$D$7/1000*'12_Takeoff_Assumptions'!$B$22)/'12_Takeoff_Assumptions'!$B$23</f>
        <v/>
      </c>
      <c r="I28" s="172">
        <f>('03_Multi_Horizon_Results'!$E$7/1000*'12_Takeoff_Assumptions'!$B$22)/'12_Takeoff_Assumptions'!$B$23</f>
        <v/>
      </c>
      <c r="J28" s="172">
        <f>('03_Multi_Horizon_Results'!$F$7/1000*'12_Takeoff_Assumptions'!$B$22)/'12_Takeoff_Assumptions'!$B$23</f>
        <v/>
      </c>
      <c r="K28" s="173" t="n"/>
      <c r="L28" s="172">
        <f>MAX(0,N(G28)+N(K28))</f>
        <v/>
      </c>
      <c r="M28" s="174" t="n">
        <v>135000</v>
      </c>
      <c r="N28" s="175" t="n"/>
      <c r="O28" s="175" t="n"/>
      <c r="P28" s="174">
        <f>IFERROR(IF(O28&lt;&gt;"",O28,L28*IF(N28&lt;&gt;"",N28,M28)),0)</f>
        <v/>
      </c>
      <c r="Q28" s="176" t="inlineStr">
        <is>
          <t>ESD</t>
        </is>
      </c>
      <c r="R28" s="177" t="inlineStr">
        <is>
          <t>No</t>
        </is>
      </c>
      <c r="S28" s="177" t="inlineStr">
        <is>
          <t>Debt service</t>
        </is>
      </c>
      <c r="T28" s="177" t="n">
        <v>1</v>
      </c>
      <c r="U28" s="177" t="n">
        <v>20</v>
      </c>
      <c r="V28" s="178" t="n">
        <v>0.045</v>
      </c>
      <c r="W28" s="159">
        <f>IFERROR(IF(AND(R28="Yes",S28="Debt service",U28&gt;0),IF(V28=0,P28/U28,P28*V28/(1-(1+V28)^(-U28))),0),0)</f>
        <v/>
      </c>
      <c r="X28" s="179">
        <f>IFERROR(IF(OR(R28&lt;&gt;"Yes",Q28&lt;&gt;"City"),0,IF(S28="Cash capital",IF(T28&lt;=5,IF(O28&lt;&gt;"",O28,MAX(0,N(F28)+N(K28))*IF(N28&lt;&gt;"",N28,M28)),0),IF(S28="Debt service",IF(T28&gt;5,0,W28*MAX(0,MIN(5-T28+1,U28))),IF(OR(S28="Annual O&amp;M",S28="Maintenance-only"),IF(T28&gt;5,0,IF(O28&lt;&gt;"",O28,MAX(0,N(F28)+N(K28))*IF(N28&lt;&gt;"",N28,M28))*MAX(0,5-T28+1)),0)))),0)</f>
        <v/>
      </c>
      <c r="Y28" s="179">
        <f>IFERROR(IF(OR(R28&lt;&gt;"Yes",Q28&lt;&gt;"City"),0,IF(S28="Cash capital",IF(T28&lt;=10,IF(O28&lt;&gt;"",O28,MAX(0,N(G28)+N(K28))*IF(N28&lt;&gt;"",N28,M28)),0),IF(S28="Debt service",IF(T28&gt;10,0,W28*MAX(0,MIN(10-T28+1,U28))),IF(OR(S28="Annual O&amp;M",S28="Maintenance-only"),IF(T28&gt;10,0,IF(O28&lt;&gt;"",O28,MAX(0,N(G28)+N(K28))*IF(N28&lt;&gt;"",N28,M28))*MAX(0,10-T28+1)),0)))),0)</f>
        <v/>
      </c>
      <c r="Z28" s="179">
        <f>IFERROR(IF(OR(R28&lt;&gt;"Yes",Q28&lt;&gt;"City"),0,IF(S28="Cash capital",IF(T28&lt;=15,IF(O28&lt;&gt;"",O28,MAX(0,N(H28)+N(K28))*IF(N28&lt;&gt;"",N28,M28)),0),IF(S28="Debt service",IF(T28&gt;15,0,W28*MAX(0,MIN(15-T28+1,U28))),IF(OR(S28="Annual O&amp;M",S28="Maintenance-only"),IF(T28&gt;15,0,IF(O28&lt;&gt;"",O28,MAX(0,N(H28)+N(K28))*IF(N28&lt;&gt;"",N28,M28))*MAX(0,15-T28+1)),0)))),0)</f>
        <v/>
      </c>
      <c r="AA28" s="179">
        <f>IFERROR(IF(OR(R28&lt;&gt;"Yes",Q28&lt;&gt;"City"),0,IF(S28="Cash capital",IF(T28&lt;=20,IF(O28&lt;&gt;"",O28,MAX(0,N(I28)+N(K28))*IF(N28&lt;&gt;"",N28,M28)),0),IF(S28="Debt service",IF(T28&gt;20,0,W28*MAX(0,MIN(20-T28+1,U28))),IF(OR(S28="Annual O&amp;M",S28="Maintenance-only"),IF(T28&gt;20,0,IF(O28&lt;&gt;"",O28,MAX(0,N(I28)+N(K28))*IF(N28&lt;&gt;"",N28,M28))*MAX(0,20-T28+1)),0)))),0)</f>
        <v/>
      </c>
      <c r="AB28" s="179">
        <f>IFERROR(IF(OR(R28&lt;&gt;"Yes",Q28&lt;&gt;"City"),0,IF(S28="Cash capital",IF(T28&lt;=30,IF(O28&lt;&gt;"",O28,MAX(0,N(J28)+N(K28))*IF(N28&lt;&gt;"",N28,M28)),0),IF(S28="Debt service",IF(T28&gt;30,0,W28*MAX(0,MIN(30-T28+1,U28))),IF(OR(S28="Annual O&amp;M",S28="Maintenance-only"),IF(T28&gt;30,0,IF(O28&lt;&gt;"",O28,MAX(0,N(J28)+N(K28))*IF(N28&lt;&gt;"",N28,M28))*MAX(0,30-T28+1)),0)))),0)</f>
        <v/>
      </c>
      <c r="AC28" s="179">
        <f>IFERROR(IF(OR(R28&lt;&gt;"Yes",Q28&lt;&gt;"ESD"),0,IF(S28="Cash capital",IF(T28&lt;=5,IF(O28&lt;&gt;"",O28,MAX(0,N(F28)+N(K28))*IF(N28&lt;&gt;"",N28,M28)),0),IF(S28="Debt service",IF(T28&gt;5,0,W28*MAX(0,MIN(5-T28+1,U28))),IF(OR(S28="Annual O&amp;M",S28="Maintenance-only"),IF(T28&gt;5,0,IF(O28&lt;&gt;"",O28,MAX(0,N(F28)+N(K28))*IF(N28&lt;&gt;"",N28,M28))*MAX(0,5-T28+1)),0)))),0)</f>
        <v/>
      </c>
      <c r="AD28" s="179">
        <f>IFERROR(IF(OR(R28&lt;&gt;"Yes",Q28&lt;&gt;"ESD"),0,IF(S28="Cash capital",IF(T28&lt;=10,IF(O28&lt;&gt;"",O28,MAX(0,N(G28)+N(K28))*IF(N28&lt;&gt;"",N28,M28)),0),IF(S28="Debt service",IF(T28&gt;10,0,W28*MAX(0,MIN(10-T28+1,U28))),IF(OR(S28="Annual O&amp;M",S28="Maintenance-only"),IF(T28&gt;10,0,IF(O28&lt;&gt;"",O28,MAX(0,N(G28)+N(K28))*IF(N28&lt;&gt;"",N28,M28))*MAX(0,10-T28+1)),0)))),0)</f>
        <v/>
      </c>
      <c r="AE28" s="179">
        <f>IFERROR(IF(OR(R28&lt;&gt;"Yes",Q28&lt;&gt;"ESD"),0,IF(S28="Cash capital",IF(T28&lt;=15,IF(O28&lt;&gt;"",O28,MAX(0,N(H28)+N(K28))*IF(N28&lt;&gt;"",N28,M28)),0),IF(S28="Debt service",IF(T28&gt;15,0,W28*MAX(0,MIN(15-T28+1,U28))),IF(OR(S28="Annual O&amp;M",S28="Maintenance-only"),IF(T28&gt;15,0,IF(O28&lt;&gt;"",O28,MAX(0,N(H28)+N(K28))*IF(N28&lt;&gt;"",N28,M28))*MAX(0,15-T28+1)),0)))),0)</f>
        <v/>
      </c>
      <c r="AF28" s="179">
        <f>IFERROR(IF(OR(R28&lt;&gt;"Yes",Q28&lt;&gt;"ESD"),0,IF(S28="Cash capital",IF(T28&lt;=20,IF(O28&lt;&gt;"",O28,MAX(0,N(I28)+N(K28))*IF(N28&lt;&gt;"",N28,M28)),0),IF(S28="Debt service",IF(T28&gt;20,0,W28*MAX(0,MIN(20-T28+1,U28))),IF(OR(S28="Annual O&amp;M",S28="Maintenance-only"),IF(T28&gt;20,0,IF(O28&lt;&gt;"",O28,MAX(0,N(I28)+N(K28))*IF(N28&lt;&gt;"",N28,M28))*MAX(0,20-T28+1)),0)))),0)</f>
        <v/>
      </c>
      <c r="AG28" s="179">
        <f>IFERROR(IF(OR(R28&lt;&gt;"Yes",Q28&lt;&gt;"ESD"),0,IF(S28="Cash capital",IF(T28&lt;=30,IF(O28&lt;&gt;"",O28,MAX(0,N(J28)+N(K28))*IF(N28&lt;&gt;"",N28,M28)),0),IF(S28="Debt service",IF(T28&gt;30,0,W28*MAX(0,MIN(30-T28+1,U28))),IF(OR(S28="Annual O&amp;M",S28="Maintenance-only"),IF(T28&gt;30,0,IF(O28&lt;&gt;"",O28,MAX(0,N(J28)+N(K28))*IF(N28&lt;&gt;"",N28,M28))*MAX(0,30-T28+1)),0)))),0)</f>
        <v/>
      </c>
      <c r="AH28" s="188" t="inlineStr">
        <is>
          <t>Planning benchmark; validate with ESD staffing model.</t>
        </is>
      </c>
    </row>
    <row r="29" ht="14.25" customHeight="1" s="106">
      <c r="A29" s="168" t="inlineStr">
        <is>
          <t>Custom infrastructure item 1 (e.g., electrical substation)</t>
        </is>
      </c>
      <c r="B29" s="168" t="inlineStr">
        <is>
          <t>City</t>
        </is>
      </c>
      <c r="C29" s="168" t="inlineStr">
        <is>
          <t>manual/custom</t>
        </is>
      </c>
      <c r="D29" s="168" t="inlineStr">
        <is>
          <t>each</t>
        </is>
      </c>
      <c r="E29" s="168" t="inlineStr">
        <is>
          <t>manual</t>
        </is>
      </c>
      <c r="F29" s="180">
        <f>0</f>
        <v/>
      </c>
      <c r="G29" s="180">
        <f>0</f>
        <v/>
      </c>
      <c r="H29" s="180">
        <f>0</f>
        <v/>
      </c>
      <c r="I29" s="180">
        <f>0</f>
        <v/>
      </c>
      <c r="J29" s="180">
        <f>0</f>
        <v/>
      </c>
      <c r="K29" s="181" t="n"/>
      <c r="L29" s="180">
        <f>MAX(0,N(G29)+N(K29))</f>
        <v/>
      </c>
      <c r="M29" s="159" t="n">
        <v>0</v>
      </c>
      <c r="N29" s="182" t="n"/>
      <c r="O29" s="182" t="n"/>
      <c r="P29" s="159">
        <f>IFERROR(IF(O29&lt;&gt;"",O29,L29*IF(N29&lt;&gt;"",N29,M29)),0)</f>
        <v/>
      </c>
      <c r="Q29" s="177" t="inlineStr">
        <is>
          <t>Unknown</t>
        </is>
      </c>
      <c r="R29" s="177" t="inlineStr">
        <is>
          <t>No</t>
        </is>
      </c>
      <c r="S29" s="177" t="inlineStr">
        <is>
          <t>Debt service</t>
        </is>
      </c>
      <c r="T29" s="177" t="n">
        <v>1</v>
      </c>
      <c r="U29" s="177" t="n">
        <v>20</v>
      </c>
      <c r="V29" s="178" t="n">
        <v>0.045</v>
      </c>
      <c r="W29" s="159">
        <f>IFERROR(IF(AND(R29="Yes",S29="Debt service",U29&gt;0),IF(V29=0,P29/U29,P29*V29/(1-(1+V29)^(-U29))),0),0)</f>
        <v/>
      </c>
      <c r="X29" s="179">
        <f>IFERROR(IF(OR(R29&lt;&gt;"Yes",Q29&lt;&gt;"City"),0,IF(S29="Cash capital",IF(T29&lt;=5,IF(O29&lt;&gt;"",O29,MAX(0,N(F29)+N(K29))*IF(N29&lt;&gt;"",N29,M29)),0),IF(S29="Debt service",IF(T29&gt;5,0,W29*MAX(0,MIN(5-T29+1,U29))),IF(OR(S29="Annual O&amp;M",S29="Maintenance-only"),IF(T29&gt;5,0,IF(O29&lt;&gt;"",O29,MAX(0,N(F29)+N(K29))*IF(N29&lt;&gt;"",N29,M29))*MAX(0,5-T29+1)),0)))),0)</f>
        <v/>
      </c>
      <c r="Y29" s="179">
        <f>IFERROR(IF(OR(R29&lt;&gt;"Yes",Q29&lt;&gt;"City"),0,IF(S29="Cash capital",IF(T29&lt;=10,IF(O29&lt;&gt;"",O29,MAX(0,N(G29)+N(K29))*IF(N29&lt;&gt;"",N29,M29)),0),IF(S29="Debt service",IF(T29&gt;10,0,W29*MAX(0,MIN(10-T29+1,U29))),IF(OR(S29="Annual O&amp;M",S29="Maintenance-only"),IF(T29&gt;10,0,IF(O29&lt;&gt;"",O29,MAX(0,N(G29)+N(K29))*IF(N29&lt;&gt;"",N29,M29))*MAX(0,10-T29+1)),0)))),0)</f>
        <v/>
      </c>
      <c r="Z29" s="179">
        <f>IFERROR(IF(OR(R29&lt;&gt;"Yes",Q29&lt;&gt;"City"),0,IF(S29="Cash capital",IF(T29&lt;=15,IF(O29&lt;&gt;"",O29,MAX(0,N(H29)+N(K29))*IF(N29&lt;&gt;"",N29,M29)),0),IF(S29="Debt service",IF(T29&gt;15,0,W29*MAX(0,MIN(15-T29+1,U29))),IF(OR(S29="Annual O&amp;M",S29="Maintenance-only"),IF(T29&gt;15,0,IF(O29&lt;&gt;"",O29,MAX(0,N(H29)+N(K29))*IF(N29&lt;&gt;"",N29,M29))*MAX(0,15-T29+1)),0)))),0)</f>
        <v/>
      </c>
      <c r="AA29" s="179">
        <f>IFERROR(IF(OR(R29&lt;&gt;"Yes",Q29&lt;&gt;"City"),0,IF(S29="Cash capital",IF(T29&lt;=20,IF(O29&lt;&gt;"",O29,MAX(0,N(I29)+N(K29))*IF(N29&lt;&gt;"",N29,M29)),0),IF(S29="Debt service",IF(T29&gt;20,0,W29*MAX(0,MIN(20-T29+1,U29))),IF(OR(S29="Annual O&amp;M",S29="Maintenance-only"),IF(T29&gt;20,0,IF(O29&lt;&gt;"",O29,MAX(0,N(I29)+N(K29))*IF(N29&lt;&gt;"",N29,M29))*MAX(0,20-T29+1)),0)))),0)</f>
        <v/>
      </c>
      <c r="AB29" s="179">
        <f>IFERROR(IF(OR(R29&lt;&gt;"Yes",Q29&lt;&gt;"City"),0,IF(S29="Cash capital",IF(T29&lt;=30,IF(O29&lt;&gt;"",O29,MAX(0,N(J29)+N(K29))*IF(N29&lt;&gt;"",N29,M29)),0),IF(S29="Debt service",IF(T29&gt;30,0,W29*MAX(0,MIN(30-T29+1,U29))),IF(OR(S29="Annual O&amp;M",S29="Maintenance-only"),IF(T29&gt;30,0,IF(O29&lt;&gt;"",O29,MAX(0,N(J29)+N(K29))*IF(N29&lt;&gt;"",N29,M29))*MAX(0,30-T29+1)),0)))),0)</f>
        <v/>
      </c>
      <c r="AC29" s="179">
        <f>IFERROR(IF(OR(R29&lt;&gt;"Yes",Q29&lt;&gt;"ESD"),0,IF(S29="Cash capital",IF(T29&lt;=5,IF(O29&lt;&gt;"",O29,MAX(0,N(F29)+N(K29))*IF(N29&lt;&gt;"",N29,M29)),0),IF(S29="Debt service",IF(T29&gt;5,0,W29*MAX(0,MIN(5-T29+1,U29))),IF(OR(S29="Annual O&amp;M",S29="Maintenance-only"),IF(T29&gt;5,0,IF(O29&lt;&gt;"",O29,MAX(0,N(F29)+N(K29))*IF(N29&lt;&gt;"",N29,M29))*MAX(0,5-T29+1)),0)))),0)</f>
        <v/>
      </c>
      <c r="AD29" s="179">
        <f>IFERROR(IF(OR(R29&lt;&gt;"Yes",Q29&lt;&gt;"ESD"),0,IF(S29="Cash capital",IF(T29&lt;=10,IF(O29&lt;&gt;"",O29,MAX(0,N(G29)+N(K29))*IF(N29&lt;&gt;"",N29,M29)),0),IF(S29="Debt service",IF(T29&gt;10,0,W29*MAX(0,MIN(10-T29+1,U29))),IF(OR(S29="Annual O&amp;M",S29="Maintenance-only"),IF(T29&gt;10,0,IF(O29&lt;&gt;"",O29,MAX(0,N(G29)+N(K29))*IF(N29&lt;&gt;"",N29,M29))*MAX(0,10-T29+1)),0)))),0)</f>
        <v/>
      </c>
      <c r="AE29" s="179">
        <f>IFERROR(IF(OR(R29&lt;&gt;"Yes",Q29&lt;&gt;"ESD"),0,IF(S29="Cash capital",IF(T29&lt;=15,IF(O29&lt;&gt;"",O29,MAX(0,N(H29)+N(K29))*IF(N29&lt;&gt;"",N29,M29)),0),IF(S29="Debt service",IF(T29&gt;15,0,W29*MAX(0,MIN(15-T29+1,U29))),IF(OR(S29="Annual O&amp;M",S29="Maintenance-only"),IF(T29&gt;15,0,IF(O29&lt;&gt;"",O29,MAX(0,N(H29)+N(K29))*IF(N29&lt;&gt;"",N29,M29))*MAX(0,15-T29+1)),0)))),0)</f>
        <v/>
      </c>
      <c r="AF29" s="179">
        <f>IFERROR(IF(OR(R29&lt;&gt;"Yes",Q29&lt;&gt;"ESD"),0,IF(S29="Cash capital",IF(T29&lt;=20,IF(O29&lt;&gt;"",O29,MAX(0,N(I29)+N(K29))*IF(N29&lt;&gt;"",N29,M29)),0),IF(S29="Debt service",IF(T29&gt;20,0,W29*MAX(0,MIN(20-T29+1,U29))),IF(OR(S29="Annual O&amp;M",S29="Maintenance-only"),IF(T29&gt;20,0,IF(O29&lt;&gt;"",O29,MAX(0,N(I29)+N(K29))*IF(N29&lt;&gt;"",N29,M29))*MAX(0,20-T29+1)),0)))),0)</f>
        <v/>
      </c>
      <c r="AG29" s="179">
        <f>IFERROR(IF(OR(R29&lt;&gt;"Yes",Q29&lt;&gt;"ESD"),0,IF(S29="Cash capital",IF(T29&lt;=30,IF(O29&lt;&gt;"",O29,MAX(0,N(J29)+N(K29))*IF(N29&lt;&gt;"",N29,M29)),0),IF(S29="Debt service",IF(T29&gt;30,0,W29*MAX(0,MIN(30-T29+1,U29))),IF(OR(S29="Annual O&amp;M",S29="Maintenance-only"),IF(T29&gt;30,0,IF(O29&lt;&gt;"",O29,MAX(0,N(J29)+N(K29))*IF(N29&lt;&gt;"",N29,M29))*MAX(0,30-T29+1)),0)))),0)</f>
        <v/>
      </c>
      <c r="AH29" s="188" t="inlineStr">
        <is>
          <t>Custom row. Enter manual quantity/cost, funding responsibility, timing, and include-in-net choice.</t>
        </is>
      </c>
    </row>
    <row r="30" ht="14.25" customHeight="1" s="106">
      <c r="A30" s="168" t="inlineStr">
        <is>
          <t>Custom infrastructure item 2 (e.g., regional detention / off-site main)</t>
        </is>
      </c>
      <c r="B30" s="168" t="inlineStr">
        <is>
          <t>City</t>
        </is>
      </c>
      <c r="C30" s="168" t="inlineStr">
        <is>
          <t>manual/custom</t>
        </is>
      </c>
      <c r="D30" s="168" t="inlineStr">
        <is>
          <t>each</t>
        </is>
      </c>
      <c r="E30" s="168" t="inlineStr">
        <is>
          <t>manual</t>
        </is>
      </c>
      <c r="F30" s="180">
        <f>0</f>
        <v/>
      </c>
      <c r="G30" s="180">
        <f>0</f>
        <v/>
      </c>
      <c r="H30" s="180">
        <f>0</f>
        <v/>
      </c>
      <c r="I30" s="180">
        <f>0</f>
        <v/>
      </c>
      <c r="J30" s="180">
        <f>0</f>
        <v/>
      </c>
      <c r="K30" s="181" t="n"/>
      <c r="L30" s="180">
        <f>MAX(0,N(G30)+N(K30))</f>
        <v/>
      </c>
      <c r="M30" s="159" t="n">
        <v>0</v>
      </c>
      <c r="N30" s="182" t="n"/>
      <c r="O30" s="182" t="n"/>
      <c r="P30" s="159">
        <f>IFERROR(IF(O30&lt;&gt;"",O30,L30*IF(N30&lt;&gt;"",N30,M30)),0)</f>
        <v/>
      </c>
      <c r="Q30" s="177" t="inlineStr">
        <is>
          <t>Unknown</t>
        </is>
      </c>
      <c r="R30" s="177" t="inlineStr">
        <is>
          <t>No</t>
        </is>
      </c>
      <c r="S30" s="177" t="inlineStr">
        <is>
          <t>Debt service</t>
        </is>
      </c>
      <c r="T30" s="177" t="n">
        <v>1</v>
      </c>
      <c r="U30" s="177" t="n">
        <v>20</v>
      </c>
      <c r="V30" s="178" t="n">
        <v>0.045</v>
      </c>
      <c r="W30" s="159">
        <f>IFERROR(IF(AND(R30="Yes",S30="Debt service",U30&gt;0),IF(V30=0,P30/U30,P30*V30/(1-(1+V30)^(-U30))),0),0)</f>
        <v/>
      </c>
      <c r="X30" s="179">
        <f>IFERROR(IF(OR(R30&lt;&gt;"Yes",Q30&lt;&gt;"City"),0,IF(S30="Cash capital",IF(T30&lt;=5,IF(O30&lt;&gt;"",O30,MAX(0,N(F30)+N(K30))*IF(N30&lt;&gt;"",N30,M30)),0),IF(S30="Debt service",IF(T30&gt;5,0,W30*MAX(0,MIN(5-T30+1,U30))),IF(OR(S30="Annual O&amp;M",S30="Maintenance-only"),IF(T30&gt;5,0,IF(O30&lt;&gt;"",O30,MAX(0,N(F30)+N(K30))*IF(N30&lt;&gt;"",N30,M30))*MAX(0,5-T30+1)),0)))),0)</f>
        <v/>
      </c>
      <c r="Y30" s="179">
        <f>IFERROR(IF(OR(R30&lt;&gt;"Yes",Q30&lt;&gt;"City"),0,IF(S30="Cash capital",IF(T30&lt;=10,IF(O30&lt;&gt;"",O30,MAX(0,N(G30)+N(K30))*IF(N30&lt;&gt;"",N30,M30)),0),IF(S30="Debt service",IF(T30&gt;10,0,W30*MAX(0,MIN(10-T30+1,U30))),IF(OR(S30="Annual O&amp;M",S30="Maintenance-only"),IF(T30&gt;10,0,IF(O30&lt;&gt;"",O30,MAX(0,N(G30)+N(K30))*IF(N30&lt;&gt;"",N30,M30))*MAX(0,10-T30+1)),0)))),0)</f>
        <v/>
      </c>
      <c r="Z30" s="179">
        <f>IFERROR(IF(OR(R30&lt;&gt;"Yes",Q30&lt;&gt;"City"),0,IF(S30="Cash capital",IF(T30&lt;=15,IF(O30&lt;&gt;"",O30,MAX(0,N(H30)+N(K30))*IF(N30&lt;&gt;"",N30,M30)),0),IF(S30="Debt service",IF(T30&gt;15,0,W30*MAX(0,MIN(15-T30+1,U30))),IF(OR(S30="Annual O&amp;M",S30="Maintenance-only"),IF(T30&gt;15,0,IF(O30&lt;&gt;"",O30,MAX(0,N(H30)+N(K30))*IF(N30&lt;&gt;"",N30,M30))*MAX(0,15-T30+1)),0)))),0)</f>
        <v/>
      </c>
      <c r="AA30" s="179">
        <f>IFERROR(IF(OR(R30&lt;&gt;"Yes",Q30&lt;&gt;"City"),0,IF(S30="Cash capital",IF(T30&lt;=20,IF(O30&lt;&gt;"",O30,MAX(0,N(I30)+N(K30))*IF(N30&lt;&gt;"",N30,M30)),0),IF(S30="Debt service",IF(T30&gt;20,0,W30*MAX(0,MIN(20-T30+1,U30))),IF(OR(S30="Annual O&amp;M",S30="Maintenance-only"),IF(T30&gt;20,0,IF(O30&lt;&gt;"",O30,MAX(0,N(I30)+N(K30))*IF(N30&lt;&gt;"",N30,M30))*MAX(0,20-T30+1)),0)))),0)</f>
        <v/>
      </c>
      <c r="AB30" s="179">
        <f>IFERROR(IF(OR(R30&lt;&gt;"Yes",Q30&lt;&gt;"City"),0,IF(S30="Cash capital",IF(T30&lt;=30,IF(O30&lt;&gt;"",O30,MAX(0,N(J30)+N(K30))*IF(N30&lt;&gt;"",N30,M30)),0),IF(S30="Debt service",IF(T30&gt;30,0,W30*MAX(0,MIN(30-T30+1,U30))),IF(OR(S30="Annual O&amp;M",S30="Maintenance-only"),IF(T30&gt;30,0,IF(O30&lt;&gt;"",O30,MAX(0,N(J30)+N(K30))*IF(N30&lt;&gt;"",N30,M30))*MAX(0,30-T30+1)),0)))),0)</f>
        <v/>
      </c>
      <c r="AC30" s="179">
        <f>IFERROR(IF(OR(R30&lt;&gt;"Yes",Q30&lt;&gt;"ESD"),0,IF(S30="Cash capital",IF(T30&lt;=5,IF(O30&lt;&gt;"",O30,MAX(0,N(F30)+N(K30))*IF(N30&lt;&gt;"",N30,M30)),0),IF(S30="Debt service",IF(T30&gt;5,0,W30*MAX(0,MIN(5-T30+1,U30))),IF(OR(S30="Annual O&amp;M",S30="Maintenance-only"),IF(T30&gt;5,0,IF(O30&lt;&gt;"",O30,MAX(0,N(F30)+N(K30))*IF(N30&lt;&gt;"",N30,M30))*MAX(0,5-T30+1)),0)))),0)</f>
        <v/>
      </c>
      <c r="AD30" s="179">
        <f>IFERROR(IF(OR(R30&lt;&gt;"Yes",Q30&lt;&gt;"ESD"),0,IF(S30="Cash capital",IF(T30&lt;=10,IF(O30&lt;&gt;"",O30,MAX(0,N(G30)+N(K30))*IF(N30&lt;&gt;"",N30,M30)),0),IF(S30="Debt service",IF(T30&gt;10,0,W30*MAX(0,MIN(10-T30+1,U30))),IF(OR(S30="Annual O&amp;M",S30="Maintenance-only"),IF(T30&gt;10,0,IF(O30&lt;&gt;"",O30,MAX(0,N(G30)+N(K30))*IF(N30&lt;&gt;"",N30,M30))*MAX(0,10-T30+1)),0)))),0)</f>
        <v/>
      </c>
      <c r="AE30" s="179">
        <f>IFERROR(IF(OR(R30&lt;&gt;"Yes",Q30&lt;&gt;"ESD"),0,IF(S30="Cash capital",IF(T30&lt;=15,IF(O30&lt;&gt;"",O30,MAX(0,N(H30)+N(K30))*IF(N30&lt;&gt;"",N30,M30)),0),IF(S30="Debt service",IF(T30&gt;15,0,W30*MAX(0,MIN(15-T30+1,U30))),IF(OR(S30="Annual O&amp;M",S30="Maintenance-only"),IF(T30&gt;15,0,IF(O30&lt;&gt;"",O30,MAX(0,N(H30)+N(K30))*IF(N30&lt;&gt;"",N30,M30))*MAX(0,15-T30+1)),0)))),0)</f>
        <v/>
      </c>
      <c r="AF30" s="179">
        <f>IFERROR(IF(OR(R30&lt;&gt;"Yes",Q30&lt;&gt;"ESD"),0,IF(S30="Cash capital",IF(T30&lt;=20,IF(O30&lt;&gt;"",O30,MAX(0,N(I30)+N(K30))*IF(N30&lt;&gt;"",N30,M30)),0),IF(S30="Debt service",IF(T30&gt;20,0,W30*MAX(0,MIN(20-T30+1,U30))),IF(OR(S30="Annual O&amp;M",S30="Maintenance-only"),IF(T30&gt;20,0,IF(O30&lt;&gt;"",O30,MAX(0,N(I30)+N(K30))*IF(N30&lt;&gt;"",N30,M30))*MAX(0,20-T30+1)),0)))),0)</f>
        <v/>
      </c>
      <c r="AG30" s="179">
        <f>IFERROR(IF(OR(R30&lt;&gt;"Yes",Q30&lt;&gt;"ESD"),0,IF(S30="Cash capital",IF(T30&lt;=30,IF(O30&lt;&gt;"",O30,MAX(0,N(J30)+N(K30))*IF(N30&lt;&gt;"",N30,M30)),0),IF(S30="Debt service",IF(T30&gt;30,0,W30*MAX(0,MIN(30-T30+1,U30))),IF(OR(S30="Annual O&amp;M",S30="Maintenance-only"),IF(T30&gt;30,0,IF(O30&lt;&gt;"",O30,MAX(0,N(J30)+N(K30))*IF(N30&lt;&gt;"",N30,M30))*MAX(0,30-T30+1)),0)))),0)</f>
        <v/>
      </c>
      <c r="AH30" s="188" t="inlineStr">
        <is>
          <t>Custom row. Use for items not in standard library; initially excluded from fiscal net.</t>
        </is>
      </c>
    </row>
    <row r="31" ht="14.25" customHeight="1" s="106">
      <c r="A31" s="183" t="inlineStr">
        <is>
          <t>Custom ESD / other item (e.g., radio system, special apparatus)</t>
        </is>
      </c>
      <c r="B31" s="183" t="inlineStr">
        <is>
          <t>ESD</t>
        </is>
      </c>
      <c r="C31" s="183" t="inlineStr">
        <is>
          <t>manual/custom</t>
        </is>
      </c>
      <c r="D31" s="183" t="inlineStr">
        <is>
          <t>each</t>
        </is>
      </c>
      <c r="E31" s="183" t="inlineStr">
        <is>
          <t>manual</t>
        </is>
      </c>
      <c r="F31" s="184">
        <f>0</f>
        <v/>
      </c>
      <c r="G31" s="184">
        <f>0</f>
        <v/>
      </c>
      <c r="H31" s="184">
        <f>0</f>
        <v/>
      </c>
      <c r="I31" s="184">
        <f>0</f>
        <v/>
      </c>
      <c r="J31" s="184">
        <f>0</f>
        <v/>
      </c>
      <c r="K31" s="185" t="n"/>
      <c r="L31" s="184">
        <f>MAX(0,N(G31)+N(K31))</f>
        <v/>
      </c>
      <c r="M31" s="186" t="n">
        <v>0</v>
      </c>
      <c r="N31" s="187" t="n"/>
      <c r="O31" s="187" t="n"/>
      <c r="P31" s="186">
        <f>IFERROR(IF(O31&lt;&gt;"",O31,L31*IF(N31&lt;&gt;"",N31,M31)),0)</f>
        <v/>
      </c>
      <c r="Q31" s="177" t="inlineStr">
        <is>
          <t>Unknown</t>
        </is>
      </c>
      <c r="R31" s="177" t="inlineStr">
        <is>
          <t>No</t>
        </is>
      </c>
      <c r="S31" s="177" t="inlineStr">
        <is>
          <t>Debt service</t>
        </is>
      </c>
      <c r="T31" s="177" t="n">
        <v>1</v>
      </c>
      <c r="U31" s="177" t="n">
        <v>20</v>
      </c>
      <c r="V31" s="178" t="n">
        <v>0.045</v>
      </c>
      <c r="W31" s="159">
        <f>IFERROR(IF(AND(R31="Yes",S31="Debt service",U31&gt;0),IF(V31=0,P31/U31,P31*V31/(1-(1+V31)^(-U31))),0),0)</f>
        <v/>
      </c>
      <c r="X31" s="179">
        <f>IFERROR(IF(OR(R31&lt;&gt;"Yes",Q31&lt;&gt;"City"),0,IF(S31="Cash capital",IF(T31&lt;=5,IF(O31&lt;&gt;"",O31,MAX(0,N(F31)+N(K31))*IF(N31&lt;&gt;"",N31,M31)),0),IF(S31="Debt service",IF(T31&gt;5,0,W31*MAX(0,MIN(5-T31+1,U31))),IF(OR(S31="Annual O&amp;M",S31="Maintenance-only"),IF(T31&gt;5,0,IF(O31&lt;&gt;"",O31,MAX(0,N(F31)+N(K31))*IF(N31&lt;&gt;"",N31,M31))*MAX(0,5-T31+1)),0)))),0)</f>
        <v/>
      </c>
      <c r="Y31" s="179">
        <f>IFERROR(IF(OR(R31&lt;&gt;"Yes",Q31&lt;&gt;"City"),0,IF(S31="Cash capital",IF(T31&lt;=10,IF(O31&lt;&gt;"",O31,MAX(0,N(G31)+N(K31))*IF(N31&lt;&gt;"",N31,M31)),0),IF(S31="Debt service",IF(T31&gt;10,0,W31*MAX(0,MIN(10-T31+1,U31))),IF(OR(S31="Annual O&amp;M",S31="Maintenance-only"),IF(T31&gt;10,0,IF(O31&lt;&gt;"",O31,MAX(0,N(G31)+N(K31))*IF(N31&lt;&gt;"",N31,M31))*MAX(0,10-T31+1)),0)))),0)</f>
        <v/>
      </c>
      <c r="Z31" s="179">
        <f>IFERROR(IF(OR(R31&lt;&gt;"Yes",Q31&lt;&gt;"City"),0,IF(S31="Cash capital",IF(T31&lt;=15,IF(O31&lt;&gt;"",O31,MAX(0,N(H31)+N(K31))*IF(N31&lt;&gt;"",N31,M31)),0),IF(S31="Debt service",IF(T31&gt;15,0,W31*MAX(0,MIN(15-T31+1,U31))),IF(OR(S31="Annual O&amp;M",S31="Maintenance-only"),IF(T31&gt;15,0,IF(O31&lt;&gt;"",O31,MAX(0,N(H31)+N(K31))*IF(N31&lt;&gt;"",N31,M31))*MAX(0,15-T31+1)),0)))),0)</f>
        <v/>
      </c>
      <c r="AA31" s="179">
        <f>IFERROR(IF(OR(R31&lt;&gt;"Yes",Q31&lt;&gt;"City"),0,IF(S31="Cash capital",IF(T31&lt;=20,IF(O31&lt;&gt;"",O31,MAX(0,N(I31)+N(K31))*IF(N31&lt;&gt;"",N31,M31)),0),IF(S31="Debt service",IF(T31&gt;20,0,W31*MAX(0,MIN(20-T31+1,U31))),IF(OR(S31="Annual O&amp;M",S31="Maintenance-only"),IF(T31&gt;20,0,IF(O31&lt;&gt;"",O31,MAX(0,N(I31)+N(K31))*IF(N31&lt;&gt;"",N31,M31))*MAX(0,20-T31+1)),0)))),0)</f>
        <v/>
      </c>
      <c r="AB31" s="179">
        <f>IFERROR(IF(OR(R31&lt;&gt;"Yes",Q31&lt;&gt;"City"),0,IF(S31="Cash capital",IF(T31&lt;=30,IF(O31&lt;&gt;"",O31,MAX(0,N(J31)+N(K31))*IF(N31&lt;&gt;"",N31,M31)),0),IF(S31="Debt service",IF(T31&gt;30,0,W31*MAX(0,MIN(30-T31+1,U31))),IF(OR(S31="Annual O&amp;M",S31="Maintenance-only"),IF(T31&gt;30,0,IF(O31&lt;&gt;"",O31,MAX(0,N(J31)+N(K31))*IF(N31&lt;&gt;"",N31,M31))*MAX(0,30-T31+1)),0)))),0)</f>
        <v/>
      </c>
      <c r="AC31" s="179">
        <f>IFERROR(IF(OR(R31&lt;&gt;"Yes",Q31&lt;&gt;"ESD"),0,IF(S31="Cash capital",IF(T31&lt;=5,IF(O31&lt;&gt;"",O31,MAX(0,N(F31)+N(K31))*IF(N31&lt;&gt;"",N31,M31)),0),IF(S31="Debt service",IF(T31&gt;5,0,W31*MAX(0,MIN(5-T31+1,U31))),IF(OR(S31="Annual O&amp;M",S31="Maintenance-only"),IF(T31&gt;5,0,IF(O31&lt;&gt;"",O31,MAX(0,N(F31)+N(K31))*IF(N31&lt;&gt;"",N31,M31))*MAX(0,5-T31+1)),0)))),0)</f>
        <v/>
      </c>
      <c r="AD31" s="179">
        <f>IFERROR(IF(OR(R31&lt;&gt;"Yes",Q31&lt;&gt;"ESD"),0,IF(S31="Cash capital",IF(T31&lt;=10,IF(O31&lt;&gt;"",O31,MAX(0,N(G31)+N(K31))*IF(N31&lt;&gt;"",N31,M31)),0),IF(S31="Debt service",IF(T31&gt;10,0,W31*MAX(0,MIN(10-T31+1,U31))),IF(OR(S31="Annual O&amp;M",S31="Maintenance-only"),IF(T31&gt;10,0,IF(O31&lt;&gt;"",O31,MAX(0,N(G31)+N(K31))*IF(N31&lt;&gt;"",N31,M31))*MAX(0,10-T31+1)),0)))),0)</f>
        <v/>
      </c>
      <c r="AE31" s="179">
        <f>IFERROR(IF(OR(R31&lt;&gt;"Yes",Q31&lt;&gt;"ESD"),0,IF(S31="Cash capital",IF(T31&lt;=15,IF(O31&lt;&gt;"",O31,MAX(0,N(H31)+N(K31))*IF(N31&lt;&gt;"",N31,M31)),0),IF(S31="Debt service",IF(T31&gt;15,0,W31*MAX(0,MIN(15-T31+1,U31))),IF(OR(S31="Annual O&amp;M",S31="Maintenance-only"),IF(T31&gt;15,0,IF(O31&lt;&gt;"",O31,MAX(0,N(H31)+N(K31))*IF(N31&lt;&gt;"",N31,M31))*MAX(0,15-T31+1)),0)))),0)</f>
        <v/>
      </c>
      <c r="AF31" s="179">
        <f>IFERROR(IF(OR(R31&lt;&gt;"Yes",Q31&lt;&gt;"ESD"),0,IF(S31="Cash capital",IF(T31&lt;=20,IF(O31&lt;&gt;"",O31,MAX(0,N(I31)+N(K31))*IF(N31&lt;&gt;"",N31,M31)),0),IF(S31="Debt service",IF(T31&gt;20,0,W31*MAX(0,MIN(20-T31+1,U31))),IF(OR(S31="Annual O&amp;M",S31="Maintenance-only"),IF(T31&gt;20,0,IF(O31&lt;&gt;"",O31,MAX(0,N(I31)+N(K31))*IF(N31&lt;&gt;"",N31,M31))*MAX(0,20-T31+1)),0)))),0)</f>
        <v/>
      </c>
      <c r="AG31" s="179">
        <f>IFERROR(IF(OR(R31&lt;&gt;"Yes",Q31&lt;&gt;"ESD"),0,IF(S31="Cash capital",IF(T31&lt;=30,IF(O31&lt;&gt;"",O31,MAX(0,N(J31)+N(K31))*IF(N31&lt;&gt;"",N31,M31)),0),IF(S31="Debt service",IF(T31&gt;30,0,W31*MAX(0,MIN(30-T31+1,U31))),IF(OR(S31="Annual O&amp;M",S31="Maintenance-only"),IF(T31&gt;30,0,IF(O31&lt;&gt;"",O31,MAX(0,N(J31)+N(K31))*IF(N31&lt;&gt;"",N31,M31))*MAX(0,30-T31+1)),0)))),0)</f>
        <v/>
      </c>
      <c r="AH31" s="188" t="inlineStr">
        <is>
          <t>Custom ESD/other row; validate with ESD capital plan or responsible entity.</t>
        </is>
      </c>
    </row>
    <row r="32" ht="14.25" customHeight="1" s="106">
      <c r="A32" s="15" t="n"/>
      <c r="B32" s="15" t="n"/>
      <c r="C32" s="15" t="n"/>
      <c r="D32" s="15" t="n"/>
      <c r="E32" s="15" t="n"/>
      <c r="F32" s="15" t="n"/>
      <c r="G32" s="15" t="n"/>
      <c r="H32" s="15" t="n"/>
      <c r="I32" s="15" t="n"/>
      <c r="J32" s="15" t="n"/>
      <c r="K32" s="15" t="n"/>
      <c r="L32" s="15" t="n"/>
      <c r="M32" s="15" t="n"/>
      <c r="N32" s="16" t="n"/>
      <c r="O32" s="15" t="n"/>
      <c r="P32" s="15" t="n"/>
      <c r="Q32" s="15" t="n"/>
    </row>
    <row r="33" ht="14.25" customHeight="1" s="106">
      <c r="A33" s="17" t="inlineStr">
        <is>
          <t>Totals / Fiscal-Net Inclusion Summary</t>
        </is>
      </c>
      <c r="B33" s="17" t="n"/>
      <c r="C33" s="17" t="n"/>
      <c r="D33" s="17" t="n"/>
      <c r="E33" s="17" t="n"/>
      <c r="F33" s="17" t="n"/>
      <c r="G33" s="17" t="n"/>
      <c r="H33" s="17" t="n"/>
      <c r="I33" s="17" t="n"/>
      <c r="J33" s="17" t="n"/>
      <c r="K33" s="17" t="n"/>
      <c r="L33" s="17" t="n"/>
      <c r="M33" s="17" t="n"/>
      <c r="N33" s="18"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row>
    <row r="34" ht="28.5" customHeight="1" s="106">
      <c r="A34" s="108" t="inlineStr">
        <is>
          <t>Included City fiscal-net impact by horizon</t>
        </is>
      </c>
      <c r="B34" s="108" t="n"/>
      <c r="R34" s="20" t="n"/>
      <c r="S34" s="20" t="n"/>
      <c r="T34" s="20" t="n"/>
      <c r="U34" s="20" t="n"/>
      <c r="V34" s="20" t="n"/>
      <c r="W34" s="20" t="n"/>
      <c r="X34" s="21">
        <f>SUM(X4:X31)</f>
        <v/>
      </c>
      <c r="Y34" s="21">
        <f>SUM(Y4:Y31)</f>
        <v/>
      </c>
      <c r="Z34" s="21">
        <f>SUM(Z4:Z31)</f>
        <v/>
      </c>
      <c r="AA34" s="21">
        <f>SUM(AA4:AA31)</f>
        <v/>
      </c>
      <c r="AB34" s="21">
        <f>SUM(AB4:AB31)</f>
        <v/>
      </c>
      <c r="AC34" s="21" t="n"/>
      <c r="AD34" s="21" t="n"/>
      <c r="AE34" s="21" t="n"/>
      <c r="AF34" s="21" t="n"/>
      <c r="AG34" s="21" t="n"/>
    </row>
    <row r="35" ht="14.25" customHeight="1" s="106">
      <c r="A35" s="20" t="inlineStr">
        <is>
          <t>Included ESD fiscal-net impact by horizon</t>
        </is>
      </c>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1" t="n"/>
      <c r="Y35" s="21" t="n"/>
      <c r="Z35" s="21" t="n"/>
      <c r="AA35" s="21" t="n"/>
      <c r="AB35" s="21" t="n"/>
      <c r="AC35" s="21">
        <f>SUM(AC4:AC31)</f>
        <v/>
      </c>
      <c r="AD35" s="21">
        <f>SUM(AD4:AD31)</f>
        <v/>
      </c>
      <c r="AE35" s="21">
        <f>SUM(AE4:AE31)</f>
        <v/>
      </c>
      <c r="AF35" s="21">
        <f>SUM(AF4:AF31)</f>
        <v/>
      </c>
      <c r="AG35" s="21">
        <f>SUM(AG4:AG31)</f>
        <v/>
      </c>
    </row>
    <row r="37" ht="72" customHeight="1" s="106">
      <c r="A37" s="22" t="inlineStr">
        <is>
          <t>Note: Standard infrastructure rows are informational unless selected for fiscal inclusion. To incorporate an item into the overall fiscal model, set Include in Fiscal Net? to Yes, select City or ESD as Funding Responsibility, choose Cost Treatment, and verify Timing Year / debt inputs.</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row>
  </sheetData>
  <mergeCells count="3">
    <mergeCell ref="B34:Q34"/>
    <mergeCell ref="A2:Q2"/>
    <mergeCell ref="A1:Q1"/>
  </mergeCells>
  <conditionalFormatting sqref="N4:N28">
    <cfRule type="cellIs" priority="2" operator="greaterThan" dxfId="0">
      <formula>0</formula>
    </cfRule>
  </conditionalFormatting>
  <dataValidations count="3">
    <dataValidation sqref="Q4:Q31" showDropDown="0" showInputMessage="0" showErrorMessage="0" allowBlank="0" type="list">
      <formula1>"City,ESD,Developer,Utility Fund,TxDOT,Unknown"</formula1>
      <formula2>0</formula2>
    </dataValidation>
    <dataValidation sqref="R4:R31" showDropDown="0" showInputMessage="0" showErrorMessage="0" allowBlank="0" type="list">
      <formula1>"No,Yes"</formula1>
      <formula2>0</formula2>
    </dataValidation>
    <dataValidation sqref="S4:S31" showDropDown="0" showInputMessage="0" showErrorMessage="0" allowBlank="0" type="list">
      <formula1>"Informational,Cash capital,Debt service,Annual O&amp;M,Maintenance-only,Developer-funded"</formula1>
      <formula2>0</formula2>
    </dataValidation>
  </dataValidation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tabColor rgb="FFF4B6C2"/>
    <outlinePr summaryBelow="1" summaryRight="1"/>
    <pageSetUpPr/>
  </sheetPr>
  <dimension ref="A1:G68"/>
  <sheetViews>
    <sheetView tabSelected="1" zoomScaleNormal="100" workbookViewId="0">
      <pane xSplit="1" ySplit="6" topLeftCell="B36" activePane="bottomRight" state="frozen"/>
      <selection pane="topRight" activeCell="B1" sqref="B1"/>
      <selection pane="bottomLeft" activeCell="A7" sqref="A7"/>
      <selection pane="bottomRight" activeCell="A25" sqref="A25:F25"/>
    </sheetView>
  </sheetViews>
  <sheetFormatPr baseColWidth="8" defaultColWidth="8.6640625" defaultRowHeight="13.2"/>
  <cols>
    <col width="44" customWidth="1" style="168" min="1" max="1"/>
    <col width="15" customWidth="1" style="168" min="2" max="6"/>
    <col width="16" customWidth="1" style="168" min="7" max="16384"/>
  </cols>
  <sheetData>
    <row r="1" ht="17.25" customHeight="1" s="106">
      <c r="A1" s="135" t="inlineStr">
        <is>
          <t>RESULTS — Fiscal Impact by Horizon (active scenario)</t>
        </is>
      </c>
    </row>
    <row r="2" ht="15" customHeight="1" s="106">
      <c r="A2" s="189" t="inlineStr">
        <is>
          <t>All figures are sums over the horizon unless noted. Split-neutral; property tax is net of exemptions. Planning-level.</t>
        </is>
      </c>
    </row>
    <row r="4" ht="15" customHeight="1" s="106">
      <c r="A4" s="158" t="inlineStr">
        <is>
          <t>Active split (City / ESD):</t>
        </is>
      </c>
      <c r="B4" s="190">
        <f>TEXT('00_Inputs_Dashboard'!B5,"0%")&amp;" / "&amp;TEXT('00_Inputs_Dashboard'!B7,"0%")</f>
        <v/>
      </c>
      <c r="D4" s="158" t="inlineStr">
        <is>
          <t>Pool rate:</t>
        </is>
      </c>
      <c r="E4" s="191">
        <f>'00_Inputs_Dashboard'!B20</f>
        <v/>
      </c>
    </row>
    <row r="6" ht="15" customHeight="1" s="106">
      <c r="A6" s="192" t="inlineStr">
        <is>
          <t>Metric</t>
        </is>
      </c>
      <c r="B6" s="192" t="inlineStr">
        <is>
          <t>5-Year</t>
        </is>
      </c>
      <c r="C6" s="192" t="inlineStr">
        <is>
          <t>10-Year</t>
        </is>
      </c>
      <c r="D6" s="192" t="inlineStr">
        <is>
          <t>15-Year</t>
        </is>
      </c>
      <c r="E6" s="192" t="inlineStr">
        <is>
          <t>20-Year</t>
        </is>
      </c>
      <c r="F6" s="192" t="inlineStr">
        <is>
          <t>30-Year</t>
        </is>
      </c>
    </row>
    <row r="7" ht="15" customHeight="1" s="106">
      <c r="A7" s="193" t="inlineStr">
        <is>
          <t>REVENUE</t>
        </is>
      </c>
    </row>
    <row r="8" ht="15" customHeight="1" s="106">
      <c r="A8" s="158" t="inlineStr">
        <is>
          <t>1.5% ILA sales-tax pool</t>
        </is>
      </c>
      <c r="B8" s="202">
        <f>'03_Multi_Horizon_Results'!B15</f>
        <v/>
      </c>
      <c r="C8" s="202">
        <f>'03_Multi_Horizon_Results'!C15</f>
        <v/>
      </c>
      <c r="D8" s="202">
        <f>'03_Multi_Horizon_Results'!D15</f>
        <v/>
      </c>
      <c r="E8" s="202">
        <f>'03_Multi_Horizon_Results'!E15</f>
        <v/>
      </c>
      <c r="F8" s="202">
        <f>'03_Multi_Horizon_Results'!F15</f>
        <v/>
      </c>
    </row>
    <row r="9" ht="15" customHeight="1" s="106">
      <c r="A9" s="158" t="inlineStr">
        <is>
          <t>City sales-tax share (net of EDC)</t>
        </is>
      </c>
      <c r="B9" s="202">
        <f>'03_Multi_Horizon_Results'!B18</f>
        <v/>
      </c>
      <c r="C9" s="202">
        <f>'03_Multi_Horizon_Results'!C18</f>
        <v/>
      </c>
      <c r="D9" s="202">
        <f>'03_Multi_Horizon_Results'!D18</f>
        <v/>
      </c>
      <c r="E9" s="202">
        <f>'03_Multi_Horizon_Results'!E18</f>
        <v/>
      </c>
      <c r="F9" s="202">
        <f>'03_Multi_Horizon_Results'!F18</f>
        <v/>
      </c>
    </row>
    <row r="10" ht="15" customHeight="1" s="106">
      <c r="A10" s="158" t="inlineStr">
        <is>
          <t>ESD sales-tax share</t>
        </is>
      </c>
      <c r="B10" s="202">
        <f>'03_Multi_Horizon_Results'!B19</f>
        <v/>
      </c>
      <c r="C10" s="202">
        <f>'03_Multi_Horizon_Results'!C19</f>
        <v/>
      </c>
      <c r="D10" s="202">
        <f>'03_Multi_Horizon_Results'!D19</f>
        <v/>
      </c>
      <c r="E10" s="202">
        <f>'03_Multi_Horizon_Results'!E19</f>
        <v/>
      </c>
      <c r="F10" s="202">
        <f>'03_Multi_Horizon_Results'!F19</f>
        <v/>
      </c>
    </row>
    <row r="11" ht="15" customHeight="1" s="106">
      <c r="A11" s="158" t="inlineStr">
        <is>
          <t>City property tax (net of exemptions)</t>
        </is>
      </c>
      <c r="B11" s="202">
        <f>'03_Multi_Horizon_Results'!B20</f>
        <v/>
      </c>
      <c r="C11" s="202">
        <f>'03_Multi_Horizon_Results'!C20</f>
        <v/>
      </c>
      <c r="D11" s="202">
        <f>'03_Multi_Horizon_Results'!D20</f>
        <v/>
      </c>
      <c r="E11" s="202">
        <f>'03_Multi_Horizon_Results'!E20</f>
        <v/>
      </c>
      <c r="F11" s="202">
        <f>'03_Multi_Horizon_Results'!F20</f>
        <v/>
      </c>
    </row>
    <row r="12" ht="15" customHeight="1" s="106">
      <c r="A12" s="158" t="inlineStr">
        <is>
          <t>ESD property tax (net of exemptions)</t>
        </is>
      </c>
      <c r="B12" s="202">
        <f>'03_Multi_Horizon_Results'!B21</f>
        <v/>
      </c>
      <c r="C12" s="202">
        <f>'03_Multi_Horizon_Results'!C21</f>
        <v/>
      </c>
      <c r="D12" s="202">
        <f>'03_Multi_Horizon_Results'!D21</f>
        <v/>
      </c>
      <c r="E12" s="202">
        <f>'03_Multi_Horizon_Results'!E21</f>
        <v/>
      </c>
      <c r="F12" s="202">
        <f>'03_Multi_Horizon_Results'!F21</f>
        <v/>
      </c>
    </row>
    <row r="13" ht="15" customHeight="1" s="106">
      <c r="A13" s="158" t="inlineStr">
        <is>
          <t>Impact fees (one-time)</t>
        </is>
      </c>
      <c r="B13" s="202">
        <f>'03_Multi_Horizon_Results'!B22</f>
        <v/>
      </c>
      <c r="C13" s="202">
        <f>'03_Multi_Horizon_Results'!C22</f>
        <v/>
      </c>
      <c r="D13" s="202">
        <f>'03_Multi_Horizon_Results'!D22</f>
        <v/>
      </c>
      <c r="E13" s="202">
        <f>'03_Multi_Horizon_Results'!E22</f>
        <v/>
      </c>
      <c r="F13" s="202">
        <f>'03_Multi_Horizon_Results'!F22</f>
        <v/>
      </c>
    </row>
    <row r="14" ht="15" customHeight="1" s="106">
      <c r="A14" s="193" t="inlineStr">
        <is>
          <t>COST</t>
        </is>
      </c>
    </row>
    <row r="15" ht="15" customHeight="1" s="106">
      <c r="A15" s="158" t="inlineStr">
        <is>
          <t>City operating cost</t>
        </is>
      </c>
      <c r="B15" s="202">
        <f>'03_Multi_Horizon_Results'!B23</f>
        <v/>
      </c>
      <c r="C15" s="202">
        <f>'03_Multi_Horizon_Results'!C23</f>
        <v/>
      </c>
      <c r="D15" s="202">
        <f>'03_Multi_Horizon_Results'!D23</f>
        <v/>
      </c>
      <c r="E15" s="202">
        <f>'03_Multi_Horizon_Results'!E23</f>
        <v/>
      </c>
      <c r="F15" s="202">
        <f>'03_Multi_Horizon_Results'!F23</f>
        <v/>
      </c>
    </row>
    <row r="16" ht="15" customHeight="1" s="106">
      <c r="A16" s="158" t="inlineStr">
        <is>
          <t>City capital / debt service (incl. infrastructure)</t>
        </is>
      </c>
      <c r="B16" s="202">
        <f>'03_Multi_Horizon_Results'!B24</f>
        <v/>
      </c>
      <c r="C16" s="202">
        <f>'03_Multi_Horizon_Results'!C24</f>
        <v/>
      </c>
      <c r="D16" s="202">
        <f>'03_Multi_Horizon_Results'!D24</f>
        <v/>
      </c>
      <c r="E16" s="202">
        <f>'03_Multi_Horizon_Results'!E24</f>
        <v/>
      </c>
      <c r="F16" s="202">
        <f>'03_Multi_Horizon_Results'!F24</f>
        <v/>
      </c>
    </row>
    <row r="17" ht="15" customHeight="1" s="106">
      <c r="A17" s="158" t="inlineStr">
        <is>
          <t>City reserve</t>
        </is>
      </c>
      <c r="B17" s="202">
        <f>'03_Multi_Horizon_Results'!B25</f>
        <v/>
      </c>
      <c r="C17" s="202">
        <f>'03_Multi_Horizon_Results'!C25</f>
        <v/>
      </c>
      <c r="D17" s="202">
        <f>'03_Multi_Horizon_Results'!D25</f>
        <v/>
      </c>
      <c r="E17" s="202">
        <f>'03_Multi_Horizon_Results'!E25</f>
        <v/>
      </c>
      <c r="F17" s="202">
        <f>'03_Multi_Horizon_Results'!F25</f>
        <v/>
      </c>
    </row>
    <row r="18" ht="15" customHeight="1" s="106">
      <c r="A18" s="158" t="inlineStr">
        <is>
          <t>ESD operating cost</t>
        </is>
      </c>
      <c r="B18" s="202">
        <f>'03_Multi_Horizon_Results'!B26</f>
        <v/>
      </c>
      <c r="C18" s="202">
        <f>'03_Multi_Horizon_Results'!C26</f>
        <v/>
      </c>
      <c r="D18" s="202">
        <f>'03_Multi_Horizon_Results'!D26</f>
        <v/>
      </c>
      <c r="E18" s="202">
        <f>'03_Multi_Horizon_Results'!E26</f>
        <v/>
      </c>
      <c r="F18" s="202">
        <f>'03_Multi_Horizon_Results'!F26</f>
        <v/>
      </c>
    </row>
    <row r="19" ht="15" customHeight="1" s="106">
      <c r="A19" s="158" t="inlineStr">
        <is>
          <t>ESD capital / debt service (incl. infrastructure)</t>
        </is>
      </c>
      <c r="B19" s="202">
        <f>'03_Multi_Horizon_Results'!B27</f>
        <v/>
      </c>
      <c r="C19" s="202">
        <f>'03_Multi_Horizon_Results'!C27</f>
        <v/>
      </c>
      <c r="D19" s="202">
        <f>'03_Multi_Horizon_Results'!D27</f>
        <v/>
      </c>
      <c r="E19" s="202">
        <f>'03_Multi_Horizon_Results'!E27</f>
        <v/>
      </c>
      <c r="F19" s="202">
        <f>'03_Multi_Horizon_Results'!F27</f>
        <v/>
      </c>
    </row>
    <row r="20" ht="15" customHeight="1" s="106">
      <c r="A20" s="158" t="inlineStr">
        <is>
          <t>ESD reserve</t>
        </is>
      </c>
      <c r="B20" s="202">
        <f>'03_Multi_Horizon_Results'!B28</f>
        <v/>
      </c>
      <c r="C20" s="202">
        <f>'03_Multi_Horizon_Results'!C28</f>
        <v/>
      </c>
      <c r="D20" s="202">
        <f>'03_Multi_Horizon_Results'!D28</f>
        <v/>
      </c>
      <c r="E20" s="202">
        <f>'03_Multi_Horizon_Results'!E28</f>
        <v/>
      </c>
      <c r="F20" s="202">
        <f>'03_Multi_Horizon_Results'!F28</f>
        <v/>
      </c>
    </row>
    <row r="21" ht="15" customHeight="1" s="106">
      <c r="A21" s="193" t="inlineStr">
        <is>
          <t>NET FISCAL POSITION</t>
        </is>
      </c>
    </row>
    <row r="22" ht="15" customHeight="1" s="106">
      <c r="A22" s="190" t="inlineStr">
        <is>
          <t>City NET</t>
        </is>
      </c>
      <c r="B22" s="203">
        <f>'03_Multi_Horizon_Results'!B29</f>
        <v/>
      </c>
      <c r="C22" s="203">
        <f>'03_Multi_Horizon_Results'!C29</f>
        <v/>
      </c>
      <c r="D22" s="203">
        <f>'03_Multi_Horizon_Results'!D29</f>
        <v/>
      </c>
      <c r="E22" s="203">
        <f>'03_Multi_Horizon_Results'!E29</f>
        <v/>
      </c>
      <c r="F22" s="203">
        <f>'03_Multi_Horizon_Results'!F29</f>
        <v/>
      </c>
    </row>
    <row r="23" ht="15" customHeight="1" s="106">
      <c r="A23" s="190" t="inlineStr">
        <is>
          <t>ESD NET</t>
        </is>
      </c>
      <c r="B23" s="203">
        <f>'03_Multi_Horizon_Results'!B30</f>
        <v/>
      </c>
      <c r="C23" s="203">
        <f>'03_Multi_Horizon_Results'!C30</f>
        <v/>
      </c>
      <c r="D23" s="203">
        <f>'03_Multi_Horizon_Results'!D30</f>
        <v/>
      </c>
      <c r="E23" s="203">
        <f>'03_Multi_Horizon_Results'!E30</f>
        <v/>
      </c>
      <c r="F23" s="203">
        <f>'03_Multi_Horizon_Results'!F30</f>
        <v/>
      </c>
    </row>
    <row r="24" ht="15" customHeight="1" s="106">
      <c r="A24" s="190" t="inlineStr">
        <is>
          <t>Combined NET</t>
        </is>
      </c>
      <c r="B24" s="203">
        <f>'03_Multi_Horizon_Results'!B31</f>
        <v/>
      </c>
      <c r="C24" s="203">
        <f>'03_Multi_Horizon_Results'!C31</f>
        <v/>
      </c>
      <c r="D24" s="203">
        <f>'03_Multi_Horizon_Results'!D31</f>
        <v/>
      </c>
      <c r="E24" s="203">
        <f>'03_Multi_Horizon_Results'!E31</f>
        <v/>
      </c>
      <c r="F24" s="203">
        <f>'03_Multi_Horizon_Results'!F31</f>
        <v/>
      </c>
    </row>
    <row r="25" ht="15" customHeight="1" s="106">
      <c r="A25" s="193" t="inlineStr">
        <is>
          <t>DOES THE SALES-TAX SPLIT MOVE THE NEEDLE? (isolation)</t>
        </is>
      </c>
    </row>
    <row r="26" ht="15" customHeight="1" s="106">
      <c r="A26" s="158" t="inlineStr">
        <is>
          <t>City NET excluding sales-tax allocation</t>
        </is>
      </c>
      <c r="B26" s="202">
        <f>'03_Multi_Horizon_Results'!B29-'03_Multi_Horizon_Results'!B18</f>
        <v/>
      </c>
      <c r="C26" s="202">
        <f>'03_Multi_Horizon_Results'!C29-'03_Multi_Horizon_Results'!C18</f>
        <v/>
      </c>
      <c r="D26" s="202">
        <f>'03_Multi_Horizon_Results'!D29-'03_Multi_Horizon_Results'!D18</f>
        <v/>
      </c>
      <c r="E26" s="202">
        <f>'03_Multi_Horizon_Results'!E29-'03_Multi_Horizon_Results'!E18</f>
        <v/>
      </c>
      <c r="F26" s="202">
        <f>'03_Multi_Horizon_Results'!F29-'03_Multi_Horizon_Results'!F18</f>
        <v/>
      </c>
    </row>
    <row r="27" ht="15" customHeight="1" s="106">
      <c r="A27" s="158" t="inlineStr">
        <is>
          <t xml:space="preserve">  + City sales-tax share</t>
        </is>
      </c>
      <c r="B27" s="202">
        <f>'03_Multi_Horizon_Results'!B18</f>
        <v/>
      </c>
      <c r="C27" s="202">
        <f>'03_Multi_Horizon_Results'!C18</f>
        <v/>
      </c>
      <c r="D27" s="202">
        <f>'03_Multi_Horizon_Results'!D18</f>
        <v/>
      </c>
      <c r="E27" s="202">
        <f>'03_Multi_Horizon_Results'!E18</f>
        <v/>
      </c>
      <c r="F27" s="202">
        <f>'03_Multi_Horizon_Results'!F18</f>
        <v/>
      </c>
    </row>
    <row r="28" ht="15" customHeight="1" s="106">
      <c r="A28" s="190" t="inlineStr">
        <is>
          <t>City NET incl. sales tax (check)</t>
        </is>
      </c>
      <c r="B28" s="203">
        <f>'03_Multi_Horizon_Results'!B29</f>
        <v/>
      </c>
      <c r="C28" s="203">
        <f>'03_Multi_Horizon_Results'!C29</f>
        <v/>
      </c>
      <c r="D28" s="203">
        <f>'03_Multi_Horizon_Results'!D29</f>
        <v/>
      </c>
      <c r="E28" s="203">
        <f>'03_Multi_Horizon_Results'!E29</f>
        <v/>
      </c>
      <c r="F28" s="203">
        <f>'03_Multi_Horizon_Results'!F29</f>
        <v/>
      </c>
    </row>
    <row r="29" ht="15" customHeight="1" s="106">
      <c r="A29" s="158" t="inlineStr">
        <is>
          <t>ESD NET excluding sales-tax allocation</t>
        </is>
      </c>
      <c r="B29" s="202">
        <f>'03_Multi_Horizon_Results'!B30-'03_Multi_Horizon_Results'!B19</f>
        <v/>
      </c>
      <c r="C29" s="202">
        <f>'03_Multi_Horizon_Results'!C30-'03_Multi_Horizon_Results'!C19</f>
        <v/>
      </c>
      <c r="D29" s="202">
        <f>'03_Multi_Horizon_Results'!D30-'03_Multi_Horizon_Results'!D19</f>
        <v/>
      </c>
      <c r="E29" s="202">
        <f>'03_Multi_Horizon_Results'!E30-'03_Multi_Horizon_Results'!E19</f>
        <v/>
      </c>
      <c r="F29" s="202">
        <f>'03_Multi_Horizon_Results'!F30-'03_Multi_Horizon_Results'!F19</f>
        <v/>
      </c>
    </row>
    <row r="30" ht="15" customHeight="1" s="106">
      <c r="A30" s="158" t="inlineStr">
        <is>
          <t xml:space="preserve">  + ESD sales-tax share</t>
        </is>
      </c>
      <c r="B30" s="202">
        <f>'03_Multi_Horizon_Results'!B19</f>
        <v/>
      </c>
      <c r="C30" s="202">
        <f>'03_Multi_Horizon_Results'!C19</f>
        <v/>
      </c>
      <c r="D30" s="202">
        <f>'03_Multi_Horizon_Results'!D19</f>
        <v/>
      </c>
      <c r="E30" s="202">
        <f>'03_Multi_Horizon_Results'!E19</f>
        <v/>
      </c>
      <c r="F30" s="202">
        <f>'03_Multi_Horizon_Results'!F19</f>
        <v/>
      </c>
    </row>
    <row r="31" ht="15" customHeight="1" s="106">
      <c r="A31" s="190" t="inlineStr">
        <is>
          <t>ESD NET incl. sales tax (check)</t>
        </is>
      </c>
      <c r="B31" s="203">
        <f>'03_Multi_Horizon_Results'!B30</f>
        <v/>
      </c>
      <c r="C31" s="203">
        <f>'03_Multi_Horizon_Results'!C30</f>
        <v/>
      </c>
      <c r="D31" s="203">
        <f>'03_Multi_Horizon_Results'!D30</f>
        <v/>
      </c>
      <c r="E31" s="203">
        <f>'03_Multi_Horizon_Results'!E30</f>
        <v/>
      </c>
      <c r="F31" s="203">
        <f>'03_Multi_Horizon_Results'!F30</f>
        <v/>
      </c>
    </row>
    <row r="32" ht="15" customHeight="1" s="106">
      <c r="A32" s="193" t="inlineStr">
        <is>
          <t>PROPERTY TAX — EXEMPTION IMPACT</t>
        </is>
      </c>
    </row>
    <row r="33" ht="15" customHeight="1" s="106">
      <c r="A33" s="158" t="inlineStr">
        <is>
          <t>City property tax — gross (pre-exemption)</t>
        </is>
      </c>
      <c r="B33" s="202">
        <f>SUM('04_Annual_Calculations'!B36:F36)</f>
        <v/>
      </c>
      <c r="C33" s="202">
        <f>SUM('04_Annual_Calculations'!B36:K36)</f>
        <v/>
      </c>
      <c r="D33" s="202">
        <f>SUM('04_Annual_Calculations'!B36:P36)</f>
        <v/>
      </c>
      <c r="E33" s="202">
        <f>SUM('04_Annual_Calculations'!B36:U36)</f>
        <v/>
      </c>
      <c r="F33" s="202">
        <f>SUM('04_Annual_Calculations'!B36:AE36)</f>
        <v/>
      </c>
    </row>
    <row r="34" ht="15" customHeight="1" s="106">
      <c r="A34" s="158" t="inlineStr">
        <is>
          <t>City property tax — net of exemptions</t>
        </is>
      </c>
      <c r="B34" s="202">
        <f>'03_Multi_Horizon_Results'!B20</f>
        <v/>
      </c>
      <c r="C34" s="202">
        <f>'03_Multi_Horizon_Results'!C20</f>
        <v/>
      </c>
      <c r="D34" s="202">
        <f>'03_Multi_Horizon_Results'!D20</f>
        <v/>
      </c>
      <c r="E34" s="202">
        <f>'03_Multi_Horizon_Results'!E20</f>
        <v/>
      </c>
      <c r="F34" s="202">
        <f>'03_Multi_Horizon_Results'!F20</f>
        <v/>
      </c>
    </row>
    <row r="35" ht="15" customHeight="1" s="106">
      <c r="A35" s="190" t="inlineStr">
        <is>
          <t>City revenue reduced by exemptions</t>
        </is>
      </c>
      <c r="B35" s="203">
        <f>SUM('04_Annual_Calculations'!B36:F36)-'03_Multi_Horizon_Results'!B20</f>
        <v/>
      </c>
      <c r="C35" s="203">
        <f>SUM('04_Annual_Calculations'!B36:K36)-'03_Multi_Horizon_Results'!C20</f>
        <v/>
      </c>
      <c r="D35" s="203">
        <f>SUM('04_Annual_Calculations'!B36:P36)-'03_Multi_Horizon_Results'!D20</f>
        <v/>
      </c>
      <c r="E35" s="203">
        <f>SUM('04_Annual_Calculations'!B36:U36)-'03_Multi_Horizon_Results'!E20</f>
        <v/>
      </c>
      <c r="F35" s="203">
        <f>SUM('04_Annual_Calculations'!B36:AE36)-'03_Multi_Horizon_Results'!F20</f>
        <v/>
      </c>
    </row>
    <row r="36" ht="15" customHeight="1" s="106">
      <c r="A36" s="158" t="inlineStr">
        <is>
          <t>ESD property tax — gross (pre-exemption)</t>
        </is>
      </c>
      <c r="B36" s="202">
        <f>SUM('04_Annual_Calculations'!B37:F37)</f>
        <v/>
      </c>
      <c r="C36" s="202">
        <f>SUM('04_Annual_Calculations'!B37:K37)</f>
        <v/>
      </c>
      <c r="D36" s="202">
        <f>SUM('04_Annual_Calculations'!B37:P37)</f>
        <v/>
      </c>
      <c r="E36" s="202">
        <f>SUM('04_Annual_Calculations'!B37:U37)</f>
        <v/>
      </c>
      <c r="F36" s="202">
        <f>SUM('04_Annual_Calculations'!B37:AE37)</f>
        <v/>
      </c>
    </row>
    <row r="37" ht="15" customHeight="1" s="106">
      <c r="A37" s="158" t="inlineStr">
        <is>
          <t>ESD property tax — net of exemptions</t>
        </is>
      </c>
      <c r="B37" s="202">
        <f>'03_Multi_Horizon_Results'!B21</f>
        <v/>
      </c>
      <c r="C37" s="202">
        <f>'03_Multi_Horizon_Results'!C21</f>
        <v/>
      </c>
      <c r="D37" s="202">
        <f>'03_Multi_Horizon_Results'!D21</f>
        <v/>
      </c>
      <c r="E37" s="202">
        <f>'03_Multi_Horizon_Results'!E21</f>
        <v/>
      </c>
      <c r="F37" s="202">
        <f>'03_Multi_Horizon_Results'!F21</f>
        <v/>
      </c>
    </row>
    <row r="38" ht="15" customHeight="1" s="106">
      <c r="A38" s="190" t="inlineStr">
        <is>
          <t>ESD revenue reduced by exemptions</t>
        </is>
      </c>
      <c r="B38" s="203">
        <f>SUM('04_Annual_Calculations'!B37:F37)-'03_Multi_Horizon_Results'!B21</f>
        <v/>
      </c>
      <c r="C38" s="203">
        <f>SUM('04_Annual_Calculations'!B37:K37)-'03_Multi_Horizon_Results'!C21</f>
        <v/>
      </c>
      <c r="D38" s="203">
        <f>SUM('04_Annual_Calculations'!B37:P37)-'03_Multi_Horizon_Results'!D21</f>
        <v/>
      </c>
      <c r="E38" s="203">
        <f>SUM('04_Annual_Calculations'!B37:U37)-'03_Multi_Horizon_Results'!E21</f>
        <v/>
      </c>
      <c r="F38" s="203">
        <f>SUM('04_Annual_Calculations'!B37:AE37)-'03_Multi_Horizon_Results'!F21</f>
        <v/>
      </c>
    </row>
    <row r="40" ht="15" customHeight="1" s="106">
      <c r="A40" s="193" t="inlineStr">
        <is>
          <t>LARGE CAPITAL ITEMS INCLUDED IN THIS SCENARIO (from Capital Items inputs)</t>
        </is>
      </c>
    </row>
    <row r="41" ht="15" customHeight="1" s="106">
      <c r="A41" s="196" t="inlineStr">
        <is>
          <t>Item</t>
        </is>
      </c>
      <c r="B41" s="196" t="inlineStr">
        <is>
          <t>Quantity</t>
        </is>
      </c>
      <c r="C41" s="196" t="inlineStr">
        <is>
          <t>Unit</t>
        </is>
      </c>
      <c r="D41" s="196" t="inlineStr">
        <is>
          <t>Payer</t>
        </is>
      </c>
      <c r="E41" s="196" t="inlineStr">
        <is>
          <t>Included?</t>
        </is>
      </c>
      <c r="F41" s="196" t="inlineStr">
        <is>
          <t>Cost treatment</t>
        </is>
      </c>
      <c r="G41" s="196" t="inlineStr">
        <is>
          <t>10-yr cost in NET</t>
        </is>
      </c>
    </row>
    <row r="42" ht="15" customHeight="1" s="106">
      <c r="A42" s="197">
        <f>Capital_Items!A4</f>
        <v/>
      </c>
      <c r="B42" s="204">
        <f>Capital_Items!L4</f>
        <v/>
      </c>
      <c r="C42" s="205">
        <f>Capital_Items!D4</f>
        <v/>
      </c>
      <c r="D42" s="197">
        <f>Capital_Items!Q4</f>
        <v/>
      </c>
      <c r="E42" s="197">
        <f>Capital_Items!R4</f>
        <v/>
      </c>
      <c r="F42" s="197">
        <f>Capital_Items!S4</f>
        <v/>
      </c>
      <c r="G42" s="206">
        <f>Capital_Items!Y4+Capital_Items!AD4</f>
        <v/>
      </c>
    </row>
    <row r="43" ht="15" customHeight="1" s="106">
      <c r="A43" s="197">
        <f>Capital_Items!A5</f>
        <v/>
      </c>
      <c r="B43" s="204">
        <f>Capital_Items!L5</f>
        <v/>
      </c>
      <c r="C43" s="205">
        <f>Capital_Items!D5</f>
        <v/>
      </c>
      <c r="D43" s="197">
        <f>Capital_Items!Q5</f>
        <v/>
      </c>
      <c r="E43" s="197">
        <f>Capital_Items!R5</f>
        <v/>
      </c>
      <c r="F43" s="197">
        <f>Capital_Items!S5</f>
        <v/>
      </c>
      <c r="G43" s="206">
        <f>Capital_Items!Y5+Capital_Items!AD5</f>
        <v/>
      </c>
    </row>
    <row r="44" ht="15" customHeight="1" s="106">
      <c r="A44" s="197">
        <f>Capital_Items!A6</f>
        <v/>
      </c>
      <c r="B44" s="204">
        <f>Capital_Items!L6</f>
        <v/>
      </c>
      <c r="C44" s="205">
        <f>Capital_Items!D6</f>
        <v/>
      </c>
      <c r="D44" s="197">
        <f>Capital_Items!Q6</f>
        <v/>
      </c>
      <c r="E44" s="197">
        <f>Capital_Items!R6</f>
        <v/>
      </c>
      <c r="F44" s="197">
        <f>Capital_Items!S6</f>
        <v/>
      </c>
      <c r="G44" s="206">
        <f>Capital_Items!Y6+Capital_Items!AD6</f>
        <v/>
      </c>
    </row>
    <row r="45" ht="15" customHeight="1" s="106">
      <c r="A45" s="197">
        <f>Capital_Items!A7</f>
        <v/>
      </c>
      <c r="B45" s="204">
        <f>Capital_Items!L7</f>
        <v/>
      </c>
      <c r="C45" s="205">
        <f>Capital_Items!D7</f>
        <v/>
      </c>
      <c r="D45" s="197">
        <f>Capital_Items!Q7</f>
        <v/>
      </c>
      <c r="E45" s="197">
        <f>Capital_Items!R7</f>
        <v/>
      </c>
      <c r="F45" s="197">
        <f>Capital_Items!S7</f>
        <v/>
      </c>
      <c r="G45" s="206">
        <f>Capital_Items!Y7+Capital_Items!AD7</f>
        <v/>
      </c>
    </row>
    <row r="46" ht="15" customHeight="1" s="106">
      <c r="A46" s="197">
        <f>Capital_Items!A8</f>
        <v/>
      </c>
      <c r="B46" s="204">
        <f>Capital_Items!L8</f>
        <v/>
      </c>
      <c r="C46" s="205">
        <f>Capital_Items!D8</f>
        <v/>
      </c>
      <c r="D46" s="197">
        <f>Capital_Items!Q8</f>
        <v/>
      </c>
      <c r="E46" s="197">
        <f>Capital_Items!R8</f>
        <v/>
      </c>
      <c r="F46" s="197">
        <f>Capital_Items!S8</f>
        <v/>
      </c>
      <c r="G46" s="206">
        <f>Capital_Items!Y8+Capital_Items!AD8</f>
        <v/>
      </c>
    </row>
    <row r="47" ht="15" customHeight="1" s="106">
      <c r="A47" s="197">
        <f>Capital_Items!A9</f>
        <v/>
      </c>
      <c r="B47" s="204">
        <f>Capital_Items!L9</f>
        <v/>
      </c>
      <c r="C47" s="205">
        <f>Capital_Items!D9</f>
        <v/>
      </c>
      <c r="D47" s="197">
        <f>Capital_Items!Q9</f>
        <v/>
      </c>
      <c r="E47" s="197">
        <f>Capital_Items!R9</f>
        <v/>
      </c>
      <c r="F47" s="197">
        <f>Capital_Items!S9</f>
        <v/>
      </c>
      <c r="G47" s="206">
        <f>Capital_Items!Y9+Capital_Items!AD9</f>
        <v/>
      </c>
    </row>
    <row r="48" ht="15" customHeight="1" s="106">
      <c r="A48" s="197">
        <f>Capital_Items!A10</f>
        <v/>
      </c>
      <c r="B48" s="204">
        <f>Capital_Items!L10</f>
        <v/>
      </c>
      <c r="C48" s="205">
        <f>Capital_Items!D10</f>
        <v/>
      </c>
      <c r="D48" s="197">
        <f>Capital_Items!Q10</f>
        <v/>
      </c>
      <c r="E48" s="197">
        <f>Capital_Items!R10</f>
        <v/>
      </c>
      <c r="F48" s="197">
        <f>Capital_Items!S10</f>
        <v/>
      </c>
      <c r="G48" s="206">
        <f>Capital_Items!Y10+Capital_Items!AD10</f>
        <v/>
      </c>
    </row>
    <row r="49" ht="15" customHeight="1" s="106">
      <c r="A49" s="197">
        <f>Capital_Items!A11</f>
        <v/>
      </c>
      <c r="B49" s="204">
        <f>Capital_Items!L11</f>
        <v/>
      </c>
      <c r="C49" s="205">
        <f>Capital_Items!D11</f>
        <v/>
      </c>
      <c r="D49" s="197">
        <f>Capital_Items!Q11</f>
        <v/>
      </c>
      <c r="E49" s="197">
        <f>Capital_Items!R11</f>
        <v/>
      </c>
      <c r="F49" s="197">
        <f>Capital_Items!S11</f>
        <v/>
      </c>
      <c r="G49" s="206">
        <f>Capital_Items!Y11+Capital_Items!AD11</f>
        <v/>
      </c>
    </row>
    <row r="50" ht="15" customHeight="1" s="106">
      <c r="A50" s="197">
        <f>Capital_Items!A12</f>
        <v/>
      </c>
      <c r="B50" s="204">
        <f>Capital_Items!L12</f>
        <v/>
      </c>
      <c r="C50" s="205">
        <f>Capital_Items!D12</f>
        <v/>
      </c>
      <c r="D50" s="197">
        <f>Capital_Items!Q12</f>
        <v/>
      </c>
      <c r="E50" s="197">
        <f>Capital_Items!R12</f>
        <v/>
      </c>
      <c r="F50" s="197">
        <f>Capital_Items!S12</f>
        <v/>
      </c>
      <c r="G50" s="206">
        <f>Capital_Items!Y12+Capital_Items!AD12</f>
        <v/>
      </c>
    </row>
    <row r="51" ht="15" customHeight="1" s="106">
      <c r="A51" s="197">
        <f>Capital_Items!A13</f>
        <v/>
      </c>
      <c r="B51" s="204">
        <f>Capital_Items!L13</f>
        <v/>
      </c>
      <c r="C51" s="205">
        <f>Capital_Items!D13</f>
        <v/>
      </c>
      <c r="D51" s="197">
        <f>Capital_Items!Q13</f>
        <v/>
      </c>
      <c r="E51" s="197">
        <f>Capital_Items!R13</f>
        <v/>
      </c>
      <c r="F51" s="197">
        <f>Capital_Items!S13</f>
        <v/>
      </c>
      <c r="G51" s="206">
        <f>Capital_Items!Y13+Capital_Items!AD13</f>
        <v/>
      </c>
    </row>
    <row r="52" ht="15" customHeight="1" s="106">
      <c r="A52" s="197">
        <f>Capital_Items!A14</f>
        <v/>
      </c>
      <c r="B52" s="204">
        <f>Capital_Items!L14</f>
        <v/>
      </c>
      <c r="C52" s="205">
        <f>Capital_Items!D14</f>
        <v/>
      </c>
      <c r="D52" s="197">
        <f>Capital_Items!Q14</f>
        <v/>
      </c>
      <c r="E52" s="197">
        <f>Capital_Items!R14</f>
        <v/>
      </c>
      <c r="F52" s="197">
        <f>Capital_Items!S14</f>
        <v/>
      </c>
      <c r="G52" s="206">
        <f>Capital_Items!Y14+Capital_Items!AD14</f>
        <v/>
      </c>
    </row>
    <row r="53" ht="15" customHeight="1" s="106">
      <c r="A53" s="197">
        <f>Capital_Items!A15</f>
        <v/>
      </c>
      <c r="B53" s="204">
        <f>Capital_Items!L15</f>
        <v/>
      </c>
      <c r="C53" s="205">
        <f>Capital_Items!D15</f>
        <v/>
      </c>
      <c r="D53" s="197">
        <f>Capital_Items!Q15</f>
        <v/>
      </c>
      <c r="E53" s="197">
        <f>Capital_Items!R15</f>
        <v/>
      </c>
      <c r="F53" s="197">
        <f>Capital_Items!S15</f>
        <v/>
      </c>
      <c r="G53" s="206">
        <f>Capital_Items!Y15+Capital_Items!AD15</f>
        <v/>
      </c>
    </row>
    <row r="54" ht="15" customHeight="1" s="106">
      <c r="A54" s="197">
        <f>Capital_Items!A16</f>
        <v/>
      </c>
      <c r="B54" s="204">
        <f>Capital_Items!L16</f>
        <v/>
      </c>
      <c r="C54" s="205">
        <f>Capital_Items!D16</f>
        <v/>
      </c>
      <c r="D54" s="197">
        <f>Capital_Items!Q16</f>
        <v/>
      </c>
      <c r="E54" s="197">
        <f>Capital_Items!R16</f>
        <v/>
      </c>
      <c r="F54" s="197">
        <f>Capital_Items!S16</f>
        <v/>
      </c>
      <c r="G54" s="206">
        <f>Capital_Items!Y16+Capital_Items!AD16</f>
        <v/>
      </c>
    </row>
    <row r="55" ht="15" customHeight="1" s="106">
      <c r="A55" s="197">
        <f>Capital_Items!A17</f>
        <v/>
      </c>
      <c r="B55" s="204">
        <f>Capital_Items!L17</f>
        <v/>
      </c>
      <c r="C55" s="205">
        <f>Capital_Items!D17</f>
        <v/>
      </c>
      <c r="D55" s="197">
        <f>Capital_Items!Q17</f>
        <v/>
      </c>
      <c r="E55" s="197">
        <f>Capital_Items!R17</f>
        <v/>
      </c>
      <c r="F55" s="197">
        <f>Capital_Items!S17</f>
        <v/>
      </c>
      <c r="G55" s="206">
        <f>Capital_Items!Y17+Capital_Items!AD17</f>
        <v/>
      </c>
    </row>
    <row r="56" ht="15" customHeight="1" s="106">
      <c r="A56" s="197">
        <f>Capital_Items!A18</f>
        <v/>
      </c>
      <c r="B56" s="204">
        <f>Capital_Items!L18</f>
        <v/>
      </c>
      <c r="C56" s="205">
        <f>Capital_Items!D18</f>
        <v/>
      </c>
      <c r="D56" s="197">
        <f>Capital_Items!Q18</f>
        <v/>
      </c>
      <c r="E56" s="197">
        <f>Capital_Items!R18</f>
        <v/>
      </c>
      <c r="F56" s="197">
        <f>Capital_Items!S18</f>
        <v/>
      </c>
      <c r="G56" s="206">
        <f>Capital_Items!Y18+Capital_Items!AD18</f>
        <v/>
      </c>
    </row>
    <row r="57" ht="15" customHeight="1" s="106">
      <c r="A57" s="197">
        <f>Capital_Items!A19</f>
        <v/>
      </c>
      <c r="B57" s="204">
        <f>Capital_Items!L19</f>
        <v/>
      </c>
      <c r="C57" s="205">
        <f>Capital_Items!D19</f>
        <v/>
      </c>
      <c r="D57" s="197">
        <f>Capital_Items!Q19</f>
        <v/>
      </c>
      <c r="E57" s="197">
        <f>Capital_Items!R19</f>
        <v/>
      </c>
      <c r="F57" s="197">
        <f>Capital_Items!S19</f>
        <v/>
      </c>
      <c r="G57" s="206">
        <f>Capital_Items!Y19+Capital_Items!AD19</f>
        <v/>
      </c>
    </row>
    <row r="58" ht="15" customHeight="1" s="106">
      <c r="A58" s="197">
        <f>Capital_Items!A20</f>
        <v/>
      </c>
      <c r="B58" s="204">
        <f>Capital_Items!L20</f>
        <v/>
      </c>
      <c r="C58" s="205">
        <f>Capital_Items!D20</f>
        <v/>
      </c>
      <c r="D58" s="197">
        <f>Capital_Items!Q20</f>
        <v/>
      </c>
      <c r="E58" s="197">
        <f>Capital_Items!R20</f>
        <v/>
      </c>
      <c r="F58" s="197">
        <f>Capital_Items!S20</f>
        <v/>
      </c>
      <c r="G58" s="206">
        <f>Capital_Items!Y20+Capital_Items!AD20</f>
        <v/>
      </c>
    </row>
    <row r="59" ht="15" customHeight="1" s="106">
      <c r="A59" s="197">
        <f>Capital_Items!A21</f>
        <v/>
      </c>
      <c r="B59" s="204">
        <f>Capital_Items!L21</f>
        <v/>
      </c>
      <c r="C59" s="205">
        <f>Capital_Items!D21</f>
        <v/>
      </c>
      <c r="D59" s="197">
        <f>Capital_Items!Q21</f>
        <v/>
      </c>
      <c r="E59" s="197">
        <f>Capital_Items!R21</f>
        <v/>
      </c>
      <c r="F59" s="197">
        <f>Capital_Items!S21</f>
        <v/>
      </c>
      <c r="G59" s="206">
        <f>Capital_Items!Y21+Capital_Items!AD21</f>
        <v/>
      </c>
    </row>
    <row r="60" ht="15" customHeight="1" s="106">
      <c r="A60" s="197">
        <f>Capital_Items!A22</f>
        <v/>
      </c>
      <c r="B60" s="204">
        <f>Capital_Items!L22</f>
        <v/>
      </c>
      <c r="C60" s="205">
        <f>Capital_Items!D22</f>
        <v/>
      </c>
      <c r="D60" s="197">
        <f>Capital_Items!Q22</f>
        <v/>
      </c>
      <c r="E60" s="197">
        <f>Capital_Items!R22</f>
        <v/>
      </c>
      <c r="F60" s="197">
        <f>Capital_Items!S22</f>
        <v/>
      </c>
      <c r="G60" s="206">
        <f>Capital_Items!Y22+Capital_Items!AD22</f>
        <v/>
      </c>
    </row>
    <row r="61" ht="15" customHeight="1" s="106">
      <c r="A61" s="197">
        <f>Capital_Items!A23</f>
        <v/>
      </c>
      <c r="B61" s="204">
        <f>Capital_Items!L23</f>
        <v/>
      </c>
      <c r="C61" s="205">
        <f>Capital_Items!D23</f>
        <v/>
      </c>
      <c r="D61" s="197">
        <f>Capital_Items!Q23</f>
        <v/>
      </c>
      <c r="E61" s="197">
        <f>Capital_Items!R23</f>
        <v/>
      </c>
      <c r="F61" s="197">
        <f>Capital_Items!S23</f>
        <v/>
      </c>
      <c r="G61" s="206">
        <f>Capital_Items!Y23+Capital_Items!AD23</f>
        <v/>
      </c>
    </row>
    <row r="62" ht="15" customHeight="1" s="106">
      <c r="A62" s="197">
        <f>Capital_Items!A24</f>
        <v/>
      </c>
      <c r="B62" s="204">
        <f>Capital_Items!L24</f>
        <v/>
      </c>
      <c r="C62" s="205">
        <f>Capital_Items!D24</f>
        <v/>
      </c>
      <c r="D62" s="197">
        <f>Capital_Items!Q24</f>
        <v/>
      </c>
      <c r="E62" s="197">
        <f>Capital_Items!R24</f>
        <v/>
      </c>
      <c r="F62" s="197">
        <f>Capital_Items!S24</f>
        <v/>
      </c>
      <c r="G62" s="206">
        <f>Capital_Items!Y24+Capital_Items!AD24</f>
        <v/>
      </c>
    </row>
    <row r="63" ht="15" customHeight="1" s="106">
      <c r="A63" s="197">
        <f>Capital_Items!A25</f>
        <v/>
      </c>
      <c r="B63" s="204">
        <f>Capital_Items!L25</f>
        <v/>
      </c>
      <c r="C63" s="205">
        <f>Capital_Items!D25</f>
        <v/>
      </c>
      <c r="D63" s="197">
        <f>Capital_Items!Q25</f>
        <v/>
      </c>
      <c r="E63" s="197">
        <f>Capital_Items!R25</f>
        <v/>
      </c>
      <c r="F63" s="197">
        <f>Capital_Items!S25</f>
        <v/>
      </c>
      <c r="G63" s="206">
        <f>Capital_Items!Y25+Capital_Items!AD25</f>
        <v/>
      </c>
    </row>
    <row r="64" ht="15" customHeight="1" s="106">
      <c r="A64" s="197">
        <f>Capital_Items!A26</f>
        <v/>
      </c>
      <c r="B64" s="204">
        <f>Capital_Items!L26</f>
        <v/>
      </c>
      <c r="C64" s="205">
        <f>Capital_Items!D26</f>
        <v/>
      </c>
      <c r="D64" s="197">
        <f>Capital_Items!Q26</f>
        <v/>
      </c>
      <c r="E64" s="197">
        <f>Capital_Items!R26</f>
        <v/>
      </c>
      <c r="F64" s="197">
        <f>Capital_Items!S26</f>
        <v/>
      </c>
      <c r="G64" s="206">
        <f>Capital_Items!Y26+Capital_Items!AD26</f>
        <v/>
      </c>
    </row>
    <row r="65" ht="15" customHeight="1" s="106">
      <c r="A65" s="197">
        <f>Capital_Items!A27</f>
        <v/>
      </c>
      <c r="B65" s="204">
        <f>Capital_Items!L27</f>
        <v/>
      </c>
      <c r="C65" s="205">
        <f>Capital_Items!D27</f>
        <v/>
      </c>
      <c r="D65" s="197">
        <f>Capital_Items!Q27</f>
        <v/>
      </c>
      <c r="E65" s="197">
        <f>Capital_Items!R27</f>
        <v/>
      </c>
      <c r="F65" s="197">
        <f>Capital_Items!S27</f>
        <v/>
      </c>
      <c r="G65" s="206">
        <f>Capital_Items!Y27+Capital_Items!AD27</f>
        <v/>
      </c>
    </row>
    <row r="66" ht="15" customHeight="1" s="106">
      <c r="A66" s="197">
        <f>Capital_Items!A28</f>
        <v/>
      </c>
      <c r="B66" s="204">
        <f>Capital_Items!L28</f>
        <v/>
      </c>
      <c r="C66" s="205">
        <f>Capital_Items!D28</f>
        <v/>
      </c>
      <c r="D66" s="197">
        <f>Capital_Items!Q28</f>
        <v/>
      </c>
      <c r="E66" s="197">
        <f>Capital_Items!R28</f>
        <v/>
      </c>
      <c r="F66" s="197">
        <f>Capital_Items!S28</f>
        <v/>
      </c>
      <c r="G66" s="206">
        <f>Capital_Items!Y28+Capital_Items!AD28</f>
        <v/>
      </c>
    </row>
    <row r="67" ht="15" customHeight="1" s="106">
      <c r="A67" s="199" t="inlineStr">
        <is>
          <t>Total included infrastructure (10-yr): City</t>
        </is>
      </c>
      <c r="E67" s="200" t="n"/>
      <c r="G67" s="200">
        <f>Capital_Items!Y34</f>
        <v/>
      </c>
    </row>
    <row r="68" ht="15" customHeight="1" s="106">
      <c r="A68" s="199" t="inlineStr">
        <is>
          <t>Total included infrastructure (10-yr): ESD</t>
        </is>
      </c>
      <c r="E68" s="200" t="n"/>
      <c r="G68" s="200">
        <f>Capital_Items!AD35</f>
        <v/>
      </c>
    </row>
  </sheetData>
  <mergeCells count="8">
    <mergeCell ref="A2:F2"/>
    <mergeCell ref="A40:G40"/>
    <mergeCell ref="A14:F14"/>
    <mergeCell ref="A1:F1"/>
    <mergeCell ref="A32:F32"/>
    <mergeCell ref="A21:F21"/>
    <mergeCell ref="A7:F7"/>
    <mergeCell ref="A25:F25"/>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D9D2E9"/>
    <outlinePr summaryBelow="1" summaryRight="1"/>
    <pageSetUpPr/>
  </sheetPr>
  <dimension ref="A1:I69"/>
  <sheetViews>
    <sheetView zoomScaleNormal="100" workbookViewId="0">
      <selection activeCell="G21" sqref="G21"/>
    </sheetView>
  </sheetViews>
  <sheetFormatPr baseColWidth="8" defaultColWidth="8.6640625" defaultRowHeight="14.4"/>
  <cols>
    <col width="38" customWidth="1" style="106" min="1" max="1"/>
    <col width="23" customWidth="1" style="106" min="2" max="2"/>
    <col width="60.44140625" customWidth="1" style="106" min="3" max="3"/>
    <col width="11" customWidth="1" style="106" min="4" max="4"/>
    <col width="20.109375" customWidth="1" style="121" min="5" max="5"/>
    <col width="8" customWidth="1" style="106" min="6" max="6"/>
    <col width="12.33203125" customWidth="1" style="106" min="7" max="7"/>
    <col width="12" customWidth="1" style="106" min="8" max="8"/>
    <col width="203.109375" customWidth="1" style="111" min="9" max="9"/>
  </cols>
  <sheetData>
    <row r="1" ht="21.75" customHeight="1" s="106">
      <c r="A1" s="109" t="inlineStr">
        <is>
          <t>Source Log</t>
        </is>
      </c>
    </row>
    <row r="3" ht="15" customHeight="1" s="106">
      <c r="A3" s="201" t="inlineStr">
        <is>
          <t>Input</t>
        </is>
      </c>
      <c r="B3" s="201" t="inlineStr">
        <is>
          <t>Value</t>
        </is>
      </c>
      <c r="C3" s="201" t="inlineStr">
        <is>
          <t>Source / Basis</t>
        </is>
      </c>
      <c r="D3" s="201" t="inlineStr">
        <is>
          <t>Confidence</t>
        </is>
      </c>
      <c r="E3" s="201" t="inlineStr">
        <is>
          <t>Last Verified</t>
        </is>
      </c>
      <c r="F3" s="201" t="inlineStr">
        <is>
          <t>Staff?</t>
        </is>
      </c>
      <c r="G3" s="201" t="inlineStr">
        <is>
          <t>City Attorney?</t>
        </is>
      </c>
      <c r="H3" s="201" t="inlineStr">
        <is>
          <t>Comptroller?</t>
        </is>
      </c>
      <c r="I3" s="201" t="inlineStr">
        <is>
          <t>Notes</t>
        </is>
      </c>
    </row>
    <row r="4" ht="14.25" customFormat="1" customHeight="1" s="30">
      <c r="A4" s="27" t="inlineStr">
        <is>
          <t>Pool rate (combined-area)</t>
        </is>
      </c>
      <c r="B4" s="28">
        <f>'00_Inputs_Dashboard'!$B$20</f>
        <v/>
      </c>
      <c r="C4" s="27" t="inlineStr">
        <is>
          <t>Comptroller combined-area code 6008609 1.5%; 2.0% local cap</t>
        </is>
      </c>
      <c r="D4" s="27" t="inlineStr">
        <is>
          <t>High</t>
        </is>
      </c>
      <c r="E4" s="27" t="inlineStr">
        <is>
          <t>2026-05-14</t>
        </is>
      </c>
      <c r="F4" s="27" t="inlineStr">
        <is>
          <t>No</t>
        </is>
      </c>
      <c r="G4" s="27" t="inlineStr">
        <is>
          <t>No</t>
        </is>
      </c>
      <c r="H4" s="27" t="inlineStr">
        <is>
          <t>Yes</t>
        </is>
      </c>
      <c r="I4" s="29" t="inlineStr">
        <is>
          <t>Tex Tax Code Ch. 321</t>
        </is>
      </c>
    </row>
    <row r="5" ht="14.25" customFormat="1" customHeight="1" s="30">
      <c r="A5" s="27" t="inlineStr">
        <is>
          <t>Sealy current population</t>
        </is>
      </c>
      <c r="B5" s="31">
        <f>'00_Inputs_Dashboard'!$B$11</f>
        <v/>
      </c>
      <c r="C5" s="27" t="inlineStr">
        <is>
          <t>Sealy HB1378 §140.008 FY25 actual</t>
        </is>
      </c>
      <c r="D5" s="27" t="inlineStr">
        <is>
          <t>High</t>
        </is>
      </c>
      <c r="E5" s="27" t="inlineStr">
        <is>
          <t>2026-05-14 (FY25 ACFR)</t>
        </is>
      </c>
      <c r="F5" s="27" t="inlineStr">
        <is>
          <t>No</t>
        </is>
      </c>
      <c r="G5" s="27" t="inlineStr">
        <is>
          <t>No</t>
        </is>
      </c>
      <c r="H5" s="27" t="inlineStr">
        <is>
          <t>No</t>
        </is>
      </c>
      <c r="I5" s="29" t="inlineStr">
        <is>
          <t>Sealy HB1378 §140.008 FY25 (city-published). CROSS-VALIDATED via FY25 ACFR statistical section: 7,553 (2025), 7,243 (2024), 7,059 (2023), 6,839 (2022). Source: US Census ACS 5-yr.</t>
        </is>
      </c>
    </row>
    <row r="6" ht="14.25" customFormat="1" customHeight="1" s="30">
      <c r="A6" s="27" t="inlineStr">
        <is>
          <t>Population CAGR</t>
        </is>
      </c>
      <c r="B6" s="28">
        <f>'00_Inputs_Dashboard'!$B$12</f>
        <v/>
      </c>
      <c r="C6" s="27" t="inlineStr">
        <is>
          <t>Sealy HB1378 5-yr actual 6,450 → 7,553</t>
        </is>
      </c>
      <c r="D6" s="27" t="inlineStr">
        <is>
          <t>High</t>
        </is>
      </c>
      <c r="E6" s="27" t="inlineStr">
        <is>
          <t>2026-05-14 (FY25 ACFR)</t>
        </is>
      </c>
      <c r="F6" s="27" t="inlineStr">
        <is>
          <t>Yes</t>
        </is>
      </c>
      <c r="G6" s="27" t="inlineStr">
        <is>
          <t>No</t>
        </is>
      </c>
      <c r="H6" s="27" t="inlineStr">
        <is>
          <t>No</t>
        </is>
      </c>
      <c r="I6" s="29" t="inlineStr">
        <is>
          <t>Sealy HB1378 5-yr actual. CROSS-VALIDATED: FY25 ACFR 3-yr CAGR = (7,553/6,839)^(1/3)-1 = 3.36%. Model uses 3.2% — conservative.</t>
        </is>
      </c>
    </row>
    <row r="7" ht="27" customFormat="1" customHeight="1" s="30">
      <c r="A7" s="27" t="inlineStr">
        <is>
          <t>Current annual sales-tax pool</t>
        </is>
      </c>
      <c r="B7" s="32">
        <f>'00_Inputs_Dashboard'!$B$13</f>
        <v/>
      </c>
      <c r="C7" s="27" t="inlineStr">
        <is>
          <t>FY26 Adopted Budget; cross-validated FY25 actual $4.0M (Comptroller 53-mo); FY26 YTD pacing</t>
        </is>
      </c>
      <c r="D7" s="27" t="inlineStr">
        <is>
          <t>High</t>
        </is>
      </c>
      <c r="E7" s="27" t="inlineStr">
        <is>
          <t>2026-05-14 (FY25 ACFR)</t>
        </is>
      </c>
      <c r="F7" s="27" t="inlineStr">
        <is>
          <t>Yes</t>
        </is>
      </c>
      <c r="G7" s="27" t="inlineStr">
        <is>
          <t>No</t>
        </is>
      </c>
      <c r="H7" s="27" t="inlineStr">
        <is>
          <t>Yes</t>
        </is>
      </c>
      <c r="I7" s="29" t="inlineStr">
        <is>
          <t>FY26 Adopted Budget $3.7M. CROSS-VALIDATED: FY25 ACFR GF sales tax $2,756,699 (1.0% slice); implied 1.5% combined pool = $4.14M. Calendar 2025 Comptroller cash = $4.02M. Model conservative.</t>
        </is>
      </c>
    </row>
    <row r="8" ht="27" customFormat="1" customHeight="1" s="30">
      <c r="A8" s="27" t="inlineStr">
        <is>
          <t>Sales-tax pool CAGR</t>
        </is>
      </c>
      <c r="B8" s="28">
        <f>'00_Inputs_Dashboard'!$B$14</f>
        <v/>
      </c>
      <c r="C8" s="27" t="inlineStr">
        <is>
          <t>Sealy 12-yr Comptroller actual (6.5% long-run); trailing 3-yr is 9.4%; March 2026 YoY +39%</t>
        </is>
      </c>
      <c r="D8" s="27" t="inlineStr">
        <is>
          <t>High</t>
        </is>
      </c>
      <c r="E8" s="27" t="inlineStr">
        <is>
          <t>2026-05-14</t>
        </is>
      </c>
      <c r="F8" s="27" t="inlineStr">
        <is>
          <t>Yes</t>
        </is>
      </c>
      <c r="G8" s="27" t="inlineStr">
        <is>
          <t>No</t>
        </is>
      </c>
      <c r="H8" s="27" t="inlineStr">
        <is>
          <t>No</t>
        </is>
      </c>
      <c r="I8" s="29" t="inlineStr">
        <is>
          <t>6.5% = long-run mean. STRESS: trailing 3-yr CAGR is 9.4%; March 2026 YoY +39% (manufacturing-driven). Use 9% high-case sensitivity if needed.</t>
        </is>
      </c>
    </row>
    <row r="9" ht="14.25" customFormat="1" customHeight="1" s="30">
      <c r="A9" s="27" t="inlineStr">
        <is>
          <t>City property tax rate</t>
        </is>
      </c>
      <c r="B9" s="33">
        <f>'00_Inputs_Dashboard'!$B$21</f>
        <v/>
      </c>
      <c r="C9" s="27" t="inlineStr">
        <is>
          <t>Sealy FY26 Ord. 2025-24 $0.37731/$100</t>
        </is>
      </c>
      <c r="D9" s="27" t="inlineStr">
        <is>
          <t>High</t>
        </is>
      </c>
      <c r="E9" s="27" t="inlineStr">
        <is>
          <t>2026-05-14</t>
        </is>
      </c>
      <c r="F9" s="27" t="inlineStr">
        <is>
          <t>No</t>
        </is>
      </c>
      <c r="G9" s="27" t="inlineStr">
        <is>
          <t>No</t>
        </is>
      </c>
      <c r="H9" s="27" t="inlineStr">
        <is>
          <t>No</t>
        </is>
      </c>
      <c r="I9" s="29" t="inlineStr">
        <is>
          <t>Adopted</t>
        </is>
      </c>
    </row>
    <row r="10" ht="27" customFormat="1" customHeight="1" s="30">
      <c r="A10" s="27" t="inlineStr">
        <is>
          <t>ESD #2 ad valorem rate</t>
        </is>
      </c>
      <c r="B10" s="33">
        <f>'00_Inputs_Dashboard'!$B$22</f>
        <v/>
      </c>
      <c r="C10" s="27" t="inlineStr">
        <is>
          <t>Current adopted ESD #2 rate: $0.09310/$100 (2026 tax year). FY25 ACFR statistical section confirms historical: 2025=$0.09578, 2024=$0.09480, 2023=$0.099558.</t>
        </is>
      </c>
      <c r="D10" s="27" t="inlineStr">
        <is>
          <t>High</t>
        </is>
      </c>
      <c r="E10" s="27" t="inlineStr">
        <is>
          <t>2026-05-15</t>
        </is>
      </c>
      <c r="F10" s="27" t="inlineStr">
        <is>
          <t>No</t>
        </is>
      </c>
      <c r="G10" s="27" t="inlineStr">
        <is>
          <t>No</t>
        </is>
      </c>
      <c r="H10" s="27" t="inlineStr">
        <is>
          <t>No</t>
        </is>
      </c>
      <c r="I10" s="29" t="inlineStr">
        <is>
          <t>$0.09310 = 2026 current adopted rate (SB625 2026 filing entered 2026-02-26; Retreat at Sealy 2026 tax statement Acct 13818001). FY25 ACFR statistical section p.144 confirms 2025=$0.09578, 2024=$0.09480, 2023=$0.099558. Verify locally before public reliance.</t>
        </is>
      </c>
    </row>
    <row r="11" ht="14.25" customFormat="1" customHeight="1" s="30">
      <c r="A11" s="27" t="inlineStr">
        <is>
          <t>Sealy impact fee per LUE</t>
        </is>
      </c>
      <c r="B11" s="27" t="inlineStr">
        <is>
          <t>$7,165</t>
        </is>
      </c>
      <c r="C11" s="27" t="inlineStr">
        <is>
          <t>Sealy 2018 Strand Impact Fee Study (water+sewer adopted)</t>
        </is>
      </c>
      <c r="D11" s="27" t="inlineStr">
        <is>
          <t>High</t>
        </is>
      </c>
      <c r="E11" s="27" t="inlineStr">
        <is>
          <t>2026-05-14</t>
        </is>
      </c>
      <c r="F11" s="27" t="inlineStr">
        <is>
          <t>No</t>
        </is>
      </c>
      <c r="G11" s="27" t="inlineStr">
        <is>
          <t>No</t>
        </is>
      </c>
      <c r="H11" s="27" t="inlineStr">
        <is>
          <t>No</t>
        </is>
      </c>
      <c r="I11" s="29" t="inlineStr">
        <is>
          <t>Adopted by Council 2018</t>
        </is>
      </c>
    </row>
    <row r="12" ht="14.25" customFormat="1" customHeight="1" s="30">
      <c r="A12" s="27" t="inlineStr">
        <is>
          <t>MFR AV per unit</t>
        </is>
      </c>
      <c r="B12" s="27" t="inlineStr">
        <is>
          <t>$80K/unit</t>
        </is>
      </c>
      <c r="C12" s="27" t="inlineStr">
        <is>
          <t>Retreat at Sealy actual ($19.89M/250u/11.3ac)</t>
        </is>
      </c>
      <c r="D12" s="27" t="inlineStr">
        <is>
          <t>High</t>
        </is>
      </c>
      <c r="E12" s="27" t="inlineStr">
        <is>
          <t>2026-05-14</t>
        </is>
      </c>
      <c r="F12" s="27" t="inlineStr">
        <is>
          <t>No</t>
        </is>
      </c>
      <c r="G12" s="27" t="inlineStr">
        <is>
          <t>No</t>
        </is>
      </c>
      <c r="H12" s="27" t="inlineStr">
        <is>
          <t>No</t>
        </is>
      </c>
      <c r="I12" s="29" t="inlineStr">
        <is>
          <t>Tax statement source</t>
        </is>
      </c>
    </row>
    <row r="13" ht="27" customFormat="1" customHeight="1" s="30">
      <c r="A13" s="27" t="inlineStr">
        <is>
          <t>Sealy FY26 fiscal-strength context</t>
        </is>
      </c>
      <c r="B13" s="27" t="inlineStr">
        <is>
          <t>403 operating days @ Mar 31, 2026</t>
        </is>
      </c>
      <c r="C13" s="27" t="inlineStr">
        <is>
          <t>5/19/2026 council packet Financial Report (Matura)</t>
        </is>
      </c>
      <c r="D13" s="27" t="inlineStr">
        <is>
          <t>High</t>
        </is>
      </c>
      <c r="E13" s="27" t="inlineStr">
        <is>
          <t>2026-05-14</t>
        </is>
      </c>
      <c r="F13" s="27" t="inlineStr">
        <is>
          <t>No</t>
        </is>
      </c>
      <c r="G13" s="27" t="inlineStr">
        <is>
          <t>No</t>
        </is>
      </c>
      <c r="H13" s="27" t="inlineStr">
        <is>
          <t>No</t>
        </is>
      </c>
      <c r="I13" s="29" t="inlineStr">
        <is>
          <t>City at 403 days operating reserve, up from 239 in Oct 2025. Revenue at 85.52% of FY26 budget at 50% of fiscal year. Property tax 104.57% collected, sales tax 99.68%. NEGOTIATION CONTEXT for ESD #2 ILA.</t>
        </is>
      </c>
    </row>
    <row r="14" ht="14.25" customFormat="1" customHeight="1" s="30">
      <c r="A14" s="27" t="inlineStr">
        <is>
          <t>Sealy FY25 GF revenue actual</t>
        </is>
      </c>
      <c r="B14" s="27" t="inlineStr">
        <is>
          <t>$10,300,940</t>
        </is>
      </c>
      <c r="C14" s="27" t="inlineStr">
        <is>
          <t>Sealy FY25 ACFR (acfr_fy2025.pdf, 185pp)</t>
        </is>
      </c>
      <c r="D14" s="27" t="inlineStr">
        <is>
          <t>High</t>
        </is>
      </c>
      <c r="E14" s="27" t="inlineStr">
        <is>
          <t>2026-05-14</t>
        </is>
      </c>
      <c r="F14" s="27" t="inlineStr">
        <is>
          <t>No</t>
        </is>
      </c>
      <c r="G14" s="27" t="inlineStr">
        <is>
          <t>No</t>
        </is>
      </c>
      <c r="H14" s="27" t="inlineStr">
        <is>
          <t>No</t>
        </is>
      </c>
      <c r="I14" s="29" t="inlineStr">
        <is>
          <t>Cross-validation input. FY26 budgeted GF revenue is conservative at approximately $8.9M (implied from 85.52% YTD).</t>
        </is>
      </c>
    </row>
    <row r="15" ht="27" customFormat="1" customHeight="1" s="30">
      <c r="A15" s="27" t="inlineStr">
        <is>
          <t>City PT rate FY25 vs FY26 trajectory</t>
        </is>
      </c>
      <c r="B15" s="27" t="inlineStr">
        <is>
          <t>FY26=$0.37731, FY25=$0.31091</t>
        </is>
      </c>
      <c r="C15" s="27" t="inlineStr">
        <is>
          <t>FY25 ACFR statistical section (FY25 op rate $0.196930 + debt service $0.11398)</t>
        </is>
      </c>
      <c r="D15" s="27" t="inlineStr">
        <is>
          <t>High</t>
        </is>
      </c>
      <c r="E15" s="27" t="inlineStr">
        <is>
          <t>2026-05-14</t>
        </is>
      </c>
      <c r="F15" s="27" t="inlineStr">
        <is>
          <t>No</t>
        </is>
      </c>
      <c r="G15" s="27" t="inlineStr">
        <is>
          <t>No</t>
        </is>
      </c>
      <c r="H15" s="27" t="inlineStr">
        <is>
          <t>No</t>
        </is>
      </c>
      <c r="I15" s="29" t="inlineStr">
        <is>
          <t>City PT rate rose 21% YoY (FY25→FY26) tied to new $20M CO issuance. Higher PT revenue strengthens city fiscal position; relevant negotiation context.</t>
        </is>
      </c>
    </row>
    <row r="16" ht="41.25" customFormat="1" customHeight="1" s="30">
      <c r="A16" s="27" t="inlineStr">
        <is>
          <t>Walmart taxpayer concentration risk</t>
        </is>
      </c>
      <c r="B16" s="27" t="inlineStr">
        <is>
          <t>$130.6M = 14.8% of city AV</t>
        </is>
      </c>
      <c r="C16" s="27" t="inlineStr">
        <is>
          <t>FY25 ACFR principal taxpayer list (Wal-Mart Stores East US07036 #2 $74.3M + Wal-Mart Transportation #5 $28.6M + Wal-Mart Stores East US07036 #6 $27.7M)</t>
        </is>
      </c>
      <c r="D16" s="27" t="inlineStr">
        <is>
          <t>High</t>
        </is>
      </c>
      <c r="E16" s="27" t="inlineStr">
        <is>
          <t>2026-05-14</t>
        </is>
      </c>
      <c r="F16" s="27" t="inlineStr">
        <is>
          <t>No</t>
        </is>
      </c>
      <c r="G16" s="27" t="inlineStr">
        <is>
          <t>No</t>
        </is>
      </c>
      <c r="H16" s="27" t="inlineStr">
        <is>
          <t>No</t>
        </is>
      </c>
      <c r="I16" s="29" t="inlineStr">
        <is>
          <t>Top 10 taxpayers = 43.89% of $783.9M total AV. Walmart entities alone = 14.8%. Sealy's tax base is concentrated; ILA terms should account for downside risk if Walmart DC contracts.</t>
        </is>
      </c>
    </row>
    <row r="17" ht="14.25" customFormat="1" customHeight="1" s="30">
      <c r="A17" s="27" t="inlineStr">
        <is>
          <t>Sealy FY25 total city AV</t>
        </is>
      </c>
      <c r="B17" s="27" t="inlineStr">
        <is>
          <t>$783,888,923</t>
        </is>
      </c>
      <c r="C17" s="27" t="inlineStr">
        <is>
          <t>FY25 ACFR statistical section</t>
        </is>
      </c>
      <c r="D17" s="27" t="inlineStr">
        <is>
          <t>High</t>
        </is>
      </c>
      <c r="E17" s="27" t="inlineStr">
        <is>
          <t>2026-05-14</t>
        </is>
      </c>
      <c r="F17" s="27" t="inlineStr">
        <is>
          <t>No</t>
        </is>
      </c>
      <c r="G17" s="27" t="inlineStr">
        <is>
          <t>No</t>
        </is>
      </c>
      <c r="H17" s="27" t="inlineStr">
        <is>
          <t>No</t>
        </is>
      </c>
      <c r="I17" s="29" t="inlineStr">
        <is>
          <t>Total city AV (governmental purposes). Stable around $780-800M last 4 years despite taxpayer churn (BAE left 2016-2025, Hailiang+Walmart+Gamechange added). AV per capita actually declined 2022-2025 due to population growth outpacing AV growth.</t>
        </is>
      </c>
    </row>
    <row r="18" ht="14.25" customFormat="1" customHeight="1" s="30">
      <c r="A18" s="27" t="inlineStr">
        <is>
          <t>Sealy FY25 debt issuance</t>
        </is>
      </c>
      <c r="B18" s="27" t="inlineStr">
        <is>
          <t>$20.7M (CO + premium)</t>
        </is>
      </c>
      <c r="C18" s="27" t="inlineStr">
        <is>
          <t>FY25 ACFR statistical section + debt service detail</t>
        </is>
      </c>
      <c r="D18" s="27" t="inlineStr">
        <is>
          <t>High</t>
        </is>
      </c>
      <c r="E18" s="27" t="inlineStr">
        <is>
          <t>2026-05-14</t>
        </is>
      </c>
      <c r="F18" s="27" t="inlineStr">
        <is>
          <t>No</t>
        </is>
      </c>
      <c r="G18" s="27" t="inlineStr">
        <is>
          <t>No</t>
        </is>
      </c>
      <c r="H18" s="27" t="inlineStr">
        <is>
          <t>No</t>
        </is>
      </c>
      <c r="I18" s="29" t="inlineStr">
        <is>
          <t>Sealy issued $19.91M in new COs + $807K premium = $20.72M proceeds in FY25. Drives the FY26 PT rate increase to $0.37731. Capital projects expanding — context for fiscal-strength position.</t>
        </is>
      </c>
    </row>
    <row r="19" ht="27" customFormat="1" customHeight="1" s="30">
      <c r="A19" s="27" t="inlineStr">
        <is>
          <t>Industrial AV per acre validation</t>
        </is>
      </c>
      <c r="B19" s="27" t="inlineStr">
        <is>
          <t>$750K/ac (model)</t>
        </is>
      </c>
      <c r="C19" s="27" t="inlineStr">
        <is>
          <t>Sika Corp FY25 ACFR: $18.72M / ~25ac developed = $749K/ac. Hailiang Copper $87.75M (#1 taxpayer).</t>
        </is>
      </c>
      <c r="D19" s="27" t="inlineStr">
        <is>
          <t>High (SOLID)</t>
        </is>
      </c>
      <c r="E19" s="27" t="inlineStr">
        <is>
          <t>2026-05-14 (FY25 ACFR)</t>
        </is>
      </c>
      <c r="F19" s="27" t="inlineStr">
        <is>
          <t>No</t>
        </is>
      </c>
      <c r="G19" s="27" t="inlineStr">
        <is>
          <t>No</t>
        </is>
      </c>
      <c r="H19" s="27" t="inlineStr">
        <is>
          <t>No</t>
        </is>
      </c>
      <c r="I19" s="29" t="inlineStr">
        <is>
          <t>Triple-validated: Sika exact match. Hailiang at $878K/ac (~100ac) is higher-end. Model assumption sits within observed range.</t>
        </is>
      </c>
    </row>
    <row r="20" ht="14.25" customFormat="1" customHeight="1" s="30">
      <c r="A20" s="27" t="inlineStr">
        <is>
          <t>MFR AV per unit validation</t>
        </is>
      </c>
      <c r="B20" s="27" t="inlineStr">
        <is>
          <t>$80K/unit (model)</t>
        </is>
      </c>
      <c r="C20" s="27" t="inlineStr">
        <is>
          <t>Retreat at Sealy FY25 ACFR: $19.3M / ~250 units = $77K/unit</t>
        </is>
      </c>
      <c r="D20" s="27" t="inlineStr">
        <is>
          <t>High (SOLID)</t>
        </is>
      </c>
      <c r="E20" s="27" t="inlineStr">
        <is>
          <t>2026-05-14 (FY25 ACFR)</t>
        </is>
      </c>
      <c r="F20" s="27" t="inlineStr">
        <is>
          <t>No</t>
        </is>
      </c>
      <c r="G20" s="27" t="inlineStr">
        <is>
          <t>No</t>
        </is>
      </c>
      <c r="H20" s="27" t="inlineStr">
        <is>
          <t>No</t>
        </is>
      </c>
      <c r="I20" s="29" t="inlineStr">
        <is>
          <t>Within 4% of model assumption. Validated.</t>
        </is>
      </c>
    </row>
    <row r="21" ht="14.25" customFormat="1" customHeight="1" s="30">
      <c r="A21" s="27" t="inlineStr">
        <is>
          <t>EDC retention (carve-out)</t>
        </is>
      </c>
      <c r="B21" s="34">
        <f>'00_Inputs_Dashboard'!$B$6</f>
        <v/>
      </c>
      <c r="C21" s="27" t="inlineStr">
        <is>
          <t>Tex LGC Ch. 505 Type B / Sealy EDC. 0% is a MODELED ASSUMPTION ONLY.</t>
        </is>
      </c>
      <c r="D21" s="27" t="inlineStr">
        <is>
          <t>Low</t>
        </is>
      </c>
      <c r="E21" s="27" t="inlineStr">
        <is>
          <t>2026-05-14</t>
        </is>
      </c>
      <c r="F21" s="27" t="inlineStr">
        <is>
          <t>Yes</t>
        </is>
      </c>
      <c r="G21" s="27" t="inlineStr">
        <is>
          <t>Yes</t>
        </is>
      </c>
      <c r="H21" s="27" t="inlineStr">
        <is>
          <t>No</t>
        </is>
      </c>
      <c r="I21" s="29" t="inlineStr">
        <is>
          <t>Modeled assumption only; subject to City Attorney confirmation. Do NOT treat as legally resolved.</t>
        </is>
      </c>
    </row>
    <row r="22" ht="14.25" customFormat="1" customHeight="1" s="30">
      <c r="A22" s="27" t="inlineStr">
        <is>
          <t>Project capture rate</t>
        </is>
      </c>
      <c r="B22" s="34">
        <f>'00_Inputs_Dashboard'!$B$16</f>
        <v/>
      </c>
      <c r="C22" s="27" t="inlineStr">
        <is>
          <t>Planning benchmark; per-project adjustable</t>
        </is>
      </c>
      <c r="D22" s="27" t="inlineStr">
        <is>
          <t>Low</t>
        </is>
      </c>
      <c r="E22" s="27" t="inlineStr">
        <is>
          <t>2026-05-14</t>
        </is>
      </c>
      <c r="F22" s="27" t="inlineStr">
        <is>
          <t>Yes</t>
        </is>
      </c>
      <c r="G22" s="27" t="inlineStr">
        <is>
          <t>No</t>
        </is>
      </c>
      <c r="H22" s="27" t="inlineStr">
        <is>
          <t>No</t>
        </is>
      </c>
      <c r="I22" s="29" t="inlineStr">
        <is>
          <t>Per-project override</t>
        </is>
      </c>
    </row>
    <row r="23" ht="14.25" customFormat="1" customHeight="1" s="30">
      <c r="A23" s="27" t="inlineStr">
        <is>
          <t>City reserve %</t>
        </is>
      </c>
      <c r="B23" s="28">
        <f>'00_Inputs_Dashboard'!$B$25</f>
        <v/>
      </c>
      <c r="C23" s="27" t="inlineStr">
        <is>
          <t>Planning benchmark; applied to City basis</t>
        </is>
      </c>
      <c r="D23" s="27" t="inlineStr">
        <is>
          <t>Low</t>
        </is>
      </c>
      <c r="E23" s="27" t="inlineStr">
        <is>
          <t>2026-05-14</t>
        </is>
      </c>
      <c r="F23" s="27" t="inlineStr">
        <is>
          <t>Yes</t>
        </is>
      </c>
      <c r="G23" s="27" t="inlineStr">
        <is>
          <t>No</t>
        </is>
      </c>
      <c r="H23" s="27" t="inlineStr">
        <is>
          <t>No</t>
        </is>
      </c>
      <c r="I23" s="29" t="inlineStr">
        <is>
          <t>Adjust per policy</t>
        </is>
      </c>
    </row>
    <row r="24" ht="14.25" customFormat="1" customHeight="1" s="30">
      <c r="A24" s="27" t="inlineStr">
        <is>
          <t>ESD reserve %</t>
        </is>
      </c>
      <c r="B24" s="28">
        <f>'00_Inputs_Dashboard'!$B$26</f>
        <v/>
      </c>
      <c r="C24" s="27" t="inlineStr">
        <is>
          <t>Planning benchmark; applied to ESD basis</t>
        </is>
      </c>
      <c r="D24" s="27" t="inlineStr">
        <is>
          <t>Low</t>
        </is>
      </c>
      <c r="E24" s="27" t="inlineStr">
        <is>
          <t>2026-05-14</t>
        </is>
      </c>
      <c r="F24" s="27" t="inlineStr">
        <is>
          <t>No</t>
        </is>
      </c>
      <c r="G24" s="27" t="inlineStr">
        <is>
          <t>No</t>
        </is>
      </c>
      <c r="H24" s="27" t="inlineStr">
        <is>
          <t>No</t>
        </is>
      </c>
      <c r="I24" s="29" t="inlineStr">
        <is>
          <t>ESD-side</t>
        </is>
      </c>
    </row>
    <row r="25" ht="14.25" customFormat="1" customHeight="1" s="30">
      <c r="A25" s="27" t="inlineStr">
        <is>
          <t>Online spend per occupied household</t>
        </is>
      </c>
      <c r="B25" s="32">
        <f>'00_Inputs_Dashboard'!$B$34</f>
        <v/>
      </c>
      <c r="C25" s="27" t="inlineStr">
        <is>
          <t>BASE $6,000/HH; Conservative $4K; High $8K</t>
        </is>
      </c>
      <c r="D25" s="27" t="inlineStr">
        <is>
          <t>Low</t>
        </is>
      </c>
      <c r="E25" s="27" t="inlineStr">
        <is>
          <t>2026-05-14</t>
        </is>
      </c>
      <c r="F25" s="27" t="inlineStr">
        <is>
          <t>Yes</t>
        </is>
      </c>
      <c r="G25" s="27" t="inlineStr">
        <is>
          <t>No</t>
        </is>
      </c>
      <c r="H25" s="27" t="inlineStr">
        <is>
          <t>No</t>
        </is>
      </c>
      <c r="I25" s="29" t="inlineStr">
        <is>
          <t>Low-confidence planning assumption; sensitivity $4K-$8K</t>
        </is>
      </c>
    </row>
    <row r="26" ht="20.25" customFormat="1" customHeight="1" s="30">
      <c r="A26" s="27" t="inlineStr">
        <is>
          <t>Online taxable share</t>
        </is>
      </c>
      <c r="B26" s="34">
        <f>'00_Inputs_Dashboard'!$B$35</f>
        <v/>
      </c>
      <c r="C26" s="27" t="inlineStr">
        <is>
          <t>Base-case assumption shown on Inputs Dashboard; depends on marketplace facilitator scope</t>
        </is>
      </c>
      <c r="D26" s="27" t="inlineStr">
        <is>
          <t>Low</t>
        </is>
      </c>
      <c r="E26" s="27" t="inlineStr">
        <is>
          <t>2026-05-14</t>
        </is>
      </c>
      <c r="F26" s="27" t="inlineStr">
        <is>
          <t>Yes</t>
        </is>
      </c>
      <c r="G26" s="27" t="inlineStr">
        <is>
          <t>Yes</t>
        </is>
      </c>
      <c r="H26" s="27" t="inlineStr">
        <is>
          <t>Yes</t>
        </is>
      </c>
      <c r="I26" s="29" t="inlineStr">
        <is>
          <t>Low-confidence; depends on marketplace facilitator scope</t>
        </is>
      </c>
    </row>
    <row r="27" ht="14.25" customFormat="1" customHeight="1" s="30">
      <c r="A27" s="27" t="inlineStr">
        <is>
          <t>Online local capture factor</t>
        </is>
      </c>
      <c r="B27" s="34">
        <f>'00_Inputs_Dashboard'!$B$36</f>
        <v/>
      </c>
      <c r="C27" s="27" t="inlineStr">
        <is>
          <t>BASE 75%; ship-to address mapping to combined area</t>
        </is>
      </c>
      <c r="D27" s="27" t="inlineStr">
        <is>
          <t>Low</t>
        </is>
      </c>
      <c r="E27" s="27" t="inlineStr">
        <is>
          <t>2026-05-14</t>
        </is>
      </c>
      <c r="F27" s="27" t="inlineStr">
        <is>
          <t>Yes</t>
        </is>
      </c>
      <c r="G27" s="27" t="inlineStr">
        <is>
          <t>No</t>
        </is>
      </c>
      <c r="H27" s="27" t="inlineStr">
        <is>
          <t>Yes</t>
        </is>
      </c>
      <c r="I27" s="29" t="inlineStr">
        <is>
          <t>Low-confidence; depends on ship-to address accuracy</t>
        </is>
      </c>
    </row>
    <row r="28" ht="14.25" customFormat="1" customHeight="1" s="30">
      <c r="A28" s="27" t="inlineStr">
        <is>
          <t>Online spend growth rate</t>
        </is>
      </c>
      <c r="B28" s="28">
        <f>'00_Inputs_Dashboard'!$B$37</f>
        <v/>
      </c>
      <c r="C28" s="27" t="inlineStr">
        <is>
          <t>Annual real growth 4%/yr</t>
        </is>
      </c>
      <c r="D28" s="27" t="inlineStr">
        <is>
          <t>Low</t>
        </is>
      </c>
      <c r="E28" s="27" t="inlineStr">
        <is>
          <t>2026-05-14</t>
        </is>
      </c>
      <c r="F28" s="27" t="inlineStr">
        <is>
          <t>Yes</t>
        </is>
      </c>
      <c r="G28" s="27" t="inlineStr">
        <is>
          <t>No</t>
        </is>
      </c>
      <c r="H28" s="27" t="inlineStr">
        <is>
          <t>No</t>
        </is>
      </c>
      <c r="I28" s="29" t="inlineStr">
        <is>
          <t>Low-confidence forward projection</t>
        </is>
      </c>
    </row>
    <row r="29" ht="28.5" customFormat="1" customHeight="1" s="30">
      <c r="A29" s="35" t="inlineStr">
        <is>
          <t>Infrastructure takeoff factors</t>
        </is>
      </c>
      <c r="B29" s="35" t="inlineStr">
        <is>
          <t>See 12_Takeoff_Assumptions</t>
        </is>
      </c>
      <c r="C29" s="35" t="inlineStr">
        <is>
          <t>Planning benchmarks; not engineer-certified; informational unless linked</t>
        </is>
      </c>
      <c r="D29" s="35" t="inlineStr">
        <is>
          <t>Low</t>
        </is>
      </c>
      <c r="E29" s="35" t="inlineStr">
        <is>
          <t>2026-05-15</t>
        </is>
      </c>
      <c r="F29" s="35" t="inlineStr">
        <is>
          <t>Yes</t>
        </is>
      </c>
      <c r="G29" s="35" t="inlineStr">
        <is>
          <t>No</t>
        </is>
      </c>
      <c r="H29" s="35" t="inlineStr">
        <is>
          <t>No</t>
        </is>
      </c>
      <c r="I29" s="36" t="inlineStr">
        <is>
          <t>Water/sewer/street/hydrant/park/police/ESD factors require Public Works, engineer, ESD, and staff validation before public reliance.</t>
        </is>
      </c>
    </row>
    <row r="30" ht="28.5" customFormat="1" customHeight="1" s="30">
      <c r="A30" s="35" t="inlineStr">
        <is>
          <t>Infrastructure takeoff costs</t>
        </is>
      </c>
      <c r="B30" s="35" t="inlineStr">
        <is>
          <t>See 11_Infrastructure_Takeoff</t>
        </is>
      </c>
      <c r="C30" s="35" t="inlineStr">
        <is>
          <t>Unit-cost planning allowances; not included in City/ESD NET unless explicitly linked</t>
        </is>
      </c>
      <c r="D30" s="35" t="inlineStr">
        <is>
          <t>Low</t>
        </is>
      </c>
      <c r="E30" s="35" t="inlineStr">
        <is>
          <t>2026-05-15</t>
        </is>
      </c>
      <c r="F30" s="35" t="inlineStr">
        <is>
          <t>Yes</t>
        </is>
      </c>
      <c r="G30" s="35" t="inlineStr">
        <is>
          <t>No</t>
        </is>
      </c>
      <c r="H30" s="35" t="inlineStr">
        <is>
          <t>No</t>
        </is>
      </c>
      <c r="I30" s="36" t="inlineStr">
        <is>
          <t>Takeoff costs are displayed as informational physical exposure only to avoid double-counting with existing opex/capital logic.</t>
        </is>
      </c>
    </row>
    <row r="31" ht="14.25" customFormat="1" customHeight="1" s="30">
      <c r="A31" s="27" t="inlineStr">
        <is>
          <t>AV growth CAGR</t>
        </is>
      </c>
      <c r="B31" s="28">
        <f>'00_Inputs_Dashboard'!$B$15</f>
        <v/>
      </c>
      <c r="C31" s="27" t="inlineStr">
        <is>
          <t>Sealy HB1378-derived; 5-yr was 7.3%</t>
        </is>
      </c>
      <c r="D31" s="27" t="inlineStr">
        <is>
          <t>Medium</t>
        </is>
      </c>
      <c r="E31" s="27" t="inlineStr">
        <is>
          <t>2026-05-14</t>
        </is>
      </c>
      <c r="F31" s="27" t="inlineStr">
        <is>
          <t>Yes</t>
        </is>
      </c>
      <c r="G31" s="27" t="inlineStr">
        <is>
          <t>No</t>
        </is>
      </c>
      <c r="H31" s="27" t="inlineStr">
        <is>
          <t>No</t>
        </is>
      </c>
      <c r="I31" s="29" t="inlineStr">
        <is>
          <t>Forward assumption</t>
        </is>
      </c>
    </row>
    <row r="32" ht="14.25" customFormat="1" customHeight="1" s="30">
      <c r="A32" s="27" t="inlineStr">
        <is>
          <t>General opex inflation</t>
        </is>
      </c>
      <c r="B32" s="28">
        <f>'00_Inputs_Dashboard'!$B$23</f>
        <v/>
      </c>
      <c r="C32" s="27" t="inlineStr">
        <is>
          <t>TML benchmark 2.5%</t>
        </is>
      </c>
      <c r="D32" s="27" t="inlineStr">
        <is>
          <t>Medium</t>
        </is>
      </c>
      <c r="E32" s="27" t="inlineStr">
        <is>
          <t>2026-05-14</t>
        </is>
      </c>
      <c r="F32" s="27" t="inlineStr">
        <is>
          <t>Yes</t>
        </is>
      </c>
      <c r="G32" s="27" t="inlineStr">
        <is>
          <t>No</t>
        </is>
      </c>
      <c r="H32" s="27" t="inlineStr">
        <is>
          <t>No</t>
        </is>
      </c>
      <c r="I32" s="29" t="inlineStr">
        <is>
          <t>Recurring</t>
        </is>
      </c>
    </row>
    <row r="33" ht="14.25" customFormat="1" customHeight="1" s="30">
      <c r="A33" s="27" t="inlineStr">
        <is>
          <t>Capital construction inflation</t>
        </is>
      </c>
      <c r="B33" s="28">
        <f>'00_Inputs_Dashboard'!$B$24</f>
        <v/>
      </c>
      <c r="C33" s="27" t="inlineStr">
        <is>
          <t>Maxxbuilders TX 2024-2026 (3-6% range)</t>
        </is>
      </c>
      <c r="D33" s="27" t="inlineStr">
        <is>
          <t>Medium</t>
        </is>
      </c>
      <c r="E33" s="27" t="inlineStr">
        <is>
          <t>2026-05-14</t>
        </is>
      </c>
      <c r="F33" s="27" t="inlineStr">
        <is>
          <t>Yes</t>
        </is>
      </c>
      <c r="G33" s="27" t="inlineStr">
        <is>
          <t>No</t>
        </is>
      </c>
      <c r="H33" s="27" t="inlineStr">
        <is>
          <t>No</t>
        </is>
      </c>
      <c r="I33" s="29" t="inlineStr">
        <is>
          <t>NEW v3.4 lever</t>
        </is>
      </c>
    </row>
    <row r="34" ht="14.25" customFormat="1" customHeight="1" s="30">
      <c r="A34" s="27" t="inlineStr">
        <is>
          <t>SFR occupancy rate</t>
        </is>
      </c>
      <c r="B34" s="34">
        <f>'00_Inputs_Dashboard'!$B$30</f>
        <v/>
      </c>
      <c r="C34" s="27" t="inlineStr">
        <is>
          <t>Planning benchmark 95%</t>
        </is>
      </c>
      <c r="D34" s="27" t="inlineStr">
        <is>
          <t>Medium</t>
        </is>
      </c>
      <c r="E34" s="27" t="inlineStr">
        <is>
          <t>2026-05-14</t>
        </is>
      </c>
      <c r="F34" s="27" t="inlineStr">
        <is>
          <t>Yes</t>
        </is>
      </c>
      <c r="G34" s="27" t="inlineStr">
        <is>
          <t>No</t>
        </is>
      </c>
      <c r="H34" s="27" t="inlineStr">
        <is>
          <t>No</t>
        </is>
      </c>
      <c r="I34" s="29" t="inlineStr">
        <is>
          <t>Sealy SF benchmark</t>
        </is>
      </c>
    </row>
    <row r="35" ht="14.25" customFormat="1" customHeight="1" s="30">
      <c r="A35" s="27" t="inlineStr">
        <is>
          <t>MFR occupancy rate</t>
        </is>
      </c>
      <c r="B35" s="34">
        <f>'00_Inputs_Dashboard'!$B$31</f>
        <v/>
      </c>
      <c r="C35" s="27" t="inlineStr">
        <is>
          <t>MFR lease-up steady state 92%</t>
        </is>
      </c>
      <c r="D35" s="27" t="inlineStr">
        <is>
          <t>Medium</t>
        </is>
      </c>
      <c r="E35" s="27" t="inlineStr">
        <is>
          <t>2026-05-14</t>
        </is>
      </c>
      <c r="F35" s="27" t="inlineStr">
        <is>
          <t>Yes</t>
        </is>
      </c>
      <c r="G35" s="27" t="inlineStr">
        <is>
          <t>No</t>
        </is>
      </c>
      <c r="H35" s="27" t="inlineStr">
        <is>
          <t>No</t>
        </is>
      </c>
      <c r="I35" s="29" t="inlineStr">
        <is>
          <t>Retreat at Sealy</t>
        </is>
      </c>
    </row>
    <row r="36" ht="14.25" customFormat="1" customHeight="1" s="30">
      <c r="A36" s="27" t="inlineStr">
        <is>
          <t>SFR household size</t>
        </is>
      </c>
      <c r="B36" s="37">
        <f>'00_Inputs_Dashboard'!$B$32</f>
        <v/>
      </c>
      <c r="C36" s="27" t="inlineStr">
        <is>
          <t>Sealy SF benchmark 2.7</t>
        </is>
      </c>
      <c r="D36" s="27" t="inlineStr">
        <is>
          <t>Medium</t>
        </is>
      </c>
      <c r="E36" s="27" t="inlineStr">
        <is>
          <t>2026-05-14</t>
        </is>
      </c>
      <c r="F36" s="27" t="inlineStr">
        <is>
          <t>No</t>
        </is>
      </c>
      <c r="G36" s="27" t="inlineStr">
        <is>
          <t>No</t>
        </is>
      </c>
      <c r="H36" s="27" t="inlineStr">
        <is>
          <t>No</t>
        </is>
      </c>
      <c r="I36" s="29" t="inlineStr">
        <is>
          <t>Census-derived</t>
        </is>
      </c>
    </row>
    <row r="37" ht="14.25" customFormat="1" customHeight="1" s="30">
      <c r="A37" s="27" t="inlineStr">
        <is>
          <t>MFR household size</t>
        </is>
      </c>
      <c r="B37" s="37">
        <f>'00_Inputs_Dashboard'!$B$33</f>
        <v/>
      </c>
      <c r="C37" s="27" t="inlineStr">
        <is>
          <t>Retreat at Sealy 2.1</t>
        </is>
      </c>
      <c r="D37" s="27" t="inlineStr">
        <is>
          <t>Medium</t>
        </is>
      </c>
      <c r="E37" s="27" t="inlineStr">
        <is>
          <t>2026-05-14</t>
        </is>
      </c>
      <c r="F37" s="27" t="inlineStr">
        <is>
          <t>No</t>
        </is>
      </c>
      <c r="G37" s="27" t="inlineStr">
        <is>
          <t>No</t>
        </is>
      </c>
      <c r="H37" s="27" t="inlineStr">
        <is>
          <t>No</t>
        </is>
      </c>
      <c r="I37" s="29" t="inlineStr">
        <is>
          <t>MFR benchmark</t>
        </is>
      </c>
    </row>
    <row r="38" ht="14.25" customFormat="1" customHeight="1" s="30">
      <c r="A38" s="27" t="inlineStr">
        <is>
          <t>Industrial AV per acre</t>
        </is>
      </c>
      <c r="B38" s="27" t="inlineStr">
        <is>
          <t>$750K/ac</t>
        </is>
      </c>
      <c r="C38" s="27" t="inlineStr">
        <is>
          <t>Sika BPP / Hailiang Copper observed range</t>
        </is>
      </c>
      <c r="D38" s="27" t="inlineStr">
        <is>
          <t>Medium</t>
        </is>
      </c>
      <c r="E38" s="27" t="inlineStr">
        <is>
          <t>2026-05-14</t>
        </is>
      </c>
      <c r="F38" s="27" t="inlineStr">
        <is>
          <t>Yes</t>
        </is>
      </c>
      <c r="G38" s="27" t="inlineStr">
        <is>
          <t>No</t>
        </is>
      </c>
      <c r="H38" s="27" t="inlineStr">
        <is>
          <t>No</t>
        </is>
      </c>
      <c r="I38" s="29" t="inlineStr">
        <is>
          <t>Per spec cfe57b56 calibration</t>
        </is>
      </c>
    </row>
    <row r="39" ht="41.25" customFormat="1" customHeight="1" s="30">
      <c r="A39" s="27" t="inlineStr">
        <is>
          <t>City marginal opex per resident validation</t>
        </is>
      </c>
      <c r="B39" s="27" t="inlineStr">
        <is>
          <t>$680/resident SFR (model)</t>
        </is>
      </c>
      <c r="C39" s="27" t="inlineStr">
        <is>
          <t>FY25 ACFR departmental detail: scaling departments (Police $445/cap + Streets $83 + Parks $71 + Planning $69 + Building $43 + Court $45 + 50% of Capital $90) = $846/cap fully-loaded × 80% marginal = $677/cap</t>
        </is>
      </c>
      <c r="D39" s="27" t="inlineStr">
        <is>
          <t>Medium-High (SOLID-FY25)</t>
        </is>
      </c>
      <c r="E39" s="27" t="inlineStr">
        <is>
          <t>2026-05-14 (FY25 ACFR)</t>
        </is>
      </c>
      <c r="F39" s="27" t="inlineStr">
        <is>
          <t>Yes</t>
        </is>
      </c>
      <c r="G39" s="27" t="inlineStr">
        <is>
          <t>No</t>
        </is>
      </c>
      <c r="H39" s="27" t="inlineStr">
        <is>
          <t>No</t>
        </is>
      </c>
      <c r="I39" s="29" t="inlineStr">
        <is>
          <t>Validated within $3 of FY25 actual at 80% marginal share. Was 'peer-derived (Schertz/Pflugerville via Verdunity)' — now anchored to Sealy FY25 ACFR. Per-acre commercial/industrial opex still planning-level. PEER METHOD: ICMA/TischlerBise per-capita LOS approach; Enumclaw WA FTE-per-capita annexation modeling corroborate the per-resident cost driver.</t>
        </is>
      </c>
    </row>
    <row r="40" ht="14.25" customFormat="1" customHeight="1" s="30">
      <c r="A40" s="27" t="inlineStr">
        <is>
          <t>City General Fund share</t>
        </is>
      </c>
      <c r="B40" s="34" t="n">
        <v>0.5</v>
      </c>
      <c r="C40" s="27" t="inlineStr">
        <is>
          <t>User-entered allocation percentage; no preferred split implied</t>
        </is>
      </c>
      <c r="D40" s="27" t="inlineStr">
        <is>
          <t>n/a</t>
        </is>
      </c>
      <c r="E40" s="27" t="inlineStr">
        <is>
          <t>2026-05-14</t>
        </is>
      </c>
      <c r="F40" s="27" t="inlineStr">
        <is>
          <t>No</t>
        </is>
      </c>
      <c r="G40" s="27" t="inlineStr">
        <is>
          <t>No</t>
        </is>
      </c>
      <c r="H40" s="27" t="inlineStr">
        <is>
          <t>No</t>
        </is>
      </c>
      <c r="I40" s="29" t="inlineStr">
        <is>
          <t>Modeling assumption</t>
        </is>
      </c>
    </row>
    <row r="41" ht="14.25" customFormat="1" customHeight="1" s="30">
      <c r="A41" s="27" t="inlineStr">
        <is>
          <t>ESD share</t>
        </is>
      </c>
      <c r="B41" s="34" t="n">
        <v>0.5</v>
      </c>
      <c r="C41" s="27" t="inlineStr">
        <is>
          <t>User-entered allocation percentage; City + ESD must equal 100%</t>
        </is>
      </c>
      <c r="D41" s="27" t="inlineStr">
        <is>
          <t>n/a</t>
        </is>
      </c>
      <c r="E41" s="27" t="inlineStr">
        <is>
          <t>2026-05-14</t>
        </is>
      </c>
      <c r="F41" s="27" t="inlineStr">
        <is>
          <t>No</t>
        </is>
      </c>
      <c r="G41" s="27" t="inlineStr">
        <is>
          <t>No</t>
        </is>
      </c>
      <c r="H41" s="27" t="inlineStr">
        <is>
          <t>No</t>
        </is>
      </c>
      <c r="I41" s="29" t="inlineStr">
        <is>
          <t>Modeling assumption</t>
        </is>
      </c>
    </row>
    <row r="42" ht="14.25" customFormat="1" customHeight="1" s="30">
      <c r="A42" s="27" t="inlineStr">
        <is>
          <t>Reserve basis includes capital?</t>
        </is>
      </c>
      <c r="B42" s="39">
        <f>'00_Inputs_Dashboard'!$B$27</f>
        <v/>
      </c>
      <c r="C42" s="27" t="inlineStr">
        <is>
          <t>Spec #13 Option B — (opex + capital) × pct</t>
        </is>
      </c>
      <c r="D42" s="27" t="inlineStr">
        <is>
          <t>n/a</t>
        </is>
      </c>
      <c r="E42" s="27" t="inlineStr">
        <is>
          <t>2026-05-14</t>
        </is>
      </c>
      <c r="F42" s="27" t="inlineStr">
        <is>
          <t>Yes</t>
        </is>
      </c>
      <c r="G42" s="27" t="inlineStr">
        <is>
          <t>No</t>
        </is>
      </c>
      <c r="H42" s="27" t="inlineStr">
        <is>
          <t>No</t>
        </is>
      </c>
      <c r="I42" s="29" t="inlineStr">
        <is>
          <t>Toggle</t>
        </is>
      </c>
    </row>
    <row r="43" ht="14.25" customFormat="1" customHeight="1" s="30">
      <c r="A43" s="27" t="inlineStr">
        <is>
          <t>Online use-tax toggle</t>
        </is>
      </c>
      <c r="B43" s="39">
        <f>'00_Inputs_Dashboard'!$B$38</f>
        <v/>
      </c>
      <c r="C43" s="27" t="inlineStr">
        <is>
          <t>1=include / 0=exclude (Test 11/12)</t>
        </is>
      </c>
      <c r="D43" s="27" t="inlineStr">
        <is>
          <t>n/a</t>
        </is>
      </c>
      <c r="E43" s="27" t="inlineStr">
        <is>
          <t>2026-05-14</t>
        </is>
      </c>
      <c r="F43" s="27" t="inlineStr">
        <is>
          <t>No</t>
        </is>
      </c>
      <c r="G43" s="27" t="inlineStr">
        <is>
          <t>No</t>
        </is>
      </c>
      <c r="H43" s="27" t="inlineStr">
        <is>
          <t>No</t>
        </is>
      </c>
      <c r="I43" s="29" t="inlineStr">
        <is>
          <t>Toggle</t>
        </is>
      </c>
    </row>
    <row r="44" ht="41.25" customFormat="1" customHeight="1" s="30">
      <c r="A44" s="40" t="inlineStr">
        <is>
          <t>Sealy FY25 audit — material weakness</t>
        </is>
      </c>
      <c r="B44" s="40" t="inlineStr">
        <is>
          <t>Internal control over financial statement disclosure</t>
        </is>
      </c>
      <c r="C44" s="40" t="inlineStr">
        <is>
          <t>BrooksWatson &amp; Co. FY25 audit, March 28 2026 letter</t>
        </is>
      </c>
      <c r="D44" s="40" t="inlineStr">
        <is>
          <t>n/a</t>
        </is>
      </c>
      <c r="E44" s="40" t="inlineStr">
        <is>
          <t>2026-05-14</t>
        </is>
      </c>
      <c r="F44" s="40" t="inlineStr">
        <is>
          <t>Yes</t>
        </is>
      </c>
      <c r="G44" s="40" t="inlineStr">
        <is>
          <t>No</t>
        </is>
      </c>
      <c r="H44" s="40" t="inlineStr">
        <is>
          <t>No</t>
        </is>
      </c>
      <c r="I44" s="41" t="inlineStr">
        <is>
          <t>Common finding for cities of this size (Brooks Watson prepared draft + material adjustments). Not a fraud/loss finding. Doesn't change model inputs.</t>
        </is>
      </c>
    </row>
    <row r="45" ht="27" customFormat="1" customHeight="1" s="30">
      <c r="A45" s="40" t="inlineStr">
        <is>
          <t>ESD #2 ILA — active in negotiation</t>
        </is>
      </c>
      <c r="B45" s="40" t="inlineStr">
        <is>
          <t>Exec session item J.a on 5/19/2026 agenda</t>
        </is>
      </c>
      <c r="C45" s="40" t="inlineStr">
        <is>
          <t>5/19/2026 council packet, agenda item J.a (public)</t>
        </is>
      </c>
      <c r="D45" s="40" t="inlineStr">
        <is>
          <t>n/a</t>
        </is>
      </c>
      <c r="E45" s="40" t="inlineStr">
        <is>
          <t>2026-05-14</t>
        </is>
      </c>
      <c r="F45" s="40" t="inlineStr">
        <is>
          <t>No</t>
        </is>
      </c>
      <c r="G45" s="40" t="inlineStr">
        <is>
          <t>Yes</t>
        </is>
      </c>
      <c r="H45" s="40" t="inlineStr">
        <is>
          <t>No</t>
        </is>
      </c>
      <c r="I45" s="41" t="inlineStr">
        <is>
          <t>Active negotiation. Public agenda confirms ILA + Utility Billing + Lease are being discussed. Closed-session substance NOT in model.</t>
        </is>
      </c>
    </row>
    <row r="47" ht="14.25" customHeight="1" s="106">
      <c r="A47" s="24" t="inlineStr">
        <is>
          <t>— External FIA peer validation (added v6.1, 2026-05-28; sources in 04_Research/FIA_External_Studies_2026-05-28) —</t>
        </is>
      </c>
    </row>
    <row r="48" ht="41.4" customFormat="1" customHeight="1" s="168">
      <c r="A48" s="40" t="inlineStr">
        <is>
          <t>Method validation — marginal/case-study</t>
        </is>
      </c>
      <c r="B48" s="40" t="inlineStr">
        <is>
          <t>v6 uses case-study/marginal-cost drivers (per-acre/resident/unit)</t>
        </is>
      </c>
      <c r="C48" s="40" t="inlineStr">
        <is>
          <t>TischlerBise specializes in case-study/marginal-cost over 1,000+ FIAs; ICMA MIS Report (Tischler) recommends it; Lincoln (Kotval-Mullin 2006) = 'classic marginal cost approach'</t>
        </is>
      </c>
      <c r="D48" s="40" t="inlineStr">
        <is>
          <t>Peer-sourced</t>
        </is>
      </c>
      <c r="E48" s="40" t="inlineStr">
        <is>
          <t>2026-05-28</t>
        </is>
      </c>
      <c r="F48" s="40" t="inlineStr">
        <is>
          <t>No</t>
        </is>
      </c>
      <c r="G48" s="40" t="inlineStr">
        <is>
          <t>No</t>
        </is>
      </c>
      <c r="H48" s="40" t="inlineStr">
        <is>
          <t>No</t>
        </is>
      </c>
      <c r="I48" s="40" t="inlineStr">
        <is>
          <t>Rebuts 'black-box / non-standard method' criticism.</t>
        </is>
      </c>
    </row>
    <row r="49" ht="27.6" customFormat="1" customHeight="1" s="168">
      <c r="A49" s="40" t="inlineStr">
        <is>
          <t>Method validation — open spreadsheet</t>
        </is>
      </c>
      <c r="B49" s="40" t="inlineStr">
        <is>
          <t>v6 is open, unprotected Excel with visible formulas</t>
        </is>
      </c>
      <c r="C49" s="40" t="inlineStr">
        <is>
          <t>TischlerBise FISCALS: 'designed in a spreadsheet environment, without protected cells and formulas'</t>
        </is>
      </c>
      <c r="D49" s="40" t="inlineStr">
        <is>
          <t>Peer-sourced</t>
        </is>
      </c>
      <c r="E49" s="40" t="inlineStr">
        <is>
          <t>2026-05-28</t>
        </is>
      </c>
      <c r="F49" s="40" t="inlineStr">
        <is>
          <t>No</t>
        </is>
      </c>
      <c r="G49" s="40" t="inlineStr">
        <is>
          <t>No</t>
        </is>
      </c>
      <c r="H49" s="40" t="inlineStr">
        <is>
          <t>No</t>
        </is>
      </c>
      <c r="I49" s="40" t="inlineStr">
        <is>
          <t>Leading FIA firm builds models exactly this way.</t>
        </is>
      </c>
    </row>
    <row r="50" ht="55.2" customFormat="1" customHeight="1" s="168">
      <c r="A50" s="40" t="inlineStr">
        <is>
          <t>Structure — scenarios/cumulative/break-even/zones</t>
        </is>
      </c>
      <c r="B50" s="40" t="inlineStr">
        <is>
          <t>v6 scenario builder + 5/10/15/20/30-yr horizons + break-even + per-project rows</t>
        </is>
      </c>
      <c r="C50" s="40" t="inlineStr">
        <is>
          <t>TischlerBise Growth Alternatives (cumulative 10-20 yr); Bryan RELLIS (3 scenarios, 4 FAZs, break-even); Verdunity DFIA/LUFA (10-40 yr)</t>
        </is>
      </c>
      <c r="D50" s="40" t="inlineStr">
        <is>
          <t>Peer-sourced</t>
        </is>
      </c>
      <c r="E50" s="40" t="inlineStr">
        <is>
          <t>2026-05-28</t>
        </is>
      </c>
      <c r="F50" s="40" t="inlineStr">
        <is>
          <t>No</t>
        </is>
      </c>
      <c r="G50" s="40" t="inlineStr">
        <is>
          <t>No</t>
        </is>
      </c>
      <c r="H50" s="40" t="inlineStr">
        <is>
          <t>No</t>
        </is>
      </c>
      <c r="I50" s="40" t="inlineStr">
        <is>
          <t>v6 30-yr horizon within standard practice range.</t>
        </is>
      </c>
    </row>
    <row r="51" ht="41.4" customFormat="1" customHeight="1" s="168">
      <c r="A51" s="40" t="inlineStr">
        <is>
          <t>Per-acre / value-per-acre dimension</t>
        </is>
      </c>
      <c r="B51" s="40" t="inlineStr">
        <is>
          <t>v6 uses per-acre cost AND revenue, not per-capita only</t>
        </is>
      </c>
      <c r="C51" s="40" t="inlineStr">
        <is>
          <t>Lincoln: Heikkila-Davis (1997) &amp; Dekel (1995) - per-capita FIA misses spatial/density; Urban3 value/acre; Verdunity LUFA parcel rev/acre</t>
        </is>
      </c>
      <c r="D51" s="40" t="inlineStr">
        <is>
          <t>Peer-sourced</t>
        </is>
      </c>
      <c r="E51" s="40" t="inlineStr">
        <is>
          <t>2026-05-28</t>
        </is>
      </c>
      <c r="F51" s="40" t="inlineStr">
        <is>
          <t>No</t>
        </is>
      </c>
      <c r="G51" s="40" t="inlineStr">
        <is>
          <t>No</t>
        </is>
      </c>
      <c r="H51" s="40" t="inlineStr">
        <is>
          <t>No</t>
        </is>
      </c>
      <c r="I51" s="40" t="inlineStr">
        <is>
          <t>Academic basis for the per-acre approach.</t>
        </is>
      </c>
    </row>
    <row r="52" ht="41.4" customFormat="1" customHeight="1" s="168">
      <c r="A52" s="40" t="inlineStr">
        <is>
          <t>Result — residential net-negative</t>
        </is>
      </c>
      <c r="B52" s="40" t="inlineStr">
        <is>
          <t>v6: SFR net-negative for City &amp; ESD</t>
        </is>
      </c>
      <c r="C52" s="40" t="inlineStr">
        <is>
          <t>COCS 150+ studies/26 states/~40 yrs: residential ratio &gt;1.0; Chatham County NC 2025 residential $1.18/$1; Verdunity TX (sprawl SFR weakest per acre)</t>
        </is>
      </c>
      <c r="D52" s="40" t="inlineStr">
        <is>
          <t>Peer-sourced</t>
        </is>
      </c>
      <c r="E52" s="40" t="inlineStr">
        <is>
          <t>2026-05-28</t>
        </is>
      </c>
      <c r="F52" s="40" t="inlineStr">
        <is>
          <t>No</t>
        </is>
      </c>
      <c r="G52" s="40" t="inlineStr">
        <is>
          <t>No</t>
        </is>
      </c>
      <c r="H52" s="40" t="inlineStr">
        <is>
          <t>No</t>
        </is>
      </c>
      <c r="I52" s="40" t="inlineStr">
        <is>
          <t>COCS = existing pattern, not a forward projection (cite honestly).</t>
        </is>
      </c>
    </row>
    <row r="53" ht="41.4" customFormat="1" customHeight="1" s="168">
      <c r="A53" s="40" t="inlineStr">
        <is>
          <t>Result — commercial/industrial net-positive</t>
        </is>
      </c>
      <c r="B53" s="40" t="inlineStr">
        <is>
          <t>v6: retail/logistics/manufacturing net-positive</t>
        </is>
      </c>
      <c r="C53" s="40" t="inlineStr">
        <is>
          <t>COCS commercial/industrial ratio &lt;1.0; Chatham 2025 commercial $0.29/$1; Castle Pines 2026 commercial-positive; SGA ~10x rev/acre (advocacy, paired w/ Urban3)</t>
        </is>
      </c>
      <c r="D53" s="40" t="inlineStr">
        <is>
          <t>Peer-sourced</t>
        </is>
      </c>
      <c r="E53" s="40" t="inlineStr">
        <is>
          <t>2026-05-28</t>
        </is>
      </c>
      <c r="F53" s="40" t="inlineStr">
        <is>
          <t>No</t>
        </is>
      </c>
      <c r="G53" s="40" t="inlineStr">
        <is>
          <t>No</t>
        </is>
      </c>
      <c r="H53" s="40" t="inlineStr">
        <is>
          <t>No</t>
        </is>
      </c>
      <c r="I53" s="40" t="inlineStr">
        <is>
          <t>Matches v6 directional result.</t>
        </is>
      </c>
    </row>
    <row r="54" ht="55.2" customFormat="1" customHeight="1" s="168">
      <c r="A54" s="40" t="inlineStr">
        <is>
          <t>Compact-vs-sprawl infra savings</t>
        </is>
      </c>
      <c r="B54" s="40" t="inlineStr">
        <is>
          <t>Informational context (not a base-case input)</t>
        </is>
      </c>
      <c r="C54" s="40" t="inlineStr">
        <is>
          <t>SGA Building Better Budgets ~38% lower upfront infra (advocacy meta-finding) - PAIRED with Verdunity TX unfunded-street liabilities (neutral)</t>
        </is>
      </c>
      <c r="D54" s="40" t="inlineStr">
        <is>
          <t>Peer-sourced (advocacy, paired)</t>
        </is>
      </c>
      <c r="E54" s="40" t="inlineStr">
        <is>
          <t>2026-05-28</t>
        </is>
      </c>
      <c r="F54" s="40" t="inlineStr">
        <is>
          <t>No</t>
        </is>
      </c>
      <c r="G54" s="40" t="inlineStr">
        <is>
          <t>No</t>
        </is>
      </c>
      <c r="H54" s="40" t="inlineStr">
        <is>
          <t>No</t>
        </is>
      </c>
      <c r="I54" s="40" t="inlineStr">
        <is>
          <t>Cite moderately; always pair w/ a neutral source.</t>
        </is>
      </c>
    </row>
    <row r="55" ht="69" customFormat="1" customHeight="1" s="168">
      <c r="A55" s="40" t="inlineStr">
        <is>
          <t>Peer unfunded street liabilities (TX)</t>
        </is>
      </c>
      <c r="B55" s="40" t="inlineStr">
        <is>
          <t>Pilot Point $52M; Crowley $127M; Bastrop $144M; Pflugerville $632M; New Braunfels $801M; Brownsville $1.3B</t>
        </is>
      </c>
      <c r="C55" s="40" t="inlineStr">
        <is>
          <t>Verdunity TX fiscal-analysis portfolio</t>
        </is>
      </c>
      <c r="D55" s="40" t="inlineStr">
        <is>
          <t>Peer-sourced</t>
        </is>
      </c>
      <c r="E55" s="40" t="inlineStr">
        <is>
          <t>2026-05-28</t>
        </is>
      </c>
      <c r="F55" s="40" t="inlineStr">
        <is>
          <t>No</t>
        </is>
      </c>
      <c r="G55" s="40" t="inlineStr">
        <is>
          <t>No</t>
        </is>
      </c>
      <c r="H55" s="40" t="inlineStr">
        <is>
          <t>No</t>
        </is>
      </c>
      <c r="I55" s="40" t="inlineStr">
        <is>
          <t>Neutral evidence that growth carries long-term infra liabilities.</t>
        </is>
      </c>
    </row>
    <row r="56" ht="27.6" customFormat="1" customHeight="1" s="168">
      <c r="A56" s="40" t="inlineStr">
        <is>
          <t>Triangulation defense</t>
        </is>
      </c>
      <c r="B56" s="40" t="inlineStr">
        <is>
          <t>3 independent methods converge</t>
        </is>
      </c>
      <c r="C56" s="40" t="inlineStr">
        <is>
          <t>Castle Pines CO Crowsnest 2026: city-staff + TischlerBise dept-level + THK cost-per-acre all net-positive (~$112M/20yr)</t>
        </is>
      </c>
      <c r="D56" s="40" t="inlineStr">
        <is>
          <t>Peer-sourced</t>
        </is>
      </c>
      <c r="E56" s="40" t="inlineStr">
        <is>
          <t>2026-05-28</t>
        </is>
      </c>
      <c r="F56" s="40" t="inlineStr">
        <is>
          <t>No</t>
        </is>
      </c>
      <c r="G56" s="40" t="inlineStr">
        <is>
          <t>No</t>
        </is>
      </c>
      <c r="H56" s="40" t="inlineStr">
        <is>
          <t>No</t>
        </is>
      </c>
      <c r="I56" s="40" t="inlineStr">
        <is>
          <t>Gold-standard defensibility: different methods, same direction.</t>
        </is>
      </c>
    </row>
    <row r="57" ht="27.6" customFormat="1" customHeight="1" s="168">
      <c r="A57" s="40" t="inlineStr">
        <is>
          <t>Macro fiscal context</t>
        </is>
      </c>
      <c r="B57" s="40" t="inlineStr">
        <is>
          <t>Public safety ~60% of GF; optimism 45% (was 64%)</t>
        </is>
      </c>
      <c r="C57" s="40" t="inlineStr">
        <is>
          <t>NLC City Fiscal Conditions 2025 (40th annual; 263 cities)</t>
        </is>
      </c>
      <c r="D57" s="40" t="inlineStr">
        <is>
          <t>Peer-sourced</t>
        </is>
      </c>
      <c r="E57" s="40" t="inlineStr">
        <is>
          <t>2026-05-28</t>
        </is>
      </c>
      <c r="F57" s="40" t="inlineStr">
        <is>
          <t>No</t>
        </is>
      </c>
      <c r="G57" s="40" t="inlineStr">
        <is>
          <t>No</t>
        </is>
      </c>
      <c r="H57" s="40" t="inlineStr">
        <is>
          <t>No</t>
        </is>
      </c>
      <c r="I57" s="40" t="inlineStr">
        <is>
          <t>Supports 'fire stays with ESD' frame + capture-favorable-terms-now.</t>
        </is>
      </c>
    </row>
    <row r="58" ht="41.4" customFormat="1" customHeight="1" s="168">
      <c r="A58" s="40" t="inlineStr">
        <is>
          <t>Legal mechanism — city/ESD sales-tax allocation</t>
        </is>
      </c>
      <c r="B58" s="40" t="inlineStr">
        <is>
          <t>ILA allocates the combined-area local sales tax</t>
        </is>
      </c>
      <c r="C58" s="40" t="inlineStr">
        <is>
          <t>TML Municipal Annexation in TX 2025: Tex. H&amp;S Code 775.0754 authorizes allocation agreement; first-in-time favors existing ESD; neither party compelled</t>
        </is>
      </c>
      <c r="D58" s="40" t="inlineStr">
        <is>
          <t>Peer-sourced</t>
        </is>
      </c>
      <c r="E58" s="40" t="inlineStr">
        <is>
          <t>2026-05-28</t>
        </is>
      </c>
      <c r="F58" s="40" t="inlineStr">
        <is>
          <t>No</t>
        </is>
      </c>
      <c r="G58" s="40" t="inlineStr">
        <is>
          <t>Yes</t>
        </is>
      </c>
      <c r="H58" s="40" t="inlineStr">
        <is>
          <t>No</t>
        </is>
      </c>
      <c r="I58" s="40" t="inlineStr">
        <is>
          <t>Confirms the SPA+ILA vehicle (Sec. 43.0751 SPA) the analysis assumes.</t>
        </is>
      </c>
    </row>
    <row r="59" ht="27.6" customFormat="1" customHeight="1" s="168">
      <c r="A59" s="40" t="inlineStr">
        <is>
          <t>Closest peer FIA — Bryan RELLIS</t>
        </is>
      </c>
      <c r="B59" s="40" t="inlineStr">
        <is>
          <t>Bryan TX annexation FIA adjacent to TX A&amp;M RELLIS</t>
        </is>
      </c>
      <c r="C59" s="40" t="inlineStr">
        <is>
          <t>TischlerBise (KendigKeast Team): 3 scenarios, 4 fiscal-analysis zones, cumulative net, break-even - structurally identical to v6</t>
        </is>
      </c>
      <c r="D59" s="40" t="inlineStr">
        <is>
          <t>Peer-sourced</t>
        </is>
      </c>
      <c r="E59" s="40" t="inlineStr">
        <is>
          <t>2026-05-28</t>
        </is>
      </c>
      <c r="F59" s="40" t="inlineStr">
        <is>
          <t>No</t>
        </is>
      </c>
      <c r="G59" s="40" t="inlineStr">
        <is>
          <t>No</t>
        </is>
      </c>
      <c r="H59" s="40" t="inlineStr">
        <is>
          <t>No</t>
        </is>
      </c>
      <c r="I59" s="40" t="inlineStr">
        <is>
          <t>Full report not public; TPIA deferred per Bobby (2026-05-28).</t>
        </is>
      </c>
    </row>
    <row r="61" ht="14.25" customHeight="1" s="106">
      <c r="A61" s="42" t="inlineStr">
        <is>
          <t>SALES-TAX SOURCING (Texas Comptroller Pub. 94-105) — how each revenue line is sourced</t>
        </is>
      </c>
    </row>
    <row r="62" ht="14.25" customHeight="1" s="106">
      <c r="A62" s="43" t="inlineStr">
        <is>
          <t>Retail / commercial at the site</t>
        </is>
      </c>
      <c r="C62" s="110" t="inlineStr">
        <is>
          <t>ORIGIN — local sales tax is consummated at the seller's place of business. An annexed retail center's tax flows to the Sealy/ESD combined-area pool (code 6008609) regardless of where shoppers live.</t>
        </is>
      </c>
    </row>
    <row r="63" ht="14.25" customHeight="1" s="106">
      <c r="A63" s="43" t="inlineStr">
        <is>
          <t>Residential</t>
        </is>
      </c>
      <c r="C63" s="110" t="inlineStr">
        <is>
          <t>A home generates NO sales tax itself. Resident in-store spending is origin-sourced to wherever the store is (leaks out unless they shop in Sealy). Only residents' online/delivery purchases shipped to the Sealy address generate local USE tax for Sealy — captured via the online use-tax line.</t>
        </is>
      </c>
    </row>
    <row r="64" ht="14.25" customHeight="1" s="106">
      <c r="A64" s="43" t="inlineStr">
        <is>
          <t>Online / Amazon / marketplace</t>
        </is>
      </c>
      <c r="C64" s="110" t="inlineStr">
        <is>
          <t>DESTINATION (ship-to address). Marketplace providers (Amazon, eBay, Walmart Mktp, Etsy) and remote sellers source local tax to delivery address — not shipment origin, not manufacturer. Remote sellers may elect a single 1.75% local rate; marketplaces cannot.</t>
        </is>
      </c>
    </row>
    <row r="65" ht="14.25" customHeight="1" s="106">
      <c r="A65" s="43" t="inlineStr">
        <is>
          <t>Manufacturing / distribution warehouse</t>
        </is>
      </c>
      <c r="C65" s="110" t="inlineStr">
        <is>
          <t>Generally LITTLE-TO-NO local sales tax. Manufacturers sell wholesale/for-resale (resale exemption) or ship interstate; a warehouse is explicitly NOT a 'place of business' (94-105), so shipping from it does not originate local tax. These are PROPERTY-TAX plays. Modeled at $0 sales by default; manual override only if a facility truly qualifies as an order-receipt place of business.</t>
        </is>
      </c>
    </row>
    <row r="66" ht="14.25" customHeight="1" s="106">
      <c r="A66" s="43" t="inlineStr">
        <is>
          <t>Legal-uncertainty flag</t>
        </is>
      </c>
      <c r="C66" s="110" t="inlineStr">
        <is>
          <t>The in-state 'where an order is received' sourcing rule (Comptroller Rule 3.334) is under a court injunction (Dec 2024) and not being enforced — another reason to keep the online local-capture factor conservative.</t>
        </is>
      </c>
    </row>
    <row r="67" ht="14.25" customHeight="1" s="106">
      <c r="A67" s="43" t="inlineStr">
        <is>
          <t>Combined area</t>
        </is>
      </c>
      <c r="C67" s="110" t="inlineStr">
        <is>
          <t>Sealy + ESD #2 sit in combined-area code 6008609; the Comptroller holds the rate at 2% and splits it between the two — this is the pool the model allocates.</t>
        </is>
      </c>
    </row>
    <row r="69" ht="14.25" customHeight="1" s="106">
      <c r="A69" s="44" t="inlineStr">
        <is>
          <t>Peer-study benchmarks &amp; methodology validation: see hidden tab '13_Peer_Benchmarks' (unhide via right-click).</t>
        </is>
      </c>
    </row>
  </sheetData>
  <mergeCells count="7">
    <mergeCell ref="C66:I66"/>
    <mergeCell ref="C64:I64"/>
    <mergeCell ref="C63:I63"/>
    <mergeCell ref="C62:I62"/>
    <mergeCell ref="A1:H1"/>
    <mergeCell ref="C67:I67"/>
    <mergeCell ref="C65:I65"/>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9FC5E8"/>
    <outlinePr summaryBelow="1" summaryRight="1"/>
    <pageSetUpPr/>
  </sheetPr>
  <dimension ref="A1:AG27"/>
  <sheetViews>
    <sheetView zoomScaleNormal="100" workbookViewId="0">
      <selection activeCell="D35" sqref="D35"/>
    </sheetView>
  </sheetViews>
  <sheetFormatPr baseColWidth="8" defaultColWidth="8.6640625" defaultRowHeight="13.2"/>
  <cols>
    <col width="5" customWidth="1" style="106" min="1" max="1"/>
    <col width="32.88671875" customWidth="1" style="106" min="2" max="2"/>
    <col width="9" customWidth="1" style="106" min="3" max="3"/>
    <col width="24" customWidth="1" style="106" min="4" max="4"/>
    <col width="11" customWidth="1" style="106" min="5" max="5"/>
    <col width="10" customWidth="1" style="106" min="6" max="9"/>
    <col width="8" customWidth="1" style="106" min="10" max="10"/>
    <col width="9" customWidth="1" style="106" min="11" max="11"/>
    <col width="10" customWidth="1" style="106" min="12" max="12"/>
    <col width="11" customWidth="1" style="106" min="13" max="13"/>
    <col width="12" customWidth="1" style="106" min="14" max="15"/>
    <col width="13" customWidth="1" style="106" min="16" max="16"/>
    <col width="12" customWidth="1" style="106" min="17" max="18"/>
    <col width="14" customWidth="1" style="106" min="19" max="19"/>
    <col width="12" customWidth="1" style="106" min="20" max="21"/>
    <col width="11" customWidth="1" style="106" min="22" max="22"/>
    <col width="10" customWidth="1" style="106" min="23" max="23"/>
    <col width="11" customWidth="1" style="106" min="24" max="24"/>
    <col width="12" customWidth="1" style="106" min="25" max="28"/>
    <col width="38.88671875" customWidth="1" style="106" min="29" max="29"/>
  </cols>
  <sheetData>
    <row r="1" ht="21.75" customHeight="1" s="106">
      <c r="A1" s="109" t="inlineStr">
        <is>
          <t>Scenario Builder — one row per project. Active rows feed model.</t>
        </is>
      </c>
    </row>
    <row r="2" ht="42" customHeight="1" s="106">
      <c r="A2" s="45" t="inlineStr">
        <is>
          <t>#</t>
        </is>
      </c>
      <c r="B2" s="45" t="inlineStr">
        <is>
          <t>Project Name</t>
        </is>
      </c>
      <c r="C2" s="45" t="inlineStr">
        <is>
          <t>Active?</t>
        </is>
      </c>
      <c r="D2" s="45" t="inlineStr">
        <is>
          <t>Development Type</t>
        </is>
      </c>
      <c r="E2" s="45" t="inlineStr">
        <is>
          <t>Quantity Type</t>
        </is>
      </c>
      <c r="F2" s="45" t="inlineStr">
        <is>
          <t>Quantity</t>
        </is>
      </c>
      <c r="G2" s="45" t="inlineStr">
        <is>
          <t>Acres/Unit (lookup)</t>
        </is>
      </c>
      <c r="H2" s="45" t="inlineStr">
        <is>
          <t>Manual Acres Override</t>
        </is>
      </c>
      <c r="I2" s="45" t="inlineStr">
        <is>
          <t>Final Acres</t>
        </is>
      </c>
      <c r="J2" s="45" t="inlineStr">
        <is>
          <t>Start Year</t>
        </is>
      </c>
      <c r="K2" s="45" t="inlineStr">
        <is>
          <t>Buildout Years</t>
        </is>
      </c>
      <c r="L2" s="45" t="inlineStr">
        <is>
          <t>Capture Rate</t>
        </is>
      </c>
      <c r="M2" s="45" t="inlineStr">
        <is>
          <t>Captured Acres</t>
        </is>
      </c>
      <c r="N2" s="45" t="inlineStr">
        <is>
          <t>AV basis (lookup)</t>
        </is>
      </c>
      <c r="O2" s="45" t="inlineStr">
        <is>
          <t>Manual AV Override</t>
        </is>
      </c>
      <c r="P2" s="45" t="inlineStr">
        <is>
          <t>Final AV ($)</t>
        </is>
      </c>
      <c r="Q2" s="45" t="inlineStr">
        <is>
          <t>Sales basis (lookup)</t>
        </is>
      </c>
      <c r="R2" s="45" t="inlineStr">
        <is>
          <t>Manual Sales Override</t>
        </is>
      </c>
      <c r="S2" s="45" t="inlineStr">
        <is>
          <t>Final Annual Taxable Sales ($)</t>
        </is>
      </c>
      <c r="T2" s="45" t="inlineStr">
        <is>
          <t>Captured Building SqFt</t>
        </is>
      </c>
      <c r="U2" s="45" t="inlineStr">
        <is>
          <t>Captured Residential Units</t>
        </is>
      </c>
      <c r="V2" s="45" t="inlineStr">
        <is>
          <t>Captured Residents</t>
        </is>
      </c>
      <c r="W2" s="45" t="inlineStr">
        <is>
          <t>LUE Count</t>
        </is>
      </c>
      <c r="X2" s="45" t="inlineStr">
        <is>
          <t>Impact Fee/LUE ($)</t>
        </is>
      </c>
      <c r="Y2" s="45" t="inlineStr">
        <is>
          <t>Manual Impact Fee Override</t>
        </is>
      </c>
      <c r="Z2" s="45" t="inlineStr">
        <is>
          <t>Final Impact Fee ($)</t>
        </is>
      </c>
      <c r="AA2" s="45" t="inlineStr">
        <is>
          <t>Manual City Opex Override (annual $)</t>
        </is>
      </c>
      <c r="AB2" s="45" t="inlineStr">
        <is>
          <t>Manual ESD Opex Override (annual $)</t>
        </is>
      </c>
      <c r="AC2" s="45" t="inlineStr">
        <is>
          <t>Notes / Source</t>
        </is>
      </c>
      <c r="AD2" s="1" t="inlineStr">
        <is>
          <t>City Taxable AV ($)</t>
        </is>
      </c>
      <c r="AE2" s="1" t="inlineStr">
        <is>
          <t>ESD Taxable AV ($)</t>
        </is>
      </c>
      <c r="AF2" s="46" t="inlineStr">
        <is>
          <t>City Industrial Taxable AV ($)</t>
        </is>
      </c>
      <c r="AG2" s="46" t="inlineStr">
        <is>
          <t>ESD Industrial Taxable AV ($)</t>
        </is>
      </c>
    </row>
    <row r="3" ht="20.25" customHeight="1" s="106">
      <c r="A3" s="23" t="n">
        <v>1</v>
      </c>
      <c r="B3" s="47">
        <f>INPUTS!$A$54</f>
        <v/>
      </c>
      <c r="C3" s="47">
        <f>(INPUTS!$B$54="Yes")</f>
        <v/>
      </c>
      <c r="D3" s="47">
        <f>INPUTS!$C$54</f>
        <v/>
      </c>
      <c r="E3" s="47">
        <f>INPUTS!$D$54</f>
        <v/>
      </c>
      <c r="F3" s="48">
        <f>INPUTS!$E$54</f>
        <v/>
      </c>
      <c r="G3" s="49">
        <f>IFERROR(VLOOKUP(D3,'02_Type_Assumptions'!$A$4:$Z$18,3,FALSE()),0)</f>
        <v/>
      </c>
      <c r="H3" s="50">
        <f>IF(INPUTS!$F$54="","",INPUTS!$F$54)</f>
        <v/>
      </c>
      <c r="I3" s="51">
        <f>IF(ISNUMBER(H3),H3,IF(LOWER(E3)="sqft",IFERROR(F3/43560/'00_Inputs_Dashboard'!$B$51,0),IF(LOWER(E3)="acres",IFERROR(F3,0),IFERROR(F3*G3,0))))</f>
        <v/>
      </c>
      <c r="J3" s="52">
        <f>INPUTS!$G$54</f>
        <v/>
      </c>
      <c r="K3" s="52">
        <f>INPUTS!$H$54</f>
        <v/>
      </c>
      <c r="L3" s="53">
        <f>INPUTS!$I$54</f>
        <v/>
      </c>
      <c r="M3" s="51">
        <f>I3*L3</f>
        <v/>
      </c>
      <c r="N3" s="54">
        <f>IFERROR(IF(LOWER(E3)="rooms",VLOOKUP(D3,'02_Type_Assumptions'!$A$4:$Z$18,6,FALSE()),IF(LOWER(E3)="acres",VLOOKUP(D3,'02_Type_Assumptions'!$A$4:$Z$18,5,FALSE()),VLOOKUP(D3,'02_Type_Assumptions'!$A$4:$Z$18,4,FALSE()))),0)</f>
        <v/>
      </c>
      <c r="O3" s="55" t="n"/>
      <c r="P3" s="54">
        <f>IF(ISNUMBER(O3),O3,IF(LOWER(E3)="rooms",F3*N3*L3,IF(LOWER(E3)="acres",M3*N3,IF(LOWER(E3)="sqft",M3*VLOOKUP(D3,'02_Type_Assumptions'!$A$4:$Z$18,5,FALSE()),F3*N3*L3))))</f>
        <v/>
      </c>
      <c r="Q3" s="54">
        <f>IFERROR(IF(VLOOKUP(D3,'02_Type_Assumptions'!$A$4:$Z$18,23,FALSE())="per_acre",VLOOKUP(D3,'02_Type_Assumptions'!$A$4:$Z$18,8,FALSE()),0),0)</f>
        <v/>
      </c>
      <c r="R3" s="55" t="n"/>
      <c r="S3" s="54">
        <f>IF(ISNUMBER(R3),R3*L3,M3*Q3)</f>
        <v/>
      </c>
      <c r="T3" s="56">
        <f>IF(LOWER(E3)="sqft",F3*L3,M3*IFERROR(VLOOKUP(D3,'02_Type_Assumptions'!$A$4:$Z$18,9,FALSE()),0))</f>
        <v/>
      </c>
      <c r="U3" s="56">
        <f>IF(OR(LOWER(E3)="lots",LOWER(E3)="units"),F3*L3,0)</f>
        <v/>
      </c>
      <c r="V3" s="56">
        <f>U3*IFERROR(VLOOKUP(D3,'02_Type_Assumptions'!$A$4:$Z$18,21,FALSE()),0)</f>
        <v/>
      </c>
      <c r="W3" s="51">
        <f>IFERROR(IF(OR(LOWER(E3)="lots",LOWER(E3)="units",LOWER(E3)="rooms"),F3*L3*VLOOKUP(D3,'02_Type_Assumptions'!$A$4:$Z$18,10,FALSE()),IF(LOWER(E3)="acres",M3*VLOOKUP(D3,'02_Type_Assumptions'!$A$4:$Z$18,11,FALSE()),IF(LOWER(E3)="sqft",T3/1000*VLOOKUP(D3,'02_Type_Assumptions'!$A$4:$Z$18,12,FALSE()),0))),0)</f>
        <v/>
      </c>
      <c r="X3" s="54">
        <f>INPUTS!$D$50</f>
        <v/>
      </c>
      <c r="Y3" s="55" t="n"/>
      <c r="Z3" s="54">
        <f>IF(ISNUMBER(Y3),Y3,W3*X3)</f>
        <v/>
      </c>
      <c r="AA3" s="55" t="n"/>
      <c r="AB3" s="55" t="n"/>
      <c r="AC3" s="57" t="inlineStr">
        <is>
          <t>Active sample row; edit or deactivate as needed.</t>
        </is>
      </c>
      <c r="AD3" s="2">
        <f>IFERROR($P3*VLOOKUP($D3,'02_Type_Assumptions'!$A$4:$AC$18,28,FALSE()),$P3)</f>
        <v/>
      </c>
      <c r="AE3" s="2">
        <f>IFERROR($P3*VLOOKUP($D3,'02_Type_Assumptions'!$A$4:$AC$18,29,FALSE()),$P3)</f>
        <v/>
      </c>
      <c r="AF3">
        <f>IF(IFERROR(VLOOKUP($D3,'02_Type_Assumptions'!$A$4:$AC$18,27,FALSE()),"")="Industrial",$AD3,0)</f>
        <v/>
      </c>
      <c r="AG3">
        <f>IF(IFERROR(VLOOKUP($D3,'02_Type_Assumptions'!$A$4:$AC$18,27,FALSE()),"")="Industrial",$AE3,0)</f>
        <v/>
      </c>
    </row>
    <row r="4" ht="15" customHeight="1" s="106">
      <c r="A4" s="23" t="n">
        <v>2</v>
      </c>
      <c r="B4" s="47">
        <f>INPUTS!$A$55</f>
        <v/>
      </c>
      <c r="C4" s="47">
        <f>(INPUTS!$B$55="Yes")</f>
        <v/>
      </c>
      <c r="D4" s="47">
        <f>INPUTS!$C$55</f>
        <v/>
      </c>
      <c r="E4" s="47">
        <f>INPUTS!$D$55</f>
        <v/>
      </c>
      <c r="F4" s="48">
        <f>INPUTS!$E$55</f>
        <v/>
      </c>
      <c r="G4" s="49">
        <f>IFERROR(VLOOKUP(D4,'02_Type_Assumptions'!$A$4:$Z$18,3,FALSE()),0)</f>
        <v/>
      </c>
      <c r="H4" s="50">
        <f>IF(INPUTS!$F$55="","",INPUTS!$F$55)</f>
        <v/>
      </c>
      <c r="I4" s="51">
        <f>IF(ISNUMBER(H4),H4,IF(LOWER(E4)="sqft",IFERROR(F4/43560/'00_Inputs_Dashboard'!$B$51,0),IF(LOWER(E4)="acres",IFERROR(F4,0),IFERROR(F4*G4,0))))</f>
        <v/>
      </c>
      <c r="J4" s="52">
        <f>INPUTS!$G$55</f>
        <v/>
      </c>
      <c r="K4" s="52">
        <f>INPUTS!$H$55</f>
        <v/>
      </c>
      <c r="L4" s="53">
        <f>INPUTS!$I$55</f>
        <v/>
      </c>
      <c r="M4" s="51">
        <f>I4*L4</f>
        <v/>
      </c>
      <c r="N4" s="54">
        <f>IFERROR(IF(LOWER(E4)="rooms",VLOOKUP(D4,'02_Type_Assumptions'!$A$4:$Z$18,6,FALSE()),IF(LOWER(E4)="acres",VLOOKUP(D4,'02_Type_Assumptions'!$A$4:$Z$18,5,FALSE()),VLOOKUP(D4,'02_Type_Assumptions'!$A$4:$Z$18,4,FALSE()))),0)</f>
        <v/>
      </c>
      <c r="O4" s="55" t="n"/>
      <c r="P4" s="54">
        <f>IF(ISNUMBER(O4),O4,IF(LOWER(E4)="rooms",F4*N4*L4,IF(LOWER(E4)="acres",M4*N4,IF(LOWER(E4)="sqft",M4*VLOOKUP(D4,'02_Type_Assumptions'!$A$4:$Z$18,5,FALSE()),F4*N4*L4))))</f>
        <v/>
      </c>
      <c r="Q4" s="54">
        <f>IFERROR(IF(VLOOKUP(D4,'02_Type_Assumptions'!$A$4:$Z$18,23,FALSE())="per_acre",VLOOKUP(D4,'02_Type_Assumptions'!$A$4:$Z$18,8,FALSE()),0),0)</f>
        <v/>
      </c>
      <c r="R4" s="55" t="n"/>
      <c r="S4" s="54">
        <f>IF(ISNUMBER(R4),R4*L4,M4*Q4)</f>
        <v/>
      </c>
      <c r="T4" s="56">
        <f>IF(LOWER(E4)="sqft",F4*L4,M4*IFERROR(VLOOKUP(D4,'02_Type_Assumptions'!$A$4:$Z$18,9,FALSE()),0))</f>
        <v/>
      </c>
      <c r="U4" s="56">
        <f>IF(OR(LOWER(E4)="lots",LOWER(E4)="units"),F4*L4,0)</f>
        <v/>
      </c>
      <c r="V4" s="56">
        <f>U4*IFERROR(VLOOKUP(D4,'02_Type_Assumptions'!$A$4:$Z$18,21,FALSE()),0)</f>
        <v/>
      </c>
      <c r="W4" s="51">
        <f>IFERROR(IF(OR(LOWER(E4)="lots",LOWER(E4)="units",LOWER(E4)="rooms"),F4*L4*VLOOKUP(D4,'02_Type_Assumptions'!$A$4:$Z$18,10,FALSE()),IF(LOWER(E4)="acres",M4*VLOOKUP(D4,'02_Type_Assumptions'!$A$4:$Z$18,11,FALSE()),IF(LOWER(E4)="sqft",T4/1000*VLOOKUP(D4,'02_Type_Assumptions'!$A$4:$Z$18,12,FALSE()),0))),0)</f>
        <v/>
      </c>
      <c r="X4" s="54">
        <f>INPUTS!$D$50</f>
        <v/>
      </c>
      <c r="Y4" s="55" t="n"/>
      <c r="Z4" s="54">
        <f>IF(ISNUMBER(Y4),Y4,W4*X4)</f>
        <v/>
      </c>
      <c r="AA4" s="55" t="n"/>
      <c r="AB4" s="55" t="n"/>
      <c r="AC4" s="57" t="inlineStr">
        <is>
          <t>Test case — large-scale SF buildout.</t>
        </is>
      </c>
      <c r="AD4" s="2">
        <f>IFERROR($P4*VLOOKUP($D4,'02_Type_Assumptions'!$A$4:$AC$18,28,FALSE()),$P4)</f>
        <v/>
      </c>
      <c r="AE4" s="2">
        <f>IFERROR($P4*VLOOKUP($D4,'02_Type_Assumptions'!$A$4:$AC$18,29,FALSE()),$P4)</f>
        <v/>
      </c>
      <c r="AF4">
        <f>IF(IFERROR(VLOOKUP($D4,'02_Type_Assumptions'!$A$4:$AC$18,27,FALSE()),"")="Industrial",$AD4,0)</f>
        <v/>
      </c>
      <c r="AG4">
        <f>IF(IFERROR(VLOOKUP($D4,'02_Type_Assumptions'!$A$4:$AC$18,27,FALSE()),"")="Industrial",$AE4,0)</f>
        <v/>
      </c>
    </row>
    <row r="5" ht="15" customHeight="1" s="106">
      <c r="A5" s="23" t="n">
        <v>3</v>
      </c>
      <c r="B5" s="47">
        <f>INPUTS!$A$56</f>
        <v/>
      </c>
      <c r="C5" s="47">
        <f>(INPUTS!$B$56="Yes")</f>
        <v/>
      </c>
      <c r="D5" s="47">
        <f>INPUTS!$C$56</f>
        <v/>
      </c>
      <c r="E5" s="47">
        <f>INPUTS!$D$56</f>
        <v/>
      </c>
      <c r="F5" s="48">
        <f>INPUTS!$E$56</f>
        <v/>
      </c>
      <c r="G5" s="49">
        <f>IFERROR(VLOOKUP(D5,'02_Type_Assumptions'!$A$4:$Z$18,3,FALSE()),0)</f>
        <v/>
      </c>
      <c r="H5" s="50">
        <f>IF(INPUTS!$F$56="","",INPUTS!$F$56)</f>
        <v/>
      </c>
      <c r="I5" s="51">
        <f>IF(ISNUMBER(H5),H5,IF(LOWER(E5)="sqft",IFERROR(F5/43560/'00_Inputs_Dashboard'!$B$51,0),IF(LOWER(E5)="acres",IFERROR(F5,0),IFERROR(F5*G5,0))))</f>
        <v/>
      </c>
      <c r="J5" s="52">
        <f>INPUTS!$G$56</f>
        <v/>
      </c>
      <c r="K5" s="52">
        <f>INPUTS!$H$56</f>
        <v/>
      </c>
      <c r="L5" s="53">
        <f>INPUTS!$I$56</f>
        <v/>
      </c>
      <c r="M5" s="51">
        <f>I5*L5</f>
        <v/>
      </c>
      <c r="N5" s="54">
        <f>IFERROR(IF(LOWER(E5)="rooms",VLOOKUP(D5,'02_Type_Assumptions'!$A$4:$Z$18,6,FALSE()),IF(LOWER(E5)="acres",VLOOKUP(D5,'02_Type_Assumptions'!$A$4:$Z$18,5,FALSE()),VLOOKUP(D5,'02_Type_Assumptions'!$A$4:$Z$18,4,FALSE()))),0)</f>
        <v/>
      </c>
      <c r="O5" s="55" t="n"/>
      <c r="P5" s="54">
        <f>IF(ISNUMBER(O5),O5,IF(LOWER(E5)="rooms",F5*N5*L5,IF(LOWER(E5)="acres",M5*N5,IF(LOWER(E5)="sqft",M5*VLOOKUP(D5,'02_Type_Assumptions'!$A$4:$Z$18,5,FALSE()),F5*N5*L5))))</f>
        <v/>
      </c>
      <c r="Q5" s="54">
        <f>IFERROR(IF(VLOOKUP(D5,'02_Type_Assumptions'!$A$4:$Z$18,23,FALSE())="per_acre",VLOOKUP(D5,'02_Type_Assumptions'!$A$4:$Z$18,8,FALSE()),0),0)</f>
        <v/>
      </c>
      <c r="R5" s="55" t="n"/>
      <c r="S5" s="54">
        <f>IF(ISNUMBER(R5),R5*L5,M5*Q5)</f>
        <v/>
      </c>
      <c r="T5" s="56">
        <f>IF(LOWER(E5)="sqft",F5*L5,M5*IFERROR(VLOOKUP(D5,'02_Type_Assumptions'!$A$4:$Z$18,9,FALSE()),0))</f>
        <v/>
      </c>
      <c r="U5" s="56">
        <f>IF(OR(LOWER(E5)="lots",LOWER(E5)="units"),F5*L5,0)</f>
        <v/>
      </c>
      <c r="V5" s="56">
        <f>U5*IFERROR(VLOOKUP(D5,'02_Type_Assumptions'!$A$4:$Z$18,21,FALSE()),0)</f>
        <v/>
      </c>
      <c r="W5" s="51">
        <f>IFERROR(IF(OR(LOWER(E5)="lots",LOWER(E5)="units",LOWER(E5)="rooms"),F5*L5*VLOOKUP(D5,'02_Type_Assumptions'!$A$4:$Z$18,10,FALSE()),IF(LOWER(E5)="acres",M5*VLOOKUP(D5,'02_Type_Assumptions'!$A$4:$Z$18,11,FALSE()),IF(LOWER(E5)="sqft",T5/1000*VLOOKUP(D5,'02_Type_Assumptions'!$A$4:$Z$18,12,FALSE()),0))),0)</f>
        <v/>
      </c>
      <c r="X5" s="54">
        <f>INPUTS!$D$50</f>
        <v/>
      </c>
      <c r="Y5" s="55" t="n"/>
      <c r="Z5" s="54">
        <f>IF(ISNUMBER(Y5),Y5,W5*X5)</f>
        <v/>
      </c>
      <c r="AA5" s="55" t="n"/>
      <c r="AB5" s="55" t="n"/>
      <c r="AC5" s="57" t="inlineStr">
        <is>
          <t>Test case — strip retail anchor.</t>
        </is>
      </c>
      <c r="AD5" s="2">
        <f>IFERROR($P5*VLOOKUP($D5,'02_Type_Assumptions'!$A$4:$AC$18,28,FALSE()),$P5)</f>
        <v/>
      </c>
      <c r="AE5" s="2">
        <f>IFERROR($P5*VLOOKUP($D5,'02_Type_Assumptions'!$A$4:$AC$18,29,FALSE()),$P5)</f>
        <v/>
      </c>
      <c r="AF5">
        <f>IF(IFERROR(VLOOKUP($D5,'02_Type_Assumptions'!$A$4:$AC$18,27,FALSE()),"")="Industrial",$AD5,0)</f>
        <v/>
      </c>
      <c r="AG5">
        <f>IF(IFERROR(VLOOKUP($D5,'02_Type_Assumptions'!$A$4:$AC$18,27,FALSE()),"")="Industrial",$AE5,0)</f>
        <v/>
      </c>
    </row>
    <row r="6" ht="20.25" customHeight="1" s="106">
      <c r="A6" s="23" t="n">
        <v>4</v>
      </c>
      <c r="B6" s="47">
        <f>INPUTS!$A$57</f>
        <v/>
      </c>
      <c r="C6" s="47">
        <f>(INPUTS!$B$57="Yes")</f>
        <v/>
      </c>
      <c r="D6" s="47">
        <f>INPUTS!$C$57</f>
        <v/>
      </c>
      <c r="E6" s="47">
        <f>INPUTS!$D$57</f>
        <v/>
      </c>
      <c r="F6" s="48">
        <f>INPUTS!$E$57</f>
        <v/>
      </c>
      <c r="G6" s="49">
        <f>IFERROR(VLOOKUP(D6,'02_Type_Assumptions'!$A$4:$Z$18,3,FALSE()),0)</f>
        <v/>
      </c>
      <c r="H6" s="50">
        <f>IF(INPUTS!$F$57="","",INPUTS!$F$57)</f>
        <v/>
      </c>
      <c r="I6" s="51">
        <f>IF(ISNUMBER(H6),H6,IF(LOWER(E6)="sqft",IFERROR(F6/43560/'00_Inputs_Dashboard'!$B$51,0),IF(LOWER(E6)="acres",IFERROR(F6,0),IFERROR(F6*G6,0))))</f>
        <v/>
      </c>
      <c r="J6" s="52">
        <f>INPUTS!$G$57</f>
        <v/>
      </c>
      <c r="K6" s="52">
        <f>INPUTS!$H$57</f>
        <v/>
      </c>
      <c r="L6" s="53">
        <f>INPUTS!$I$57</f>
        <v/>
      </c>
      <c r="M6" s="51">
        <f>I6*L6</f>
        <v/>
      </c>
      <c r="N6" s="54">
        <f>IFERROR(IF(LOWER(E6)="rooms",VLOOKUP(D6,'02_Type_Assumptions'!$A$4:$Z$18,6,FALSE()),IF(LOWER(E6)="acres",VLOOKUP(D6,'02_Type_Assumptions'!$A$4:$Z$18,5,FALSE()),VLOOKUP(D6,'02_Type_Assumptions'!$A$4:$Z$18,4,FALSE()))),0)</f>
        <v/>
      </c>
      <c r="O6" s="55" t="n"/>
      <c r="P6" s="54">
        <f>IF(ISNUMBER(O6),O6,IF(LOWER(E6)="rooms",F6*N6*L6,IF(LOWER(E6)="acres",M6*N6,IF(LOWER(E6)="sqft",M6*VLOOKUP(D6,'02_Type_Assumptions'!$A$4:$Z$18,5,FALSE()),F6*N6*L6))))</f>
        <v/>
      </c>
      <c r="Q6" s="54">
        <f>IFERROR(IF(VLOOKUP(D6,'02_Type_Assumptions'!$A$4:$Z$18,23,FALSE())="per_acre",VLOOKUP(D6,'02_Type_Assumptions'!$A$4:$Z$18,8,FALSE()),0),0)</f>
        <v/>
      </c>
      <c r="R6" s="55" t="n"/>
      <c r="S6" s="54">
        <f>IF(ISNUMBER(R6),R6*L6,M6*Q6)</f>
        <v/>
      </c>
      <c r="T6" s="56">
        <f>IF(LOWER(E6)="sqft",F6*L6,M6*IFERROR(VLOOKUP(D6,'02_Type_Assumptions'!$A$4:$Z$18,9,FALSE()),0))</f>
        <v/>
      </c>
      <c r="U6" s="56">
        <f>IF(OR(LOWER(E6)="lots",LOWER(E6)="units"),F6*L6,0)</f>
        <v/>
      </c>
      <c r="V6" s="56">
        <f>U6*IFERROR(VLOOKUP(D6,'02_Type_Assumptions'!$A$4:$Z$18,21,FALSE()),0)</f>
        <v/>
      </c>
      <c r="W6" s="51">
        <f>IFERROR(IF(OR(LOWER(E6)="lots",LOWER(E6)="units",LOWER(E6)="rooms"),F6*L6*VLOOKUP(D6,'02_Type_Assumptions'!$A$4:$Z$18,10,FALSE()),IF(LOWER(E6)="acres",M6*VLOOKUP(D6,'02_Type_Assumptions'!$A$4:$Z$18,11,FALSE()),IF(LOWER(E6)="sqft",T6/1000*VLOOKUP(D6,'02_Type_Assumptions'!$A$4:$Z$18,12,FALSE()),0))),0)</f>
        <v/>
      </c>
      <c r="X6" s="54">
        <f>INPUTS!$D$50</f>
        <v/>
      </c>
      <c r="Y6" s="55" t="n"/>
      <c r="Z6" s="54">
        <f>IF(ISNUMBER(Y6),Y6,W6*X6)</f>
        <v/>
      </c>
      <c r="AA6" s="55" t="n"/>
      <c r="AB6" s="55" t="n"/>
      <c r="AC6" s="57" t="inlineStr">
        <is>
          <t>Test case — Sika-class manufacturing facility.</t>
        </is>
      </c>
      <c r="AD6" s="2">
        <f>IFERROR($P6*VLOOKUP($D6,'02_Type_Assumptions'!$A$4:$AC$18,28,FALSE()),$P6)</f>
        <v/>
      </c>
      <c r="AE6" s="2">
        <f>IFERROR($P6*VLOOKUP($D6,'02_Type_Assumptions'!$A$4:$AC$18,29,FALSE()),$P6)</f>
        <v/>
      </c>
      <c r="AF6">
        <f>IF(IFERROR(VLOOKUP($D6,'02_Type_Assumptions'!$A$4:$AC$18,27,FALSE()),"")="Industrial",$AD6,0)</f>
        <v/>
      </c>
      <c r="AG6">
        <f>IF(IFERROR(VLOOKUP($D6,'02_Type_Assumptions'!$A$4:$AC$18,27,FALSE()),"")="Industrial",$AE6,0)</f>
        <v/>
      </c>
    </row>
    <row r="7" ht="15" customHeight="1" s="106">
      <c r="A7" s="23" t="n">
        <v>5</v>
      </c>
      <c r="B7" s="47">
        <f>INPUTS!$A$58</f>
        <v/>
      </c>
      <c r="C7" s="47">
        <f>(INPUTS!$B$58="Yes")</f>
        <v/>
      </c>
      <c r="D7" s="47">
        <f>INPUTS!$C$58</f>
        <v/>
      </c>
      <c r="E7" s="47">
        <f>INPUTS!$D$58</f>
        <v/>
      </c>
      <c r="F7" s="48">
        <f>INPUTS!$E$58</f>
        <v/>
      </c>
      <c r="G7" s="49">
        <f>IFERROR(VLOOKUP(D7,'02_Type_Assumptions'!$A$4:$Z$18,3,FALSE()),0)</f>
        <v/>
      </c>
      <c r="H7" s="50">
        <f>IF(INPUTS!$F$58="","",INPUTS!$F$58)</f>
        <v/>
      </c>
      <c r="I7" s="51">
        <f>IF(ISNUMBER(H7),H7,IF(LOWER(E7)="sqft",IFERROR(F7/43560/'00_Inputs_Dashboard'!$B$51,0),IF(LOWER(E7)="acres",IFERROR(F7,0),IFERROR(F7*G7,0))))</f>
        <v/>
      </c>
      <c r="J7" s="52">
        <f>INPUTS!$G$58</f>
        <v/>
      </c>
      <c r="K7" s="52">
        <f>INPUTS!$H$58</f>
        <v/>
      </c>
      <c r="L7" s="53">
        <f>INPUTS!$I$58</f>
        <v/>
      </c>
      <c r="M7" s="51">
        <f>I7*L7</f>
        <v/>
      </c>
      <c r="N7" s="54">
        <f>IFERROR(IF(LOWER(E7)="rooms",VLOOKUP(D7,'02_Type_Assumptions'!$A$4:$Z$18,6,FALSE()),IF(LOWER(E7)="acres",VLOOKUP(D7,'02_Type_Assumptions'!$A$4:$Z$18,5,FALSE()),VLOOKUP(D7,'02_Type_Assumptions'!$A$4:$Z$18,4,FALSE()))),0)</f>
        <v/>
      </c>
      <c r="O7" s="55" t="n"/>
      <c r="P7" s="54">
        <f>IF(ISNUMBER(O7),O7,IF(LOWER(E7)="rooms",F7*N7*L7,IF(LOWER(E7)="acres",M7*N7,IF(LOWER(E7)="sqft",M7*VLOOKUP(D7,'02_Type_Assumptions'!$A$4:$Z$18,5,FALSE()),F7*N7*L7))))</f>
        <v/>
      </c>
      <c r="Q7" s="54">
        <f>IFERROR(IF(VLOOKUP(D7,'02_Type_Assumptions'!$A$4:$Z$18,23,FALSE())="per_acre",VLOOKUP(D7,'02_Type_Assumptions'!$A$4:$Z$18,8,FALSE()),0),0)</f>
        <v/>
      </c>
      <c r="R7" s="55" t="n"/>
      <c r="S7" s="54">
        <f>IF(ISNUMBER(R7),R7*L7,M7*Q7)</f>
        <v/>
      </c>
      <c r="T7" s="56">
        <f>IF(LOWER(E7)="sqft",F7*L7,M7*IFERROR(VLOOKUP(D7,'02_Type_Assumptions'!$A$4:$Z$18,9,FALSE()),0))</f>
        <v/>
      </c>
      <c r="U7" s="56">
        <f>IF(OR(LOWER(E7)="lots",LOWER(E7)="units"),F7*L7,0)</f>
        <v/>
      </c>
      <c r="V7" s="56">
        <f>U7*IFERROR(VLOOKUP(D7,'02_Type_Assumptions'!$A$4:$Z$18,21,FALSE()),0)</f>
        <v/>
      </c>
      <c r="W7" s="51">
        <f>IFERROR(IF(OR(LOWER(E7)="lots",LOWER(E7)="units",LOWER(E7)="rooms"),F7*L7*VLOOKUP(D7,'02_Type_Assumptions'!$A$4:$Z$18,10,FALSE()),IF(LOWER(E7)="acres",M7*VLOOKUP(D7,'02_Type_Assumptions'!$A$4:$Z$18,11,FALSE()),IF(LOWER(E7)="sqft",T7/1000*VLOOKUP(D7,'02_Type_Assumptions'!$A$4:$Z$18,12,FALSE()),0))),0)</f>
        <v/>
      </c>
      <c r="X7" s="54">
        <f>INPUTS!$D$50</f>
        <v/>
      </c>
      <c r="Y7" s="55" t="n"/>
      <c r="Z7" s="54">
        <f>IF(ISNUMBER(Y7),Y7,W7*X7)</f>
        <v/>
      </c>
      <c r="AA7" s="55" t="n"/>
      <c r="AB7" s="55" t="n"/>
      <c r="AC7" s="57" t="inlineStr">
        <is>
          <t>Test case — Walmart DC-class logistics.</t>
        </is>
      </c>
      <c r="AD7" s="2">
        <f>IFERROR($P7*VLOOKUP($D7,'02_Type_Assumptions'!$A$4:$AC$18,28,FALSE()),$P7)</f>
        <v/>
      </c>
      <c r="AE7" s="2">
        <f>IFERROR($P7*VLOOKUP($D7,'02_Type_Assumptions'!$A$4:$AC$18,29,FALSE()),$P7)</f>
        <v/>
      </c>
      <c r="AF7">
        <f>IF(IFERROR(VLOOKUP($D7,'02_Type_Assumptions'!$A$4:$AC$18,27,FALSE()),"")="Industrial",$AD7,0)</f>
        <v/>
      </c>
      <c r="AG7">
        <f>IF(IFERROR(VLOOKUP($D7,'02_Type_Assumptions'!$A$4:$AC$18,27,FALSE()),"")="Industrial",$AE7,0)</f>
        <v/>
      </c>
    </row>
    <row r="8" ht="20.25" customHeight="1" s="106">
      <c r="A8" s="23" t="n">
        <v>6</v>
      </c>
      <c r="B8" s="47">
        <f>INPUTS!$A$59</f>
        <v/>
      </c>
      <c r="C8" s="47">
        <f>(INPUTS!$B$59="Yes")</f>
        <v/>
      </c>
      <c r="D8" s="47">
        <f>INPUTS!$C$59</f>
        <v/>
      </c>
      <c r="E8" s="47">
        <f>INPUTS!$D$59</f>
        <v/>
      </c>
      <c r="F8" s="48">
        <f>INPUTS!$E$59</f>
        <v/>
      </c>
      <c r="G8" s="49">
        <f>IFERROR(VLOOKUP(D8,'02_Type_Assumptions'!$A$4:$Z$18,3,FALSE()),0)</f>
        <v/>
      </c>
      <c r="H8" s="50">
        <f>IF(INPUTS!$F$59="","",INPUTS!$F$59)</f>
        <v/>
      </c>
      <c r="I8" s="51">
        <f>IF(ISNUMBER(H8),H8,IF(LOWER(E8)="sqft",IFERROR(F8/43560/'00_Inputs_Dashboard'!$B$51,0),IF(LOWER(E8)="acres",IFERROR(F8,0),IFERROR(F8*G8,0))))</f>
        <v/>
      </c>
      <c r="J8" s="52">
        <f>INPUTS!$G$59</f>
        <v/>
      </c>
      <c r="K8" s="52">
        <f>INPUTS!$H$59</f>
        <v/>
      </c>
      <c r="L8" s="53">
        <f>INPUTS!$I$59</f>
        <v/>
      </c>
      <c r="M8" s="51">
        <f>I8*L8</f>
        <v/>
      </c>
      <c r="N8" s="54">
        <f>IFERROR(IF(LOWER(E8)="rooms",VLOOKUP(D8,'02_Type_Assumptions'!$A$4:$Z$18,6,FALSE()),IF(LOWER(E8)="acres",VLOOKUP(D8,'02_Type_Assumptions'!$A$4:$Z$18,5,FALSE()),VLOOKUP(D8,'02_Type_Assumptions'!$A$4:$Z$18,4,FALSE()))),0)</f>
        <v/>
      </c>
      <c r="O8" s="55" t="n"/>
      <c r="P8" s="54">
        <f>IF(ISNUMBER(O8),O8,IF(LOWER(E8)="rooms",F8*N8*L8,IF(LOWER(E8)="acres",M8*N8,IF(LOWER(E8)="sqft",M8*VLOOKUP(D8,'02_Type_Assumptions'!$A$4:$Z$18,5,FALSE()),F8*N8*L8))))</f>
        <v/>
      </c>
      <c r="Q8" s="54">
        <f>IFERROR(IF(VLOOKUP(D8,'02_Type_Assumptions'!$A$4:$Z$18,23,FALSE())="per_acre",VLOOKUP(D8,'02_Type_Assumptions'!$A$4:$Z$18,8,FALSE()),0),0)</f>
        <v/>
      </c>
      <c r="R8" s="55" t="n"/>
      <c r="S8" s="54">
        <f>IF(ISNUMBER(R8),R8*L8,M8*Q8)</f>
        <v/>
      </c>
      <c r="T8" s="56">
        <f>IF(LOWER(E8)="sqft",F8*L8,M8*IFERROR(VLOOKUP(D8,'02_Type_Assumptions'!$A$4:$Z$18,9,FALSE()),0))</f>
        <v/>
      </c>
      <c r="U8" s="56">
        <f>IF(OR(LOWER(E8)="lots",LOWER(E8)="units"),F8*L8,0)</f>
        <v/>
      </c>
      <c r="V8" s="56">
        <f>U8*IFERROR(VLOOKUP(D8,'02_Type_Assumptions'!$A$4:$Z$18,21,FALSE()),0)</f>
        <v/>
      </c>
      <c r="W8" s="51">
        <f>IFERROR(IF(OR(LOWER(E8)="lots",LOWER(E8)="units",LOWER(E8)="rooms"),F8*L8*VLOOKUP(D8,'02_Type_Assumptions'!$A$4:$Z$18,10,FALSE()),IF(LOWER(E8)="acres",M8*VLOOKUP(D8,'02_Type_Assumptions'!$A$4:$Z$18,11,FALSE()),IF(LOWER(E8)="sqft",T8/1000*VLOOKUP(D8,'02_Type_Assumptions'!$A$4:$Z$18,12,FALSE()),0))),0)</f>
        <v/>
      </c>
      <c r="X8" s="54">
        <f>INPUTS!$D$50</f>
        <v/>
      </c>
      <c r="Y8" s="55" t="n"/>
      <c r="Z8" s="54">
        <f>IF(ISNUMBER(Y8),Y8,W8*X8)</f>
        <v/>
      </c>
      <c r="AA8" s="55" t="n"/>
      <c r="AB8" s="55" t="n"/>
      <c r="AC8" s="57" t="inlineStr">
        <is>
          <t>Test case — limited-service hotel. HOT separate.</t>
        </is>
      </c>
      <c r="AD8" s="2">
        <f>IFERROR($P8*VLOOKUP($D8,'02_Type_Assumptions'!$A$4:$AC$18,28,FALSE()),$P8)</f>
        <v/>
      </c>
      <c r="AE8" s="2">
        <f>IFERROR($P8*VLOOKUP($D8,'02_Type_Assumptions'!$A$4:$AC$18,29,FALSE()),$P8)</f>
        <v/>
      </c>
      <c r="AF8">
        <f>IF(IFERROR(VLOOKUP($D8,'02_Type_Assumptions'!$A$4:$AC$18,27,FALSE()),"")="Industrial",$AD8,0)</f>
        <v/>
      </c>
      <c r="AG8">
        <f>IF(IFERROR(VLOOKUP($D8,'02_Type_Assumptions'!$A$4:$AC$18,27,FALSE()),"")="Industrial",$AE8,0)</f>
        <v/>
      </c>
    </row>
    <row r="9" ht="15" customHeight="1" s="106">
      <c r="A9" s="23" t="n">
        <v>7</v>
      </c>
      <c r="B9" s="47">
        <f>INPUTS!$A$60</f>
        <v/>
      </c>
      <c r="C9" s="47">
        <f>(INPUTS!$B$60="Yes")</f>
        <v/>
      </c>
      <c r="D9" s="47">
        <f>INPUTS!$C$60</f>
        <v/>
      </c>
      <c r="E9" s="47">
        <f>INPUTS!$D$60</f>
        <v/>
      </c>
      <c r="F9" s="48">
        <f>INPUTS!$E$60</f>
        <v/>
      </c>
      <c r="G9" s="49">
        <f>IFERROR(VLOOKUP(D9,'02_Type_Assumptions'!$A$4:$Z$18,3,FALSE()),0)</f>
        <v/>
      </c>
      <c r="H9" s="50">
        <f>IF(INPUTS!$F$60="","",INPUTS!$F$60)</f>
        <v/>
      </c>
      <c r="I9" s="51">
        <f>IF(ISNUMBER(H9),H9,IF(LOWER(E9)="sqft",IFERROR(F9/43560/'00_Inputs_Dashboard'!$B$51,0),IF(LOWER(E9)="acres",IFERROR(F9,0),IFERROR(F9*G9,0))))</f>
        <v/>
      </c>
      <c r="J9" s="52">
        <f>INPUTS!$G$60</f>
        <v/>
      </c>
      <c r="K9" s="52">
        <f>INPUTS!$H$60</f>
        <v/>
      </c>
      <c r="L9" s="53">
        <f>INPUTS!$I$60</f>
        <v/>
      </c>
      <c r="M9" s="51">
        <f>I9*L9</f>
        <v/>
      </c>
      <c r="N9" s="54">
        <f>IFERROR(IF(LOWER(E9)="rooms",VLOOKUP(D9,'02_Type_Assumptions'!$A$4:$Z$18,6,FALSE()),IF(LOWER(E9)="acres",VLOOKUP(D9,'02_Type_Assumptions'!$A$4:$Z$18,5,FALSE()),VLOOKUP(D9,'02_Type_Assumptions'!$A$4:$Z$18,4,FALSE()))),0)</f>
        <v/>
      </c>
      <c r="O9" s="55" t="n"/>
      <c r="P9" s="54">
        <f>IF(ISNUMBER(O9),O9,IF(LOWER(E9)="rooms",F9*N9*L9,IF(LOWER(E9)="acres",M9*N9,IF(LOWER(E9)="sqft",M9*VLOOKUP(D9,'02_Type_Assumptions'!$A$4:$Z$18,5,FALSE()),F9*N9*L9))))</f>
        <v/>
      </c>
      <c r="Q9" s="54">
        <f>IFERROR(IF(VLOOKUP(D9,'02_Type_Assumptions'!$A$4:$Z$18,23,FALSE())="per_acre",VLOOKUP(D9,'02_Type_Assumptions'!$A$4:$Z$18,8,FALSE()),0),0)</f>
        <v/>
      </c>
      <c r="R9" s="55" t="n"/>
      <c r="S9" s="54">
        <f>IF(ISNUMBER(R9),R9*L9,M9*Q9)</f>
        <v/>
      </c>
      <c r="T9" s="56">
        <f>IF(LOWER(E9)="sqft",F9*L9,M9*IFERROR(VLOOKUP(D9,'02_Type_Assumptions'!$A$4:$Z$18,9,FALSE()),0))</f>
        <v/>
      </c>
      <c r="U9" s="56">
        <f>IF(OR(LOWER(E9)="lots",LOWER(E9)="units"),F9*L9,0)</f>
        <v/>
      </c>
      <c r="V9" s="56">
        <f>U9*IFERROR(VLOOKUP(D9,'02_Type_Assumptions'!$A$4:$Z$18,21,FALSE()),0)</f>
        <v/>
      </c>
      <c r="W9" s="51">
        <f>IFERROR(IF(OR(LOWER(E9)="lots",LOWER(E9)="units",LOWER(E9)="rooms"),F9*L9*VLOOKUP(D9,'02_Type_Assumptions'!$A$4:$Z$18,10,FALSE()),IF(LOWER(E9)="acres",M9*VLOOKUP(D9,'02_Type_Assumptions'!$A$4:$Z$18,11,FALSE()),IF(LOWER(E9)="sqft",T9/1000*VLOOKUP(D9,'02_Type_Assumptions'!$A$4:$Z$18,12,FALSE()),0))),0)</f>
        <v/>
      </c>
      <c r="X9" s="54">
        <f>INPUTS!$D$50</f>
        <v/>
      </c>
      <c r="Y9" s="55" t="n"/>
      <c r="Z9" s="54">
        <f>IF(ISNUMBER(Y9),Y9,W9*X9)</f>
        <v/>
      </c>
      <c r="AA9" s="55" t="n"/>
      <c r="AB9" s="55" t="n"/>
      <c r="AC9" s="57" t="n"/>
      <c r="AD9" s="58">
        <f>IFERROR($P9*VLOOKUP($D9,'02_Type_Assumptions'!$A$4:$AC$18,28,FALSE()),$P9)</f>
        <v/>
      </c>
      <c r="AE9" s="58">
        <f>IFERROR($P9*VLOOKUP($D9,'02_Type_Assumptions'!$A$4:$AC$18,29,FALSE()),$P9)</f>
        <v/>
      </c>
      <c r="AF9">
        <f>IF(IFERROR(VLOOKUP($D9,'02_Type_Assumptions'!$A$4:$AC$18,27,FALSE()),"")="Industrial",$AD9,0)</f>
        <v/>
      </c>
      <c r="AG9">
        <f>IF(IFERROR(VLOOKUP($D9,'02_Type_Assumptions'!$A$4:$AC$18,27,FALSE()),"")="Industrial",$AE9,0)</f>
        <v/>
      </c>
    </row>
    <row r="10" ht="15" customHeight="1" s="106">
      <c r="A10" s="23" t="n">
        <v>8</v>
      </c>
      <c r="B10" s="47">
        <f>INPUTS!$A$61</f>
        <v/>
      </c>
      <c r="C10" s="47">
        <f>(INPUTS!$B$61="Yes")</f>
        <v/>
      </c>
      <c r="D10" s="47">
        <f>INPUTS!$C$61</f>
        <v/>
      </c>
      <c r="E10" s="47">
        <f>INPUTS!$D$61</f>
        <v/>
      </c>
      <c r="F10" s="48">
        <f>INPUTS!$E$61</f>
        <v/>
      </c>
      <c r="G10" s="49">
        <f>IFERROR(VLOOKUP(D10,'02_Type_Assumptions'!$A$4:$Z$18,3,FALSE()),0)</f>
        <v/>
      </c>
      <c r="H10" s="50">
        <f>IF(INPUTS!$F$61="","",INPUTS!$F$61)</f>
        <v/>
      </c>
      <c r="I10" s="51">
        <f>IF(ISNUMBER(H10),H10,IF(LOWER(E10)="sqft",IFERROR(F10/43560/'00_Inputs_Dashboard'!$B$51,0),IF(LOWER(E10)="acres",IFERROR(F10,0),IFERROR(F10*G10,0))))</f>
        <v/>
      </c>
      <c r="J10" s="52">
        <f>INPUTS!$G$61</f>
        <v/>
      </c>
      <c r="K10" s="52">
        <f>INPUTS!$H$61</f>
        <v/>
      </c>
      <c r="L10" s="53">
        <f>INPUTS!$I$61</f>
        <v/>
      </c>
      <c r="M10" s="51">
        <f>I10*L10</f>
        <v/>
      </c>
      <c r="N10" s="54">
        <f>IFERROR(IF(LOWER(E10)="rooms",VLOOKUP(D10,'02_Type_Assumptions'!$A$4:$Z$18,6,FALSE()),IF(LOWER(E10)="acres",VLOOKUP(D10,'02_Type_Assumptions'!$A$4:$Z$18,5,FALSE()),VLOOKUP(D10,'02_Type_Assumptions'!$A$4:$Z$18,4,FALSE()))),0)</f>
        <v/>
      </c>
      <c r="O10" s="55" t="n"/>
      <c r="P10" s="54">
        <f>IF(ISNUMBER(O10),O10,IF(LOWER(E10)="rooms",F10*N10*L10,IF(LOWER(E10)="acres",M10*N10,IF(LOWER(E10)="sqft",M10*VLOOKUP(D10,'02_Type_Assumptions'!$A$4:$Z$18,5,FALSE()),F10*N10*L10))))</f>
        <v/>
      </c>
      <c r="Q10" s="54">
        <f>IFERROR(IF(VLOOKUP(D10,'02_Type_Assumptions'!$A$4:$Z$18,23,FALSE())="per_acre",VLOOKUP(D10,'02_Type_Assumptions'!$A$4:$Z$18,8,FALSE()),0),0)</f>
        <v/>
      </c>
      <c r="R10" s="55" t="n"/>
      <c r="S10" s="54">
        <f>IF(ISNUMBER(R10),R10*L10,M10*Q10)</f>
        <v/>
      </c>
      <c r="T10" s="56">
        <f>IF(LOWER(E10)="sqft",F10*L10,M10*IFERROR(VLOOKUP(D10,'02_Type_Assumptions'!$A$4:$Z$18,9,FALSE()),0))</f>
        <v/>
      </c>
      <c r="U10" s="56">
        <f>IF(OR(LOWER(E10)="lots",LOWER(E10)="units"),F10*L10,0)</f>
        <v/>
      </c>
      <c r="V10" s="56">
        <f>U10*IFERROR(VLOOKUP(D10,'02_Type_Assumptions'!$A$4:$Z$18,21,FALSE()),0)</f>
        <v/>
      </c>
      <c r="W10" s="51">
        <f>IFERROR(IF(OR(LOWER(E10)="lots",LOWER(E10)="units",LOWER(E10)="rooms"),F10*L10*VLOOKUP(D10,'02_Type_Assumptions'!$A$4:$Z$18,10,FALSE()),IF(LOWER(E10)="acres",M10*VLOOKUP(D10,'02_Type_Assumptions'!$A$4:$Z$18,11,FALSE()),IF(LOWER(E10)="sqft",T10/1000*VLOOKUP(D10,'02_Type_Assumptions'!$A$4:$Z$18,12,FALSE()),0))),0)</f>
        <v/>
      </c>
      <c r="X10" s="54">
        <f>INPUTS!$D$50</f>
        <v/>
      </c>
      <c r="Y10" s="55" t="n"/>
      <c r="Z10" s="54">
        <f>IF(ISNUMBER(Y10),Y10,W10*X10)</f>
        <v/>
      </c>
      <c r="AA10" s="55" t="n"/>
      <c r="AB10" s="55" t="n"/>
      <c r="AC10" s="57" t="n"/>
      <c r="AD10" s="58">
        <f>IFERROR($P10*VLOOKUP($D10,'02_Type_Assumptions'!$A$4:$AC$18,28,FALSE()),$P10)</f>
        <v/>
      </c>
      <c r="AE10" s="58">
        <f>IFERROR($P10*VLOOKUP($D10,'02_Type_Assumptions'!$A$4:$AC$18,29,FALSE()),$P10)</f>
        <v/>
      </c>
      <c r="AF10">
        <f>IF(IFERROR(VLOOKUP($D10,'02_Type_Assumptions'!$A$4:$AC$18,27,FALSE()),"")="Industrial",$AD10,0)</f>
        <v/>
      </c>
      <c r="AG10">
        <f>IF(IFERROR(VLOOKUP($D10,'02_Type_Assumptions'!$A$4:$AC$18,27,FALSE()),"")="Industrial",$AE10,0)</f>
        <v/>
      </c>
    </row>
    <row r="11" ht="15" customHeight="1" s="106">
      <c r="A11" s="23" t="n">
        <v>9</v>
      </c>
      <c r="B11" s="47">
        <f>INPUTS!$A$62</f>
        <v/>
      </c>
      <c r="C11" s="47">
        <f>(INPUTS!$B$62="Yes")</f>
        <v/>
      </c>
      <c r="D11" s="47">
        <f>INPUTS!$C$62</f>
        <v/>
      </c>
      <c r="E11" s="47">
        <f>INPUTS!$D$62</f>
        <v/>
      </c>
      <c r="F11" s="48">
        <f>INPUTS!$E$62</f>
        <v/>
      </c>
      <c r="G11" s="49">
        <f>IFERROR(VLOOKUP(D11,'02_Type_Assumptions'!$A$4:$Z$18,3,FALSE()),0)</f>
        <v/>
      </c>
      <c r="H11" s="50">
        <f>IF(INPUTS!$F$62="","",INPUTS!$F$62)</f>
        <v/>
      </c>
      <c r="I11" s="51">
        <f>IF(ISNUMBER(H11),H11,IF(LOWER(E11)="sqft",IFERROR(F11/43560/'00_Inputs_Dashboard'!$B$51,0),IF(LOWER(E11)="acres",IFERROR(F11,0),IFERROR(F11*G11,0))))</f>
        <v/>
      </c>
      <c r="J11" s="52">
        <f>INPUTS!$G$62</f>
        <v/>
      </c>
      <c r="K11" s="52">
        <f>INPUTS!$H$62</f>
        <v/>
      </c>
      <c r="L11" s="53">
        <f>INPUTS!$I$62</f>
        <v/>
      </c>
      <c r="M11" s="51">
        <f>I11*L11</f>
        <v/>
      </c>
      <c r="N11" s="54">
        <f>IFERROR(IF(LOWER(E11)="rooms",VLOOKUP(D11,'02_Type_Assumptions'!$A$4:$Z$18,6,FALSE()),IF(LOWER(E11)="acres",VLOOKUP(D11,'02_Type_Assumptions'!$A$4:$Z$18,5,FALSE()),VLOOKUP(D11,'02_Type_Assumptions'!$A$4:$Z$18,4,FALSE()))),0)</f>
        <v/>
      </c>
      <c r="O11" s="55" t="n"/>
      <c r="P11" s="54">
        <f>IF(ISNUMBER(O11),O11,IF(LOWER(E11)="rooms",F11*N11*L11,IF(LOWER(E11)="acres",M11*N11,IF(LOWER(E11)="sqft",M11*VLOOKUP(D11,'02_Type_Assumptions'!$A$4:$Z$18,5,FALSE()),F11*N11*L11))))</f>
        <v/>
      </c>
      <c r="Q11" s="54">
        <f>IFERROR(IF(VLOOKUP(D11,'02_Type_Assumptions'!$A$4:$Z$18,23,FALSE())="per_acre",VLOOKUP(D11,'02_Type_Assumptions'!$A$4:$Z$18,8,FALSE()),0),0)</f>
        <v/>
      </c>
      <c r="R11" s="55" t="n"/>
      <c r="S11" s="54">
        <f>IF(ISNUMBER(R11),R11*L11,M11*Q11)</f>
        <v/>
      </c>
      <c r="T11" s="56">
        <f>IF(LOWER(E11)="sqft",F11*L11,M11*IFERROR(VLOOKUP(D11,'02_Type_Assumptions'!$A$4:$Z$18,9,FALSE()),0))</f>
        <v/>
      </c>
      <c r="U11" s="56">
        <f>IF(OR(LOWER(E11)="lots",LOWER(E11)="units"),F11*L11,0)</f>
        <v/>
      </c>
      <c r="V11" s="56">
        <f>U11*IFERROR(VLOOKUP(D11,'02_Type_Assumptions'!$A$4:$Z$18,21,FALSE()),0)</f>
        <v/>
      </c>
      <c r="W11" s="51">
        <f>IFERROR(IF(OR(LOWER(E11)="lots",LOWER(E11)="units",LOWER(E11)="rooms"),F11*L11*VLOOKUP(D11,'02_Type_Assumptions'!$A$4:$Z$18,10,FALSE()),IF(LOWER(E11)="acres",M11*VLOOKUP(D11,'02_Type_Assumptions'!$A$4:$Z$18,11,FALSE()),IF(LOWER(E11)="sqft",T11/1000*VLOOKUP(D11,'02_Type_Assumptions'!$A$4:$Z$18,12,FALSE()),0))),0)</f>
        <v/>
      </c>
      <c r="X11" s="54">
        <f>INPUTS!$D$50</f>
        <v/>
      </c>
      <c r="Y11" s="55" t="n"/>
      <c r="Z11" s="54">
        <f>IF(ISNUMBER(Y11),Y11,W11*X11)</f>
        <v/>
      </c>
      <c r="AA11" s="55" t="n"/>
      <c r="AB11" s="55" t="n"/>
      <c r="AC11" s="57" t="n"/>
      <c r="AD11" s="58">
        <f>IFERROR($P11*VLOOKUP($D11,'02_Type_Assumptions'!$A$4:$AC$18,28,FALSE()),$P11)</f>
        <v/>
      </c>
      <c r="AE11" s="58">
        <f>IFERROR($P11*VLOOKUP($D11,'02_Type_Assumptions'!$A$4:$AC$18,29,FALSE()),$P11)</f>
        <v/>
      </c>
      <c r="AF11">
        <f>IF(IFERROR(VLOOKUP($D11,'02_Type_Assumptions'!$A$4:$AC$18,27,FALSE()),"")="Industrial",$AD11,0)</f>
        <v/>
      </c>
      <c r="AG11">
        <f>IF(IFERROR(VLOOKUP($D11,'02_Type_Assumptions'!$A$4:$AC$18,27,FALSE()),"")="Industrial",$AE11,0)</f>
        <v/>
      </c>
    </row>
    <row r="12" ht="15" customHeight="1" s="106">
      <c r="A12" s="23" t="n">
        <v>10</v>
      </c>
      <c r="B12" s="47">
        <f>INPUTS!$A$63</f>
        <v/>
      </c>
      <c r="C12" s="47">
        <f>(INPUTS!$B$63="Yes")</f>
        <v/>
      </c>
      <c r="D12" s="47">
        <f>INPUTS!$C$63</f>
        <v/>
      </c>
      <c r="E12" s="47">
        <f>INPUTS!$D$63</f>
        <v/>
      </c>
      <c r="F12" s="48">
        <f>INPUTS!$E$63</f>
        <v/>
      </c>
      <c r="G12" s="49">
        <f>IFERROR(VLOOKUP(D12,'02_Type_Assumptions'!$A$4:$Z$18,3,FALSE()),0)</f>
        <v/>
      </c>
      <c r="H12" s="50">
        <f>IF(INPUTS!$F$63="","",INPUTS!$F$63)</f>
        <v/>
      </c>
      <c r="I12" s="51">
        <f>IF(ISNUMBER(H12),H12,IF(LOWER(E12)="sqft",IFERROR(F12/43560/'00_Inputs_Dashboard'!$B$51,0),IF(LOWER(E12)="acres",IFERROR(F12,0),IFERROR(F12*G12,0))))</f>
        <v/>
      </c>
      <c r="J12" s="52">
        <f>INPUTS!$G$63</f>
        <v/>
      </c>
      <c r="K12" s="52">
        <f>INPUTS!$H$63</f>
        <v/>
      </c>
      <c r="L12" s="53">
        <f>INPUTS!$I$63</f>
        <v/>
      </c>
      <c r="M12" s="51">
        <f>I12*L12</f>
        <v/>
      </c>
      <c r="N12" s="54">
        <f>IFERROR(IF(LOWER(E12)="rooms",VLOOKUP(D12,'02_Type_Assumptions'!$A$4:$Z$18,6,FALSE()),IF(LOWER(E12)="acres",VLOOKUP(D12,'02_Type_Assumptions'!$A$4:$Z$18,5,FALSE()),VLOOKUP(D12,'02_Type_Assumptions'!$A$4:$Z$18,4,FALSE()))),0)</f>
        <v/>
      </c>
      <c r="O12" s="55" t="n"/>
      <c r="P12" s="54">
        <f>IF(ISNUMBER(O12),O12,IF(LOWER(E12)="rooms",F12*N12*L12,IF(LOWER(E12)="acres",M12*N12,IF(LOWER(E12)="sqft",M12*VLOOKUP(D12,'02_Type_Assumptions'!$A$4:$Z$18,5,FALSE()),F12*N12*L12))))</f>
        <v/>
      </c>
      <c r="Q12" s="54">
        <f>IFERROR(IF(VLOOKUP(D12,'02_Type_Assumptions'!$A$4:$Z$18,23,FALSE())="per_acre",VLOOKUP(D12,'02_Type_Assumptions'!$A$4:$Z$18,8,FALSE()),0),0)</f>
        <v/>
      </c>
      <c r="R12" s="55" t="n"/>
      <c r="S12" s="54">
        <f>IF(ISNUMBER(R12),R12*L12,M12*Q12)</f>
        <v/>
      </c>
      <c r="T12" s="56">
        <f>IF(LOWER(E12)="sqft",F12*L12,M12*IFERROR(VLOOKUP(D12,'02_Type_Assumptions'!$A$4:$Z$18,9,FALSE()),0))</f>
        <v/>
      </c>
      <c r="U12" s="56">
        <f>IF(OR(LOWER(E12)="lots",LOWER(E12)="units"),F12*L12,0)</f>
        <v/>
      </c>
      <c r="V12" s="56">
        <f>U12*IFERROR(VLOOKUP(D12,'02_Type_Assumptions'!$A$4:$Z$18,21,FALSE()),0)</f>
        <v/>
      </c>
      <c r="W12" s="51">
        <f>IFERROR(IF(OR(LOWER(E12)="lots",LOWER(E12)="units",LOWER(E12)="rooms"),F12*L12*VLOOKUP(D12,'02_Type_Assumptions'!$A$4:$Z$18,10,FALSE()),IF(LOWER(E12)="acres",M12*VLOOKUP(D12,'02_Type_Assumptions'!$A$4:$Z$18,11,FALSE()),IF(LOWER(E12)="sqft",T12/1000*VLOOKUP(D12,'02_Type_Assumptions'!$A$4:$Z$18,12,FALSE()),0))),0)</f>
        <v/>
      </c>
      <c r="X12" s="54">
        <f>INPUTS!$D$50</f>
        <v/>
      </c>
      <c r="Y12" s="55" t="n"/>
      <c r="Z12" s="54">
        <f>IF(ISNUMBER(Y12),Y12,W12*X12)</f>
        <v/>
      </c>
      <c r="AA12" s="55" t="n"/>
      <c r="AB12" s="55" t="n"/>
      <c r="AC12" s="57" t="n"/>
      <c r="AD12" s="58">
        <f>IFERROR($P12*VLOOKUP($D12,'02_Type_Assumptions'!$A$4:$AC$18,28,FALSE()),$P12)</f>
        <v/>
      </c>
      <c r="AE12" s="58">
        <f>IFERROR($P12*VLOOKUP($D12,'02_Type_Assumptions'!$A$4:$AC$18,29,FALSE()),$P12)</f>
        <v/>
      </c>
      <c r="AF12">
        <f>IF(IFERROR(VLOOKUP($D12,'02_Type_Assumptions'!$A$4:$AC$18,27,FALSE()),"")="Industrial",$AD12,0)</f>
        <v/>
      </c>
      <c r="AG12">
        <f>IF(IFERROR(VLOOKUP($D12,'02_Type_Assumptions'!$A$4:$AC$18,27,FALSE()),"")="Industrial",$AE12,0)</f>
        <v/>
      </c>
    </row>
    <row r="13" ht="15" customHeight="1" s="106">
      <c r="A13" s="23" t="n">
        <v>11</v>
      </c>
      <c r="B13" s="47">
        <f>INPUTS!$A$64</f>
        <v/>
      </c>
      <c r="C13" s="47">
        <f>(INPUTS!$B$64="Yes")</f>
        <v/>
      </c>
      <c r="D13" s="47">
        <f>INPUTS!$C$64</f>
        <v/>
      </c>
      <c r="E13" s="47">
        <f>INPUTS!$D$64</f>
        <v/>
      </c>
      <c r="F13" s="48">
        <f>INPUTS!$E$64</f>
        <v/>
      </c>
      <c r="G13" s="49">
        <f>IFERROR(VLOOKUP(D13,'02_Type_Assumptions'!$A$4:$Z$18,3,FALSE()),0)</f>
        <v/>
      </c>
      <c r="H13" s="50">
        <f>IF(INPUTS!$F$64="","",INPUTS!$F$64)</f>
        <v/>
      </c>
      <c r="I13" s="51">
        <f>IF(ISNUMBER(H13),H13,IF(LOWER(E13)="sqft",IFERROR(F13/43560/'00_Inputs_Dashboard'!$B$51,0),IF(LOWER(E13)="acres",IFERROR(F13,0),IFERROR(F13*G13,0))))</f>
        <v/>
      </c>
      <c r="J13" s="52">
        <f>INPUTS!$G$64</f>
        <v/>
      </c>
      <c r="K13" s="52">
        <f>INPUTS!$H$64</f>
        <v/>
      </c>
      <c r="L13" s="53">
        <f>INPUTS!$I$64</f>
        <v/>
      </c>
      <c r="M13" s="51">
        <f>I13*L13</f>
        <v/>
      </c>
      <c r="N13" s="54">
        <f>IFERROR(IF(LOWER(E13)="rooms",VLOOKUP(D13,'02_Type_Assumptions'!$A$4:$Z$18,6,FALSE()),IF(LOWER(E13)="acres",VLOOKUP(D13,'02_Type_Assumptions'!$A$4:$Z$18,5,FALSE()),VLOOKUP(D13,'02_Type_Assumptions'!$A$4:$Z$18,4,FALSE()))),0)</f>
        <v/>
      </c>
      <c r="O13" s="55" t="n"/>
      <c r="P13" s="54">
        <f>IF(ISNUMBER(O13),O13,IF(LOWER(E13)="rooms",F13*N13*L13,IF(LOWER(E13)="acres",M13*N13,IF(LOWER(E13)="sqft",M13*VLOOKUP(D13,'02_Type_Assumptions'!$A$4:$Z$18,5,FALSE()),F13*N13*L13))))</f>
        <v/>
      </c>
      <c r="Q13" s="54">
        <f>IFERROR(IF(VLOOKUP(D13,'02_Type_Assumptions'!$A$4:$Z$18,23,FALSE())="per_acre",VLOOKUP(D13,'02_Type_Assumptions'!$A$4:$Z$18,8,FALSE()),0),0)</f>
        <v/>
      </c>
      <c r="R13" s="55" t="n"/>
      <c r="S13" s="54">
        <f>IF(ISNUMBER(R13),R13*L13,M13*Q13)</f>
        <v/>
      </c>
      <c r="T13" s="56">
        <f>IF(LOWER(E13)="sqft",F13*L13,M13*IFERROR(VLOOKUP(D13,'02_Type_Assumptions'!$A$4:$Z$18,9,FALSE()),0))</f>
        <v/>
      </c>
      <c r="U13" s="56">
        <f>IF(OR(LOWER(E13)="lots",LOWER(E13)="units"),F13*L13,0)</f>
        <v/>
      </c>
      <c r="V13" s="56">
        <f>U13*IFERROR(VLOOKUP(D13,'02_Type_Assumptions'!$A$4:$Z$18,21,FALSE()),0)</f>
        <v/>
      </c>
      <c r="W13" s="51">
        <f>IFERROR(IF(OR(LOWER(E13)="lots",LOWER(E13)="units",LOWER(E13)="rooms"),F13*L13*VLOOKUP(D13,'02_Type_Assumptions'!$A$4:$Z$18,10,FALSE()),IF(LOWER(E13)="acres",M13*VLOOKUP(D13,'02_Type_Assumptions'!$A$4:$Z$18,11,FALSE()),IF(LOWER(E13)="sqft",T13/1000*VLOOKUP(D13,'02_Type_Assumptions'!$A$4:$Z$18,12,FALSE()),0))),0)</f>
        <v/>
      </c>
      <c r="X13" s="54">
        <f>INPUTS!$D$50</f>
        <v/>
      </c>
      <c r="Y13" s="55" t="n"/>
      <c r="Z13" s="54">
        <f>IF(ISNUMBER(Y13),Y13,W13*X13)</f>
        <v/>
      </c>
      <c r="AA13" s="55" t="n"/>
      <c r="AB13" s="55" t="n"/>
      <c r="AC13" s="57" t="n"/>
      <c r="AD13" s="58">
        <f>IFERROR($P13*VLOOKUP($D13,'02_Type_Assumptions'!$A$4:$AC$18,28,FALSE()),$P13)</f>
        <v/>
      </c>
      <c r="AE13" s="58">
        <f>IFERROR($P13*VLOOKUP($D13,'02_Type_Assumptions'!$A$4:$AC$18,29,FALSE()),$P13)</f>
        <v/>
      </c>
      <c r="AF13">
        <f>IF(IFERROR(VLOOKUP($D13,'02_Type_Assumptions'!$A$4:$AC$18,27,FALSE()),"")="Industrial",$AD13,0)</f>
        <v/>
      </c>
      <c r="AG13">
        <f>IF(IFERROR(VLOOKUP($D13,'02_Type_Assumptions'!$A$4:$AC$18,27,FALSE()),"")="Industrial",$AE13,0)</f>
        <v/>
      </c>
    </row>
    <row r="14" ht="15" customHeight="1" s="106">
      <c r="A14" s="23" t="n">
        <v>12</v>
      </c>
      <c r="B14" s="47">
        <f>INPUTS!$A$65</f>
        <v/>
      </c>
      <c r="C14" s="47">
        <f>(INPUTS!$B$65="Yes")</f>
        <v/>
      </c>
      <c r="D14" s="47">
        <f>INPUTS!$C$65</f>
        <v/>
      </c>
      <c r="E14" s="47">
        <f>INPUTS!$D$65</f>
        <v/>
      </c>
      <c r="F14" s="48">
        <f>INPUTS!$E$65</f>
        <v/>
      </c>
      <c r="G14" s="49">
        <f>IFERROR(VLOOKUP(D14,'02_Type_Assumptions'!$A$4:$Z$18,3,FALSE()),0)</f>
        <v/>
      </c>
      <c r="H14" s="50">
        <f>IF(INPUTS!$F$65="","",INPUTS!$F$65)</f>
        <v/>
      </c>
      <c r="I14" s="51">
        <f>IF(ISNUMBER(H14),H14,IF(LOWER(E14)="sqft",IFERROR(F14/43560/'00_Inputs_Dashboard'!$B$51,0),IF(LOWER(E14)="acres",IFERROR(F14,0),IFERROR(F14*G14,0))))</f>
        <v/>
      </c>
      <c r="J14" s="52">
        <f>INPUTS!$G$65</f>
        <v/>
      </c>
      <c r="K14" s="52">
        <f>INPUTS!$H$65</f>
        <v/>
      </c>
      <c r="L14" s="53">
        <f>INPUTS!$I$65</f>
        <v/>
      </c>
      <c r="M14" s="51">
        <f>I14*L14</f>
        <v/>
      </c>
      <c r="N14" s="54">
        <f>IFERROR(IF(LOWER(E14)="rooms",VLOOKUP(D14,'02_Type_Assumptions'!$A$4:$Z$18,6,FALSE()),IF(LOWER(E14)="acres",VLOOKUP(D14,'02_Type_Assumptions'!$A$4:$Z$18,5,FALSE()),VLOOKUP(D14,'02_Type_Assumptions'!$A$4:$Z$18,4,FALSE()))),0)</f>
        <v/>
      </c>
      <c r="O14" s="55" t="n"/>
      <c r="P14" s="54">
        <f>IF(ISNUMBER(O14),O14,IF(LOWER(E14)="rooms",F14*N14*L14,IF(LOWER(E14)="acres",M14*N14,IF(LOWER(E14)="sqft",M14*VLOOKUP(D14,'02_Type_Assumptions'!$A$4:$Z$18,5,FALSE()),F14*N14*L14))))</f>
        <v/>
      </c>
      <c r="Q14" s="54">
        <f>IFERROR(IF(VLOOKUP(D14,'02_Type_Assumptions'!$A$4:$Z$18,23,FALSE())="per_acre",VLOOKUP(D14,'02_Type_Assumptions'!$A$4:$Z$18,8,FALSE()),0),0)</f>
        <v/>
      </c>
      <c r="R14" s="55" t="n"/>
      <c r="S14" s="54">
        <f>IF(ISNUMBER(R14),R14*L14,M14*Q14)</f>
        <v/>
      </c>
      <c r="T14" s="56">
        <f>IF(LOWER(E14)="sqft",F14*L14,M14*IFERROR(VLOOKUP(D14,'02_Type_Assumptions'!$A$4:$Z$18,9,FALSE()),0))</f>
        <v/>
      </c>
      <c r="U14" s="56">
        <f>IF(OR(LOWER(E14)="lots",LOWER(E14)="units"),F14*L14,0)</f>
        <v/>
      </c>
      <c r="V14" s="56">
        <f>U14*IFERROR(VLOOKUP(D14,'02_Type_Assumptions'!$A$4:$Z$18,21,FALSE()),0)</f>
        <v/>
      </c>
      <c r="W14" s="51">
        <f>IFERROR(IF(OR(LOWER(E14)="lots",LOWER(E14)="units",LOWER(E14)="rooms"),F14*L14*VLOOKUP(D14,'02_Type_Assumptions'!$A$4:$Z$18,10,FALSE()),IF(LOWER(E14)="acres",M14*VLOOKUP(D14,'02_Type_Assumptions'!$A$4:$Z$18,11,FALSE()),IF(LOWER(E14)="sqft",T14/1000*VLOOKUP(D14,'02_Type_Assumptions'!$A$4:$Z$18,12,FALSE()),0))),0)</f>
        <v/>
      </c>
      <c r="X14" s="54">
        <f>INPUTS!$D$50</f>
        <v/>
      </c>
      <c r="Y14" s="55" t="n"/>
      <c r="Z14" s="54">
        <f>IF(ISNUMBER(Y14),Y14,W14*X14)</f>
        <v/>
      </c>
      <c r="AA14" s="55" t="n"/>
      <c r="AB14" s="55" t="n"/>
      <c r="AC14" s="57" t="n"/>
      <c r="AD14" s="58">
        <f>IFERROR($P14*VLOOKUP($D14,'02_Type_Assumptions'!$A$4:$AC$18,28,FALSE()),$P14)</f>
        <v/>
      </c>
      <c r="AE14" s="58">
        <f>IFERROR($P14*VLOOKUP($D14,'02_Type_Assumptions'!$A$4:$AC$18,29,FALSE()),$P14)</f>
        <v/>
      </c>
      <c r="AF14">
        <f>IF(IFERROR(VLOOKUP($D14,'02_Type_Assumptions'!$A$4:$AC$18,27,FALSE()),"")="Industrial",$AD14,0)</f>
        <v/>
      </c>
      <c r="AG14">
        <f>IF(IFERROR(VLOOKUP($D14,'02_Type_Assumptions'!$A$4:$AC$18,27,FALSE()),"")="Industrial",$AE14,0)</f>
        <v/>
      </c>
    </row>
    <row r="15" ht="15" customHeight="1" s="106">
      <c r="A15" s="23" t="n">
        <v>13</v>
      </c>
      <c r="B15" s="47" t="n"/>
      <c r="C15" s="47">
        <f>FALSE()</f>
        <v/>
      </c>
      <c r="D15" s="47" t="n"/>
      <c r="E15" s="47" t="n"/>
      <c r="F15" s="48" t="n"/>
      <c r="G15" s="49">
        <f>IFERROR(VLOOKUP(D15,'02_Type_Assumptions'!$A$4:$Z$18,3,FALSE()),0)</f>
        <v/>
      </c>
      <c r="H15" s="50" t="n"/>
      <c r="I15" s="51">
        <f>IF(ISNUMBER(H15),H15,IF(LOWER(E15)="sqft",IFERROR(F15/43560/'00_Inputs_Dashboard'!$B$51,0),IF(LOWER(E15)="acres",IFERROR(F15,0),IFERROR(F15*G15,0))))</f>
        <v/>
      </c>
      <c r="J15" s="52" t="n">
        <v>1</v>
      </c>
      <c r="K15" s="52" t="n">
        <v>1</v>
      </c>
      <c r="L15" s="53" t="n">
        <v>0.8</v>
      </c>
      <c r="M15" s="51">
        <f>I15*L15</f>
        <v/>
      </c>
      <c r="N15" s="54">
        <f>IFERROR(IF(LOWER(E15)="rooms",VLOOKUP(D15,'02_Type_Assumptions'!$A$4:$Z$18,6,FALSE()),IF(LOWER(E15)="acres",VLOOKUP(D15,'02_Type_Assumptions'!$A$4:$Z$18,5,FALSE()),VLOOKUP(D15,'02_Type_Assumptions'!$A$4:$Z$18,4,FALSE()))),0)</f>
        <v/>
      </c>
      <c r="O15" s="55" t="n"/>
      <c r="P15" s="54">
        <f>IF(ISNUMBER(O15),O15,IF(LOWER(E15)="rooms",F15*N15*L15,IF(LOWER(E15)="acres",M15*N15,IF(LOWER(E15)="sqft",M15*VLOOKUP(D15,'02_Type_Assumptions'!$A$4:$Z$18,5,FALSE()),F15*N15*L15))))</f>
        <v/>
      </c>
      <c r="Q15" s="54">
        <f>IFERROR(IF(VLOOKUP(D15,'02_Type_Assumptions'!$A$4:$Z$18,23,FALSE())="per_acre",VLOOKUP(D15,'02_Type_Assumptions'!$A$4:$Z$18,8,FALSE()),0),0)</f>
        <v/>
      </c>
      <c r="R15" s="55" t="n"/>
      <c r="S15" s="54">
        <f>IF(ISNUMBER(R15),R15*L15,M15*Q15)</f>
        <v/>
      </c>
      <c r="T15" s="56">
        <f>IF(LOWER(E15)="sqft",F15*L15,M15*IFERROR(VLOOKUP(D15,'02_Type_Assumptions'!$A$4:$Z$18,9,FALSE()),0))</f>
        <v/>
      </c>
      <c r="U15" s="56">
        <f>IF(OR(LOWER(E15)="lots",LOWER(E15)="units"),F15*L15,0)</f>
        <v/>
      </c>
      <c r="V15" s="56">
        <f>U15*IFERROR(VLOOKUP(D15,'02_Type_Assumptions'!$A$4:$Z$18,21,FALSE()),0)</f>
        <v/>
      </c>
      <c r="W15" s="51">
        <f>IFERROR(IF(OR(LOWER(E15)="lots",LOWER(E15)="units",LOWER(E15)="rooms"),F15*L15*VLOOKUP(D15,'02_Type_Assumptions'!$A$4:$Z$18,10,FALSE()),IF(LOWER(E15)="acres",M15*VLOOKUP(D15,'02_Type_Assumptions'!$A$4:$Z$18,11,FALSE()),IF(LOWER(E15)="sqft",T15/1000*VLOOKUP(D15,'02_Type_Assumptions'!$A$4:$Z$18,12,FALSE()),0))),0)</f>
        <v/>
      </c>
      <c r="X15" s="54">
        <f>INPUTS!$D$50</f>
        <v/>
      </c>
      <c r="Y15" s="55" t="n"/>
      <c r="Z15" s="54">
        <f>IF(ISNUMBER(Y15),Y15,W15*X15)</f>
        <v/>
      </c>
      <c r="AA15" s="55" t="n"/>
      <c r="AB15" s="55" t="n"/>
      <c r="AC15" s="57" t="n"/>
      <c r="AD15" s="58">
        <f>IFERROR($P15*VLOOKUP($D15,'02_Type_Assumptions'!$A$4:$AC$18,28,FALSE()),$P15)</f>
        <v/>
      </c>
      <c r="AE15" s="58">
        <f>IFERROR($P15*VLOOKUP($D15,'02_Type_Assumptions'!$A$4:$AC$18,29,FALSE()),$P15)</f>
        <v/>
      </c>
      <c r="AF15">
        <f>IF(IFERROR(VLOOKUP($D15,'02_Type_Assumptions'!$A$4:$AC$18,27,FALSE()),"")="Industrial",$AD15,0)</f>
        <v/>
      </c>
      <c r="AG15">
        <f>IF(IFERROR(VLOOKUP($D15,'02_Type_Assumptions'!$A$4:$AC$18,27,FALSE()),"")="Industrial",$AE15,0)</f>
        <v/>
      </c>
    </row>
    <row r="16" ht="15" customHeight="1" s="106">
      <c r="A16" s="23" t="n">
        <v>14</v>
      </c>
      <c r="B16" s="47" t="n"/>
      <c r="C16" s="47">
        <f>FALSE()</f>
        <v/>
      </c>
      <c r="D16" s="47" t="n"/>
      <c r="E16" s="47" t="n"/>
      <c r="F16" s="48" t="n"/>
      <c r="G16" s="49">
        <f>IFERROR(VLOOKUP(D16,'02_Type_Assumptions'!$A$4:$Z$18,3,FALSE()),0)</f>
        <v/>
      </c>
      <c r="H16" s="50" t="n"/>
      <c r="I16" s="51">
        <f>IF(ISNUMBER(H16),H16,IF(LOWER(E16)="sqft",IFERROR(F16/43560/'00_Inputs_Dashboard'!$B$51,0),IF(LOWER(E16)="acres",IFERROR(F16,0),IFERROR(F16*G16,0))))</f>
        <v/>
      </c>
      <c r="J16" s="52" t="n">
        <v>1</v>
      </c>
      <c r="K16" s="52" t="n">
        <v>1</v>
      </c>
      <c r="L16" s="53" t="n">
        <v>0.8</v>
      </c>
      <c r="M16" s="51">
        <f>I16*L16</f>
        <v/>
      </c>
      <c r="N16" s="54">
        <f>IFERROR(IF(LOWER(E16)="rooms",VLOOKUP(D16,'02_Type_Assumptions'!$A$4:$Z$18,6,FALSE()),IF(LOWER(E16)="acres",VLOOKUP(D16,'02_Type_Assumptions'!$A$4:$Z$18,5,FALSE()),VLOOKUP(D16,'02_Type_Assumptions'!$A$4:$Z$18,4,FALSE()))),0)</f>
        <v/>
      </c>
      <c r="O16" s="55" t="n"/>
      <c r="P16" s="54">
        <f>IF(ISNUMBER(O16),O16,IF(LOWER(E16)="rooms",F16*N16*L16,IF(LOWER(E16)="acres",M16*N16,IF(LOWER(E16)="sqft",M16*VLOOKUP(D16,'02_Type_Assumptions'!$A$4:$Z$18,5,FALSE()),F16*N16*L16))))</f>
        <v/>
      </c>
      <c r="Q16" s="54">
        <f>IFERROR(IF(VLOOKUP(D16,'02_Type_Assumptions'!$A$4:$Z$18,23,FALSE())="per_acre",VLOOKUP(D16,'02_Type_Assumptions'!$A$4:$Z$18,8,FALSE()),0),0)</f>
        <v/>
      </c>
      <c r="R16" s="55" t="n"/>
      <c r="S16" s="54">
        <f>IF(ISNUMBER(R16),R16*L16,M16*Q16)</f>
        <v/>
      </c>
      <c r="T16" s="56">
        <f>IF(LOWER(E16)="sqft",F16*L16,M16*IFERROR(VLOOKUP(D16,'02_Type_Assumptions'!$A$4:$Z$18,9,FALSE()),0))</f>
        <v/>
      </c>
      <c r="U16" s="56">
        <f>IF(OR(LOWER(E16)="lots",LOWER(E16)="units"),F16*L16,0)</f>
        <v/>
      </c>
      <c r="V16" s="56">
        <f>U16*IFERROR(VLOOKUP(D16,'02_Type_Assumptions'!$A$4:$Z$18,21,FALSE()),0)</f>
        <v/>
      </c>
      <c r="W16" s="51">
        <f>IFERROR(IF(OR(LOWER(E16)="lots",LOWER(E16)="units",LOWER(E16)="rooms"),F16*L16*VLOOKUP(D16,'02_Type_Assumptions'!$A$4:$Z$18,10,FALSE()),IF(LOWER(E16)="acres",M16*VLOOKUP(D16,'02_Type_Assumptions'!$A$4:$Z$18,11,FALSE()),IF(LOWER(E16)="sqft",T16/1000*VLOOKUP(D16,'02_Type_Assumptions'!$A$4:$Z$18,12,FALSE()),0))),0)</f>
        <v/>
      </c>
      <c r="X16" s="54">
        <f>INPUTS!$D$50</f>
        <v/>
      </c>
      <c r="Y16" s="55" t="n"/>
      <c r="Z16" s="54">
        <f>IF(ISNUMBER(Y16),Y16,W16*X16)</f>
        <v/>
      </c>
      <c r="AA16" s="55" t="n"/>
      <c r="AB16" s="55" t="n"/>
      <c r="AC16" s="57" t="n"/>
      <c r="AD16" s="58">
        <f>IFERROR($P16*VLOOKUP($D16,'02_Type_Assumptions'!$A$4:$AC$18,28,FALSE()),$P16)</f>
        <v/>
      </c>
      <c r="AE16" s="58">
        <f>IFERROR($P16*VLOOKUP($D16,'02_Type_Assumptions'!$A$4:$AC$18,29,FALSE()),$P16)</f>
        <v/>
      </c>
      <c r="AF16">
        <f>IF(IFERROR(VLOOKUP($D16,'02_Type_Assumptions'!$A$4:$AC$18,27,FALSE()),"")="Industrial",$AD16,0)</f>
        <v/>
      </c>
      <c r="AG16">
        <f>IF(IFERROR(VLOOKUP($D16,'02_Type_Assumptions'!$A$4:$AC$18,27,FALSE()),"")="Industrial",$AE16,0)</f>
        <v/>
      </c>
    </row>
    <row r="17" ht="15" customHeight="1" s="106">
      <c r="A17" s="23" t="n">
        <v>15</v>
      </c>
      <c r="B17" s="47" t="n"/>
      <c r="C17" s="47">
        <f>FALSE()</f>
        <v/>
      </c>
      <c r="D17" s="47" t="n"/>
      <c r="E17" s="47" t="n"/>
      <c r="F17" s="48" t="n"/>
      <c r="G17" s="49">
        <f>IFERROR(VLOOKUP(D17,'02_Type_Assumptions'!$A$4:$Z$18,3,FALSE()),0)</f>
        <v/>
      </c>
      <c r="H17" s="50" t="n"/>
      <c r="I17" s="51">
        <f>IF(ISNUMBER(H17),H17,IF(LOWER(E17)="sqft",IFERROR(F17/43560/'00_Inputs_Dashboard'!$B$51,0),IF(LOWER(E17)="acres",IFERROR(F17,0),IFERROR(F17*G17,0))))</f>
        <v/>
      </c>
      <c r="J17" s="52" t="n">
        <v>1</v>
      </c>
      <c r="K17" s="52" t="n">
        <v>1</v>
      </c>
      <c r="L17" s="53" t="n">
        <v>0.8</v>
      </c>
      <c r="M17" s="51">
        <f>I17*L17</f>
        <v/>
      </c>
      <c r="N17" s="54">
        <f>IFERROR(IF(LOWER(E17)="rooms",VLOOKUP(D17,'02_Type_Assumptions'!$A$4:$Z$18,6,FALSE()),IF(LOWER(E17)="acres",VLOOKUP(D17,'02_Type_Assumptions'!$A$4:$Z$18,5,FALSE()),VLOOKUP(D17,'02_Type_Assumptions'!$A$4:$Z$18,4,FALSE()))),0)</f>
        <v/>
      </c>
      <c r="O17" s="55" t="n"/>
      <c r="P17" s="54">
        <f>IF(ISNUMBER(O17),O17,IF(LOWER(E17)="rooms",F17*N17*L17,IF(LOWER(E17)="acres",M17*N17,IF(LOWER(E17)="sqft",M17*VLOOKUP(D17,'02_Type_Assumptions'!$A$4:$Z$18,5,FALSE()),F17*N17*L17))))</f>
        <v/>
      </c>
      <c r="Q17" s="54">
        <f>IFERROR(IF(VLOOKUP(D17,'02_Type_Assumptions'!$A$4:$Z$18,23,FALSE())="per_acre",VLOOKUP(D17,'02_Type_Assumptions'!$A$4:$Z$18,8,FALSE()),0),0)</f>
        <v/>
      </c>
      <c r="R17" s="55" t="n"/>
      <c r="S17" s="54">
        <f>IF(ISNUMBER(R17),R17*L17,M17*Q17)</f>
        <v/>
      </c>
      <c r="T17" s="56">
        <f>IF(LOWER(E17)="sqft",F17*L17,M17*IFERROR(VLOOKUP(D17,'02_Type_Assumptions'!$A$4:$Z$18,9,FALSE()),0))</f>
        <v/>
      </c>
      <c r="U17" s="56">
        <f>IF(OR(LOWER(E17)="lots",LOWER(E17)="units"),F17*L17,0)</f>
        <v/>
      </c>
      <c r="V17" s="56">
        <f>U17*IFERROR(VLOOKUP(D17,'02_Type_Assumptions'!$A$4:$Z$18,21,FALSE()),0)</f>
        <v/>
      </c>
      <c r="W17" s="51">
        <f>IFERROR(IF(OR(LOWER(E17)="lots",LOWER(E17)="units",LOWER(E17)="rooms"),F17*L17*VLOOKUP(D17,'02_Type_Assumptions'!$A$4:$Z$18,10,FALSE()),IF(LOWER(E17)="acres",M17*VLOOKUP(D17,'02_Type_Assumptions'!$A$4:$Z$18,11,FALSE()),IF(LOWER(E17)="sqft",T17/1000*VLOOKUP(D17,'02_Type_Assumptions'!$A$4:$Z$18,12,FALSE()),0))),0)</f>
        <v/>
      </c>
      <c r="X17" s="54">
        <f>INPUTS!$D$50</f>
        <v/>
      </c>
      <c r="Y17" s="55" t="n"/>
      <c r="Z17" s="54">
        <f>IF(ISNUMBER(Y17),Y17,W17*X17)</f>
        <v/>
      </c>
      <c r="AA17" s="55" t="n"/>
      <c r="AB17" s="55" t="n"/>
      <c r="AC17" s="57" t="n"/>
      <c r="AD17" s="58">
        <f>IFERROR($P17*VLOOKUP($D17,'02_Type_Assumptions'!$A$4:$AC$18,28,FALSE()),$P17)</f>
        <v/>
      </c>
      <c r="AE17" s="58">
        <f>IFERROR($P17*VLOOKUP($D17,'02_Type_Assumptions'!$A$4:$AC$18,29,FALSE()),$P17)</f>
        <v/>
      </c>
      <c r="AF17">
        <f>IF(IFERROR(VLOOKUP($D17,'02_Type_Assumptions'!$A$4:$AC$18,27,FALSE()),"")="Industrial",$AD17,0)</f>
        <v/>
      </c>
      <c r="AG17">
        <f>IF(IFERROR(VLOOKUP($D17,'02_Type_Assumptions'!$A$4:$AC$18,27,FALSE()),"")="Industrial",$AE17,0)</f>
        <v/>
      </c>
    </row>
    <row r="18" ht="15" customHeight="1" s="106">
      <c r="A18" s="23" t="n">
        <v>16</v>
      </c>
      <c r="B18" s="47" t="n"/>
      <c r="C18" s="47">
        <f>FALSE()</f>
        <v/>
      </c>
      <c r="D18" s="47" t="n"/>
      <c r="E18" s="47" t="n"/>
      <c r="F18" s="48" t="n"/>
      <c r="G18" s="49">
        <f>IFERROR(VLOOKUP(D18,'02_Type_Assumptions'!$A$4:$Z$18,3,FALSE()),0)</f>
        <v/>
      </c>
      <c r="H18" s="50" t="n"/>
      <c r="I18" s="51">
        <f>IF(ISNUMBER(H18),H18,IF(LOWER(E18)="sqft",IFERROR(F18/43560/'00_Inputs_Dashboard'!$B$51,0),IF(LOWER(E18)="acres",IFERROR(F18,0),IFERROR(F18*G18,0))))</f>
        <v/>
      </c>
      <c r="J18" s="52" t="n">
        <v>1</v>
      </c>
      <c r="K18" s="52" t="n">
        <v>1</v>
      </c>
      <c r="L18" s="53" t="n">
        <v>0.8</v>
      </c>
      <c r="M18" s="51">
        <f>I18*L18</f>
        <v/>
      </c>
      <c r="N18" s="54">
        <f>IFERROR(IF(LOWER(E18)="rooms",VLOOKUP(D18,'02_Type_Assumptions'!$A$4:$Z$18,6,FALSE()),IF(LOWER(E18)="acres",VLOOKUP(D18,'02_Type_Assumptions'!$A$4:$Z$18,5,FALSE()),VLOOKUP(D18,'02_Type_Assumptions'!$A$4:$Z$18,4,FALSE()))),0)</f>
        <v/>
      </c>
      <c r="O18" s="55" t="n"/>
      <c r="P18" s="54">
        <f>IF(ISNUMBER(O18),O18,IF(LOWER(E18)="rooms",F18*N18*L18,IF(LOWER(E18)="acres",M18*N18,IF(LOWER(E18)="sqft",M18*VLOOKUP(D18,'02_Type_Assumptions'!$A$4:$Z$18,5,FALSE()),F18*N18*L18))))</f>
        <v/>
      </c>
      <c r="Q18" s="54">
        <f>IFERROR(IF(VLOOKUP(D18,'02_Type_Assumptions'!$A$4:$Z$18,23,FALSE())="per_acre",VLOOKUP(D18,'02_Type_Assumptions'!$A$4:$Z$18,8,FALSE()),0),0)</f>
        <v/>
      </c>
      <c r="R18" s="55" t="n"/>
      <c r="S18" s="54">
        <f>IF(ISNUMBER(R18),R18*L18,M18*Q18)</f>
        <v/>
      </c>
      <c r="T18" s="56">
        <f>IF(LOWER(E18)="sqft",F18*L18,M18*IFERROR(VLOOKUP(D18,'02_Type_Assumptions'!$A$4:$Z$18,9,FALSE()),0))</f>
        <v/>
      </c>
      <c r="U18" s="56">
        <f>IF(OR(LOWER(E18)="lots",LOWER(E18)="units"),F18*L18,0)</f>
        <v/>
      </c>
      <c r="V18" s="56">
        <f>U18*IFERROR(VLOOKUP(D18,'02_Type_Assumptions'!$A$4:$Z$18,21,FALSE()),0)</f>
        <v/>
      </c>
      <c r="W18" s="51">
        <f>IFERROR(IF(OR(LOWER(E18)="lots",LOWER(E18)="units",LOWER(E18)="rooms"),F18*L18*VLOOKUP(D18,'02_Type_Assumptions'!$A$4:$Z$18,10,FALSE()),IF(LOWER(E18)="acres",M18*VLOOKUP(D18,'02_Type_Assumptions'!$A$4:$Z$18,11,FALSE()),IF(LOWER(E18)="sqft",T18/1000*VLOOKUP(D18,'02_Type_Assumptions'!$A$4:$Z$18,12,FALSE()),0))),0)</f>
        <v/>
      </c>
      <c r="X18" s="54">
        <f>INPUTS!$D$50</f>
        <v/>
      </c>
      <c r="Y18" s="55" t="n"/>
      <c r="Z18" s="54">
        <f>IF(ISNUMBER(Y18),Y18,W18*X18)</f>
        <v/>
      </c>
      <c r="AA18" s="55" t="n"/>
      <c r="AB18" s="55" t="n"/>
      <c r="AC18" s="57" t="n"/>
      <c r="AD18" s="58">
        <f>IFERROR($P18*VLOOKUP($D18,'02_Type_Assumptions'!$A$4:$AC$18,28,FALSE()),$P18)</f>
        <v/>
      </c>
      <c r="AE18" s="58">
        <f>IFERROR($P18*VLOOKUP($D18,'02_Type_Assumptions'!$A$4:$AC$18,29,FALSE()),$P18)</f>
        <v/>
      </c>
      <c r="AF18">
        <f>IF(IFERROR(VLOOKUP($D18,'02_Type_Assumptions'!$A$4:$AC$18,27,FALSE()),"")="Industrial",$AD18,0)</f>
        <v/>
      </c>
      <c r="AG18">
        <f>IF(IFERROR(VLOOKUP($D18,'02_Type_Assumptions'!$A$4:$AC$18,27,FALSE()),"")="Industrial",$AE18,0)</f>
        <v/>
      </c>
    </row>
    <row r="19" ht="15" customHeight="1" s="106">
      <c r="A19" s="23" t="n">
        <v>17</v>
      </c>
      <c r="B19" s="47" t="n"/>
      <c r="C19" s="47">
        <f>FALSE()</f>
        <v/>
      </c>
      <c r="D19" s="47" t="n"/>
      <c r="E19" s="47" t="n"/>
      <c r="F19" s="48" t="n"/>
      <c r="G19" s="49">
        <f>IFERROR(VLOOKUP(D19,'02_Type_Assumptions'!$A$4:$Z$18,3,FALSE()),0)</f>
        <v/>
      </c>
      <c r="H19" s="50" t="n"/>
      <c r="I19" s="51">
        <f>IF(ISNUMBER(H19),H19,IF(LOWER(E19)="sqft",IFERROR(F19/43560/'00_Inputs_Dashboard'!$B$51,0),IF(LOWER(E19)="acres",IFERROR(F19,0),IFERROR(F19*G19,0))))</f>
        <v/>
      </c>
      <c r="J19" s="52" t="n">
        <v>1</v>
      </c>
      <c r="K19" s="52" t="n">
        <v>1</v>
      </c>
      <c r="L19" s="53" t="n">
        <v>0.8</v>
      </c>
      <c r="M19" s="51">
        <f>I19*L19</f>
        <v/>
      </c>
      <c r="N19" s="54">
        <f>IFERROR(IF(LOWER(E19)="rooms",VLOOKUP(D19,'02_Type_Assumptions'!$A$4:$Z$18,6,FALSE()),IF(LOWER(E19)="acres",VLOOKUP(D19,'02_Type_Assumptions'!$A$4:$Z$18,5,FALSE()),VLOOKUP(D19,'02_Type_Assumptions'!$A$4:$Z$18,4,FALSE()))),0)</f>
        <v/>
      </c>
      <c r="O19" s="55" t="n"/>
      <c r="P19" s="54">
        <f>IF(ISNUMBER(O19),O19,IF(LOWER(E19)="rooms",F19*N19*L19,IF(LOWER(E19)="acres",M19*N19,IF(LOWER(E19)="sqft",M19*VLOOKUP(D19,'02_Type_Assumptions'!$A$4:$Z$18,5,FALSE()),F19*N19*L19))))</f>
        <v/>
      </c>
      <c r="Q19" s="54">
        <f>IFERROR(IF(VLOOKUP(D19,'02_Type_Assumptions'!$A$4:$Z$18,23,FALSE())="per_acre",VLOOKUP(D19,'02_Type_Assumptions'!$A$4:$Z$18,8,FALSE()),0),0)</f>
        <v/>
      </c>
      <c r="R19" s="55" t="n"/>
      <c r="S19" s="54">
        <f>IF(ISNUMBER(R19),R19*L19,M19*Q19)</f>
        <v/>
      </c>
      <c r="T19" s="56">
        <f>IF(LOWER(E19)="sqft",F19*L19,M19*IFERROR(VLOOKUP(D19,'02_Type_Assumptions'!$A$4:$Z$18,9,FALSE()),0))</f>
        <v/>
      </c>
      <c r="U19" s="56">
        <f>IF(OR(LOWER(E19)="lots",LOWER(E19)="units"),F19*L19,0)</f>
        <v/>
      </c>
      <c r="V19" s="56">
        <f>U19*IFERROR(VLOOKUP(D19,'02_Type_Assumptions'!$A$4:$Z$18,21,FALSE()),0)</f>
        <v/>
      </c>
      <c r="W19" s="51">
        <f>IFERROR(IF(OR(LOWER(E19)="lots",LOWER(E19)="units",LOWER(E19)="rooms"),F19*L19*VLOOKUP(D19,'02_Type_Assumptions'!$A$4:$Z$18,10,FALSE()),IF(LOWER(E19)="acres",M19*VLOOKUP(D19,'02_Type_Assumptions'!$A$4:$Z$18,11,FALSE()),IF(LOWER(E19)="sqft",T19/1000*VLOOKUP(D19,'02_Type_Assumptions'!$A$4:$Z$18,12,FALSE()),0))),0)</f>
        <v/>
      </c>
      <c r="X19" s="54">
        <f>INPUTS!$D$50</f>
        <v/>
      </c>
      <c r="Y19" s="55" t="n"/>
      <c r="Z19" s="54">
        <f>IF(ISNUMBER(Y19),Y19,W19*X19)</f>
        <v/>
      </c>
      <c r="AA19" s="55" t="n"/>
      <c r="AB19" s="55" t="n"/>
      <c r="AC19" s="57" t="n"/>
      <c r="AD19" s="58">
        <f>IFERROR($P19*VLOOKUP($D19,'02_Type_Assumptions'!$A$4:$AC$18,28,FALSE()),$P19)</f>
        <v/>
      </c>
      <c r="AE19" s="58">
        <f>IFERROR($P19*VLOOKUP($D19,'02_Type_Assumptions'!$A$4:$AC$18,29,FALSE()),$P19)</f>
        <v/>
      </c>
      <c r="AF19">
        <f>IF(IFERROR(VLOOKUP($D19,'02_Type_Assumptions'!$A$4:$AC$18,27,FALSE()),"")="Industrial",$AD19,0)</f>
        <v/>
      </c>
      <c r="AG19">
        <f>IF(IFERROR(VLOOKUP($D19,'02_Type_Assumptions'!$A$4:$AC$18,27,FALSE()),"")="Industrial",$AE19,0)</f>
        <v/>
      </c>
    </row>
    <row r="20" ht="15" customHeight="1" s="106">
      <c r="A20" s="23" t="n">
        <v>18</v>
      </c>
      <c r="B20" s="47" t="n"/>
      <c r="C20" s="47">
        <f>FALSE()</f>
        <v/>
      </c>
      <c r="D20" s="47" t="n"/>
      <c r="E20" s="47" t="n"/>
      <c r="F20" s="48" t="n"/>
      <c r="G20" s="49">
        <f>IFERROR(VLOOKUP(D20,'02_Type_Assumptions'!$A$4:$Z$18,3,FALSE()),0)</f>
        <v/>
      </c>
      <c r="H20" s="50" t="n"/>
      <c r="I20" s="51">
        <f>IF(ISNUMBER(H20),H20,IF(LOWER(E20)="sqft",IFERROR(F20/43560/'00_Inputs_Dashboard'!$B$51,0),IF(LOWER(E20)="acres",IFERROR(F20,0),IFERROR(F20*G20,0))))</f>
        <v/>
      </c>
      <c r="J20" s="52" t="n">
        <v>1</v>
      </c>
      <c r="K20" s="52" t="n">
        <v>1</v>
      </c>
      <c r="L20" s="53" t="n">
        <v>0.8</v>
      </c>
      <c r="M20" s="51">
        <f>I20*L20</f>
        <v/>
      </c>
      <c r="N20" s="54">
        <f>IFERROR(IF(LOWER(E20)="rooms",VLOOKUP(D20,'02_Type_Assumptions'!$A$4:$Z$18,6,FALSE()),IF(LOWER(E20)="acres",VLOOKUP(D20,'02_Type_Assumptions'!$A$4:$Z$18,5,FALSE()),VLOOKUP(D20,'02_Type_Assumptions'!$A$4:$Z$18,4,FALSE()))),0)</f>
        <v/>
      </c>
      <c r="O20" s="55" t="n"/>
      <c r="P20" s="54">
        <f>IF(ISNUMBER(O20),O20,IF(LOWER(E20)="rooms",F20*N20*L20,IF(LOWER(E20)="acres",M20*N20,IF(LOWER(E20)="sqft",M20*VLOOKUP(D20,'02_Type_Assumptions'!$A$4:$Z$18,5,FALSE()),F20*N20*L20))))</f>
        <v/>
      </c>
      <c r="Q20" s="54">
        <f>IFERROR(IF(VLOOKUP(D20,'02_Type_Assumptions'!$A$4:$Z$18,23,FALSE())="per_acre",VLOOKUP(D20,'02_Type_Assumptions'!$A$4:$Z$18,8,FALSE()),0),0)</f>
        <v/>
      </c>
      <c r="R20" s="55" t="n"/>
      <c r="S20" s="54">
        <f>IF(ISNUMBER(R20),R20*L20,M20*Q20)</f>
        <v/>
      </c>
      <c r="T20" s="56">
        <f>IF(LOWER(E20)="sqft",F20*L20,M20*IFERROR(VLOOKUP(D20,'02_Type_Assumptions'!$A$4:$Z$18,9,FALSE()),0))</f>
        <v/>
      </c>
      <c r="U20" s="56">
        <f>IF(OR(LOWER(E20)="lots",LOWER(E20)="units"),F20*L20,0)</f>
        <v/>
      </c>
      <c r="V20" s="56">
        <f>U20*IFERROR(VLOOKUP(D20,'02_Type_Assumptions'!$A$4:$Z$18,21,FALSE()),0)</f>
        <v/>
      </c>
      <c r="W20" s="51">
        <f>IFERROR(IF(OR(LOWER(E20)="lots",LOWER(E20)="units",LOWER(E20)="rooms"),F20*L20*VLOOKUP(D20,'02_Type_Assumptions'!$A$4:$Z$18,10,FALSE()),IF(LOWER(E20)="acres",M20*VLOOKUP(D20,'02_Type_Assumptions'!$A$4:$Z$18,11,FALSE()),IF(LOWER(E20)="sqft",T20/1000*VLOOKUP(D20,'02_Type_Assumptions'!$A$4:$Z$18,12,FALSE()),0))),0)</f>
        <v/>
      </c>
      <c r="X20" s="54">
        <f>INPUTS!$D$50</f>
        <v/>
      </c>
      <c r="Y20" s="55" t="n"/>
      <c r="Z20" s="54">
        <f>IF(ISNUMBER(Y20),Y20,W20*X20)</f>
        <v/>
      </c>
      <c r="AA20" s="55" t="n"/>
      <c r="AB20" s="55" t="n"/>
      <c r="AC20" s="57" t="n"/>
      <c r="AD20" s="58">
        <f>IFERROR($P20*VLOOKUP($D20,'02_Type_Assumptions'!$A$4:$AC$18,28,FALSE()),$P20)</f>
        <v/>
      </c>
      <c r="AE20" s="58">
        <f>IFERROR($P20*VLOOKUP($D20,'02_Type_Assumptions'!$A$4:$AC$18,29,FALSE()),$P20)</f>
        <v/>
      </c>
      <c r="AF20">
        <f>IF(IFERROR(VLOOKUP($D20,'02_Type_Assumptions'!$A$4:$AC$18,27,FALSE()),"")="Industrial",$AD20,0)</f>
        <v/>
      </c>
      <c r="AG20">
        <f>IF(IFERROR(VLOOKUP($D20,'02_Type_Assumptions'!$A$4:$AC$18,27,FALSE()),"")="Industrial",$AE20,0)</f>
        <v/>
      </c>
    </row>
    <row r="21" ht="15" customHeight="1" s="106">
      <c r="A21" s="23" t="n">
        <v>19</v>
      </c>
      <c r="B21" s="47" t="n"/>
      <c r="C21" s="47">
        <f>FALSE()</f>
        <v/>
      </c>
      <c r="D21" s="47" t="n"/>
      <c r="E21" s="47" t="n"/>
      <c r="F21" s="48" t="n"/>
      <c r="G21" s="49">
        <f>IFERROR(VLOOKUP(D21,'02_Type_Assumptions'!$A$4:$Z$18,3,FALSE()),0)</f>
        <v/>
      </c>
      <c r="H21" s="50" t="n"/>
      <c r="I21" s="51">
        <f>IF(ISNUMBER(H21),H21,IF(LOWER(E21)="sqft",IFERROR(F21/43560/'00_Inputs_Dashboard'!$B$51,0),IF(LOWER(E21)="acres",IFERROR(F21,0),IFERROR(F21*G21,0))))</f>
        <v/>
      </c>
      <c r="J21" s="52" t="n">
        <v>1</v>
      </c>
      <c r="K21" s="52" t="n">
        <v>1</v>
      </c>
      <c r="L21" s="53" t="n">
        <v>0.8</v>
      </c>
      <c r="M21" s="51">
        <f>I21*L21</f>
        <v/>
      </c>
      <c r="N21" s="54">
        <f>IFERROR(IF(LOWER(E21)="rooms",VLOOKUP(D21,'02_Type_Assumptions'!$A$4:$Z$18,6,FALSE()),IF(LOWER(E21)="acres",VLOOKUP(D21,'02_Type_Assumptions'!$A$4:$Z$18,5,FALSE()),VLOOKUP(D21,'02_Type_Assumptions'!$A$4:$Z$18,4,FALSE()))),0)</f>
        <v/>
      </c>
      <c r="O21" s="55" t="n"/>
      <c r="P21" s="54">
        <f>IF(ISNUMBER(O21),O21,IF(LOWER(E21)="rooms",F21*N21*L21,IF(LOWER(E21)="acres",M21*N21,IF(LOWER(E21)="sqft",M21*VLOOKUP(D21,'02_Type_Assumptions'!$A$4:$Z$18,5,FALSE()),F21*N21*L21))))</f>
        <v/>
      </c>
      <c r="Q21" s="54">
        <f>IFERROR(IF(VLOOKUP(D21,'02_Type_Assumptions'!$A$4:$Z$18,23,FALSE())="per_acre",VLOOKUP(D21,'02_Type_Assumptions'!$A$4:$Z$18,8,FALSE()),0),0)</f>
        <v/>
      </c>
      <c r="R21" s="55" t="n"/>
      <c r="S21" s="54">
        <f>IF(ISNUMBER(R21),R21*L21,M21*Q21)</f>
        <v/>
      </c>
      <c r="T21" s="56">
        <f>IF(LOWER(E21)="sqft",F21*L21,M21*IFERROR(VLOOKUP(D21,'02_Type_Assumptions'!$A$4:$Z$18,9,FALSE()),0))</f>
        <v/>
      </c>
      <c r="U21" s="56">
        <f>IF(OR(LOWER(E21)="lots",LOWER(E21)="units"),F21*L21,0)</f>
        <v/>
      </c>
      <c r="V21" s="56">
        <f>U21*IFERROR(VLOOKUP(D21,'02_Type_Assumptions'!$A$4:$Z$18,21,FALSE()),0)</f>
        <v/>
      </c>
      <c r="W21" s="51">
        <f>IFERROR(IF(OR(LOWER(E21)="lots",LOWER(E21)="units",LOWER(E21)="rooms"),F21*L21*VLOOKUP(D21,'02_Type_Assumptions'!$A$4:$Z$18,10,FALSE()),IF(LOWER(E21)="acres",M21*VLOOKUP(D21,'02_Type_Assumptions'!$A$4:$Z$18,11,FALSE()),IF(LOWER(E21)="sqft",T21/1000*VLOOKUP(D21,'02_Type_Assumptions'!$A$4:$Z$18,12,FALSE()),0))),0)</f>
        <v/>
      </c>
      <c r="X21" s="54">
        <f>INPUTS!$D$50</f>
        <v/>
      </c>
      <c r="Y21" s="55" t="n"/>
      <c r="Z21" s="54">
        <f>IF(ISNUMBER(Y21),Y21,W21*X21)</f>
        <v/>
      </c>
      <c r="AA21" s="55" t="n"/>
      <c r="AB21" s="55" t="n"/>
      <c r="AC21" s="57" t="n"/>
      <c r="AD21" s="58">
        <f>IFERROR($P21*VLOOKUP($D21,'02_Type_Assumptions'!$A$4:$AC$18,28,FALSE()),$P21)</f>
        <v/>
      </c>
      <c r="AE21" s="58">
        <f>IFERROR($P21*VLOOKUP($D21,'02_Type_Assumptions'!$A$4:$AC$18,29,FALSE()),$P21)</f>
        <v/>
      </c>
      <c r="AF21">
        <f>IF(IFERROR(VLOOKUP($D21,'02_Type_Assumptions'!$A$4:$AC$18,27,FALSE()),"")="Industrial",$AD21,0)</f>
        <v/>
      </c>
      <c r="AG21">
        <f>IF(IFERROR(VLOOKUP($D21,'02_Type_Assumptions'!$A$4:$AC$18,27,FALSE()),"")="Industrial",$AE21,0)</f>
        <v/>
      </c>
    </row>
    <row r="22" ht="15" customHeight="1" s="106">
      <c r="A22" s="23" t="n">
        <v>20</v>
      </c>
      <c r="B22" s="47" t="n"/>
      <c r="C22" s="47">
        <f>FALSE()</f>
        <v/>
      </c>
      <c r="D22" s="47" t="n"/>
      <c r="E22" s="47" t="n"/>
      <c r="F22" s="48" t="n"/>
      <c r="G22" s="49">
        <f>IFERROR(VLOOKUP(D22,'02_Type_Assumptions'!$A$4:$Z$18,3,FALSE()),0)</f>
        <v/>
      </c>
      <c r="H22" s="50" t="n"/>
      <c r="I22" s="51">
        <f>IF(ISNUMBER(H22),H22,IF(LOWER(E22)="sqft",IFERROR(F22/43560/'00_Inputs_Dashboard'!$B$51,0),IF(LOWER(E22)="acres",IFERROR(F22,0),IFERROR(F22*G22,0))))</f>
        <v/>
      </c>
      <c r="J22" s="52" t="n">
        <v>1</v>
      </c>
      <c r="K22" s="52" t="n">
        <v>1</v>
      </c>
      <c r="L22" s="53" t="n">
        <v>0.8</v>
      </c>
      <c r="M22" s="51">
        <f>I22*L22</f>
        <v/>
      </c>
      <c r="N22" s="54">
        <f>IFERROR(IF(LOWER(E22)="rooms",VLOOKUP(D22,'02_Type_Assumptions'!$A$4:$Z$18,6,FALSE()),IF(LOWER(E22)="acres",VLOOKUP(D22,'02_Type_Assumptions'!$A$4:$Z$18,5,FALSE()),VLOOKUP(D22,'02_Type_Assumptions'!$A$4:$Z$18,4,FALSE()))),0)</f>
        <v/>
      </c>
      <c r="O22" s="55" t="n"/>
      <c r="P22" s="54">
        <f>IF(ISNUMBER(O22),O22,IF(LOWER(E22)="rooms",F22*N22*L22,IF(LOWER(E22)="acres",M22*N22,IF(LOWER(E22)="sqft",M22*VLOOKUP(D22,'02_Type_Assumptions'!$A$4:$Z$18,5,FALSE()),F22*N22*L22))))</f>
        <v/>
      </c>
      <c r="Q22" s="54">
        <f>IFERROR(IF(VLOOKUP(D22,'02_Type_Assumptions'!$A$4:$Z$18,23,FALSE())="per_acre",VLOOKUP(D22,'02_Type_Assumptions'!$A$4:$Z$18,8,FALSE()),0),0)</f>
        <v/>
      </c>
      <c r="R22" s="55" t="n"/>
      <c r="S22" s="54">
        <f>IF(ISNUMBER(R22),R22*L22,M22*Q22)</f>
        <v/>
      </c>
      <c r="T22" s="56">
        <f>IF(LOWER(E22)="sqft",F22*L22,M22*IFERROR(VLOOKUP(D22,'02_Type_Assumptions'!$A$4:$Z$18,9,FALSE()),0))</f>
        <v/>
      </c>
      <c r="U22" s="56">
        <f>IF(OR(LOWER(E22)="lots",LOWER(E22)="units"),F22*L22,0)</f>
        <v/>
      </c>
      <c r="V22" s="56">
        <f>U22*IFERROR(VLOOKUP(D22,'02_Type_Assumptions'!$A$4:$Z$18,21,FALSE()),0)</f>
        <v/>
      </c>
      <c r="W22" s="51">
        <f>IFERROR(IF(OR(LOWER(E22)="lots",LOWER(E22)="units",LOWER(E22)="rooms"),F22*L22*VLOOKUP(D22,'02_Type_Assumptions'!$A$4:$Z$18,10,FALSE()),IF(LOWER(E22)="acres",M22*VLOOKUP(D22,'02_Type_Assumptions'!$A$4:$Z$18,11,FALSE()),IF(LOWER(E22)="sqft",T22/1000*VLOOKUP(D22,'02_Type_Assumptions'!$A$4:$Z$18,12,FALSE()),0))),0)</f>
        <v/>
      </c>
      <c r="X22" s="54">
        <f>INPUTS!$D$50</f>
        <v/>
      </c>
      <c r="Y22" s="55" t="n"/>
      <c r="Z22" s="54">
        <f>IF(ISNUMBER(Y22),Y22,W22*X22)</f>
        <v/>
      </c>
      <c r="AA22" s="55" t="n"/>
      <c r="AB22" s="55" t="n"/>
      <c r="AC22" s="57" t="n"/>
      <c r="AD22" s="58">
        <f>IFERROR($P22*VLOOKUP($D22,'02_Type_Assumptions'!$A$4:$AC$18,28,FALSE()),$P22)</f>
        <v/>
      </c>
      <c r="AE22" s="58">
        <f>IFERROR($P22*VLOOKUP($D22,'02_Type_Assumptions'!$A$4:$AC$18,29,FALSE()),$P22)</f>
        <v/>
      </c>
      <c r="AF22">
        <f>IF(IFERROR(VLOOKUP($D22,'02_Type_Assumptions'!$A$4:$AC$18,27,FALSE()),"")="Industrial",$AD22,0)</f>
        <v/>
      </c>
      <c r="AG22">
        <f>IF(IFERROR(VLOOKUP($D22,'02_Type_Assumptions'!$A$4:$AC$18,27,FALSE()),"")="Industrial",$AE22,0)</f>
        <v/>
      </c>
    </row>
    <row r="23" ht="15" customHeight="1" s="106">
      <c r="A23" s="23" t="n">
        <v>21</v>
      </c>
      <c r="B23" s="47" t="n"/>
      <c r="C23" s="47">
        <f>FALSE()</f>
        <v/>
      </c>
      <c r="D23" s="47" t="n"/>
      <c r="E23" s="47" t="n"/>
      <c r="F23" s="48" t="n"/>
      <c r="G23" s="49">
        <f>IFERROR(VLOOKUP(D23,'02_Type_Assumptions'!$A$4:$Z$18,3,FALSE()),0)</f>
        <v/>
      </c>
      <c r="H23" s="50" t="n"/>
      <c r="I23" s="51">
        <f>IF(ISNUMBER(H23),H23,IF(LOWER(E23)="sqft",IFERROR(F23/43560/'00_Inputs_Dashboard'!$B$51,0),IF(LOWER(E23)="acres",IFERROR(F23,0),IFERROR(F23*G23,0))))</f>
        <v/>
      </c>
      <c r="J23" s="52" t="n">
        <v>1</v>
      </c>
      <c r="K23" s="52" t="n">
        <v>1</v>
      </c>
      <c r="L23" s="53" t="n">
        <v>0.8</v>
      </c>
      <c r="M23" s="51">
        <f>I23*L23</f>
        <v/>
      </c>
      <c r="N23" s="54">
        <f>IFERROR(IF(LOWER(E23)="rooms",VLOOKUP(D23,'02_Type_Assumptions'!$A$4:$Z$18,6,FALSE()),IF(LOWER(E23)="acres",VLOOKUP(D23,'02_Type_Assumptions'!$A$4:$Z$18,5,FALSE()),VLOOKUP(D23,'02_Type_Assumptions'!$A$4:$Z$18,4,FALSE()))),0)</f>
        <v/>
      </c>
      <c r="O23" s="55" t="n"/>
      <c r="P23" s="54">
        <f>IF(ISNUMBER(O23),O23,IF(LOWER(E23)="rooms",F23*N23*L23,IF(LOWER(E23)="acres",M23*N23,IF(LOWER(E23)="sqft",M23*VLOOKUP(D23,'02_Type_Assumptions'!$A$4:$Z$18,5,FALSE()),F23*N23*L23))))</f>
        <v/>
      </c>
      <c r="Q23" s="54">
        <f>IFERROR(IF(VLOOKUP(D23,'02_Type_Assumptions'!$A$4:$Z$18,23,FALSE())="per_acre",VLOOKUP(D23,'02_Type_Assumptions'!$A$4:$Z$18,8,FALSE()),0),0)</f>
        <v/>
      </c>
      <c r="R23" s="55" t="n"/>
      <c r="S23" s="54">
        <f>IF(ISNUMBER(R23),R23*L23,M23*Q23)</f>
        <v/>
      </c>
      <c r="T23" s="56">
        <f>IF(LOWER(E23)="sqft",F23*L23,M23*IFERROR(VLOOKUP(D23,'02_Type_Assumptions'!$A$4:$Z$18,9,FALSE()),0))</f>
        <v/>
      </c>
      <c r="U23" s="56">
        <f>IF(OR(LOWER(E23)="lots",LOWER(E23)="units"),F23*L23,0)</f>
        <v/>
      </c>
      <c r="V23" s="56">
        <f>U23*IFERROR(VLOOKUP(D23,'02_Type_Assumptions'!$A$4:$Z$18,21,FALSE()),0)</f>
        <v/>
      </c>
      <c r="W23" s="51">
        <f>IFERROR(IF(OR(LOWER(E23)="lots",LOWER(E23)="units",LOWER(E23)="rooms"),F23*L23*VLOOKUP(D23,'02_Type_Assumptions'!$A$4:$Z$18,10,FALSE()),IF(LOWER(E23)="acres",M23*VLOOKUP(D23,'02_Type_Assumptions'!$A$4:$Z$18,11,FALSE()),IF(LOWER(E23)="sqft",T23/1000*VLOOKUP(D23,'02_Type_Assumptions'!$A$4:$Z$18,12,FALSE()),0))),0)</f>
        <v/>
      </c>
      <c r="X23" s="54">
        <f>INPUTS!$D$50</f>
        <v/>
      </c>
      <c r="Y23" s="55" t="n"/>
      <c r="Z23" s="54">
        <f>IF(ISNUMBER(Y23),Y23,W23*X23)</f>
        <v/>
      </c>
      <c r="AA23" s="55" t="n"/>
      <c r="AB23" s="55" t="n"/>
      <c r="AC23" s="57" t="n"/>
      <c r="AD23" s="58">
        <f>IFERROR($P23*VLOOKUP($D23,'02_Type_Assumptions'!$A$4:$AC$18,28,FALSE()),$P23)</f>
        <v/>
      </c>
      <c r="AE23" s="58">
        <f>IFERROR($P23*VLOOKUP($D23,'02_Type_Assumptions'!$A$4:$AC$18,29,FALSE()),$P23)</f>
        <v/>
      </c>
      <c r="AF23">
        <f>IF(IFERROR(VLOOKUP($D23,'02_Type_Assumptions'!$A$4:$AC$18,27,FALSE()),"")="Industrial",$AD23,0)</f>
        <v/>
      </c>
      <c r="AG23">
        <f>IF(IFERROR(VLOOKUP($D23,'02_Type_Assumptions'!$A$4:$AC$18,27,FALSE()),"")="Industrial",$AE23,0)</f>
        <v/>
      </c>
    </row>
    <row r="24" ht="15" customHeight="1" s="106">
      <c r="A24" s="23" t="n">
        <v>22</v>
      </c>
      <c r="B24" s="47" t="n"/>
      <c r="C24" s="47">
        <f>FALSE()</f>
        <v/>
      </c>
      <c r="D24" s="47" t="n"/>
      <c r="E24" s="47" t="n"/>
      <c r="F24" s="48" t="n"/>
      <c r="G24" s="49">
        <f>IFERROR(VLOOKUP(D24,'02_Type_Assumptions'!$A$4:$Z$18,3,FALSE()),0)</f>
        <v/>
      </c>
      <c r="H24" s="50" t="n"/>
      <c r="I24" s="51">
        <f>IF(ISNUMBER(H24),H24,IF(LOWER(E24)="sqft",IFERROR(F24/43560/'00_Inputs_Dashboard'!$B$51,0),IF(LOWER(E24)="acres",IFERROR(F24,0),IFERROR(F24*G24,0))))</f>
        <v/>
      </c>
      <c r="J24" s="52" t="n">
        <v>1</v>
      </c>
      <c r="K24" s="52" t="n">
        <v>1</v>
      </c>
      <c r="L24" s="53" t="n">
        <v>0.8</v>
      </c>
      <c r="M24" s="51">
        <f>I24*L24</f>
        <v/>
      </c>
      <c r="N24" s="54">
        <f>IFERROR(IF(LOWER(E24)="rooms",VLOOKUP(D24,'02_Type_Assumptions'!$A$4:$Z$18,6,FALSE()),IF(LOWER(E24)="acres",VLOOKUP(D24,'02_Type_Assumptions'!$A$4:$Z$18,5,FALSE()),VLOOKUP(D24,'02_Type_Assumptions'!$A$4:$Z$18,4,FALSE()))),0)</f>
        <v/>
      </c>
      <c r="O24" s="55" t="n"/>
      <c r="P24" s="54">
        <f>IF(ISNUMBER(O24),O24,IF(LOWER(E24)="rooms",F24*N24*L24,IF(LOWER(E24)="acres",M24*N24,IF(LOWER(E24)="sqft",M24*VLOOKUP(D24,'02_Type_Assumptions'!$A$4:$Z$18,5,FALSE()),F24*N24*L24))))</f>
        <v/>
      </c>
      <c r="Q24" s="54">
        <f>IFERROR(IF(VLOOKUP(D24,'02_Type_Assumptions'!$A$4:$Z$18,23,FALSE())="per_acre",VLOOKUP(D24,'02_Type_Assumptions'!$A$4:$Z$18,8,FALSE()),0),0)</f>
        <v/>
      </c>
      <c r="R24" s="55" t="n"/>
      <c r="S24" s="54">
        <f>IF(ISNUMBER(R24),R24*L24,M24*Q24)</f>
        <v/>
      </c>
      <c r="T24" s="56">
        <f>IF(LOWER(E24)="sqft",F24*L24,M24*IFERROR(VLOOKUP(D24,'02_Type_Assumptions'!$A$4:$Z$18,9,FALSE()),0))</f>
        <v/>
      </c>
      <c r="U24" s="56">
        <f>IF(OR(LOWER(E24)="lots",LOWER(E24)="units"),F24*L24,0)</f>
        <v/>
      </c>
      <c r="V24" s="56">
        <f>U24*IFERROR(VLOOKUP(D24,'02_Type_Assumptions'!$A$4:$Z$18,21,FALSE()),0)</f>
        <v/>
      </c>
      <c r="W24" s="51">
        <f>IFERROR(IF(OR(LOWER(E24)="lots",LOWER(E24)="units",LOWER(E24)="rooms"),F24*L24*VLOOKUP(D24,'02_Type_Assumptions'!$A$4:$Z$18,10,FALSE()),IF(LOWER(E24)="acres",M24*VLOOKUP(D24,'02_Type_Assumptions'!$A$4:$Z$18,11,FALSE()),IF(LOWER(E24)="sqft",T24/1000*VLOOKUP(D24,'02_Type_Assumptions'!$A$4:$Z$18,12,FALSE()),0))),0)</f>
        <v/>
      </c>
      <c r="X24" s="54">
        <f>INPUTS!$D$50</f>
        <v/>
      </c>
      <c r="Y24" s="55" t="n"/>
      <c r="Z24" s="54">
        <f>IF(ISNUMBER(Y24),Y24,W24*X24)</f>
        <v/>
      </c>
      <c r="AA24" s="55" t="n"/>
      <c r="AB24" s="55" t="n"/>
      <c r="AC24" s="57" t="n"/>
      <c r="AD24" s="58">
        <f>IFERROR($P24*VLOOKUP($D24,'02_Type_Assumptions'!$A$4:$AC$18,28,FALSE()),$P24)</f>
        <v/>
      </c>
      <c r="AE24" s="58">
        <f>IFERROR($P24*VLOOKUP($D24,'02_Type_Assumptions'!$A$4:$AC$18,29,FALSE()),$P24)</f>
        <v/>
      </c>
      <c r="AF24">
        <f>IF(IFERROR(VLOOKUP($D24,'02_Type_Assumptions'!$A$4:$AC$18,27,FALSE()),"")="Industrial",$AD24,0)</f>
        <v/>
      </c>
      <c r="AG24">
        <f>IF(IFERROR(VLOOKUP($D24,'02_Type_Assumptions'!$A$4:$AC$18,27,FALSE()),"")="Industrial",$AE24,0)</f>
        <v/>
      </c>
    </row>
    <row r="25" ht="15" customHeight="1" s="106">
      <c r="A25" s="23" t="n">
        <v>23</v>
      </c>
      <c r="B25" s="47" t="n"/>
      <c r="C25" s="47">
        <f>FALSE()</f>
        <v/>
      </c>
      <c r="D25" s="47" t="n"/>
      <c r="E25" s="47" t="n"/>
      <c r="F25" s="48" t="n"/>
      <c r="G25" s="49">
        <f>IFERROR(VLOOKUP(D25,'02_Type_Assumptions'!$A$4:$Z$18,3,FALSE()),0)</f>
        <v/>
      </c>
      <c r="H25" s="50" t="n"/>
      <c r="I25" s="51">
        <f>IF(ISNUMBER(H25),H25,IF(LOWER(E25)="sqft",IFERROR(F25/43560/'00_Inputs_Dashboard'!$B$51,0),IF(LOWER(E25)="acres",IFERROR(F25,0),IFERROR(F25*G25,0))))</f>
        <v/>
      </c>
      <c r="J25" s="52" t="n">
        <v>1</v>
      </c>
      <c r="K25" s="52" t="n">
        <v>1</v>
      </c>
      <c r="L25" s="53" t="n">
        <v>0.8</v>
      </c>
      <c r="M25" s="51">
        <f>I25*L25</f>
        <v/>
      </c>
      <c r="N25" s="54">
        <f>IFERROR(IF(LOWER(E25)="rooms",VLOOKUP(D25,'02_Type_Assumptions'!$A$4:$Z$18,6,FALSE()),IF(LOWER(E25)="acres",VLOOKUP(D25,'02_Type_Assumptions'!$A$4:$Z$18,5,FALSE()),VLOOKUP(D25,'02_Type_Assumptions'!$A$4:$Z$18,4,FALSE()))),0)</f>
        <v/>
      </c>
      <c r="O25" s="55" t="n"/>
      <c r="P25" s="54">
        <f>IF(ISNUMBER(O25),O25,IF(LOWER(E25)="rooms",F25*N25*L25,IF(LOWER(E25)="acres",M25*N25,IF(LOWER(E25)="sqft",M25*VLOOKUP(D25,'02_Type_Assumptions'!$A$4:$Z$18,5,FALSE()),F25*N25*L25))))</f>
        <v/>
      </c>
      <c r="Q25" s="54">
        <f>IFERROR(IF(VLOOKUP(D25,'02_Type_Assumptions'!$A$4:$Z$18,23,FALSE())="per_acre",VLOOKUP(D25,'02_Type_Assumptions'!$A$4:$Z$18,8,FALSE()),0),0)</f>
        <v/>
      </c>
      <c r="R25" s="55" t="n"/>
      <c r="S25" s="54">
        <f>IF(ISNUMBER(R25),R25*L25,M25*Q25)</f>
        <v/>
      </c>
      <c r="T25" s="56">
        <f>IF(LOWER(E25)="sqft",F25*L25,M25*IFERROR(VLOOKUP(D25,'02_Type_Assumptions'!$A$4:$Z$18,9,FALSE()),0))</f>
        <v/>
      </c>
      <c r="U25" s="56">
        <f>IF(OR(LOWER(E25)="lots",LOWER(E25)="units"),F25*L25,0)</f>
        <v/>
      </c>
      <c r="V25" s="56">
        <f>U25*IFERROR(VLOOKUP(D25,'02_Type_Assumptions'!$A$4:$Z$18,21,FALSE()),0)</f>
        <v/>
      </c>
      <c r="W25" s="51">
        <f>IFERROR(IF(OR(LOWER(E25)="lots",LOWER(E25)="units",LOWER(E25)="rooms"),F25*L25*VLOOKUP(D25,'02_Type_Assumptions'!$A$4:$Z$18,10,FALSE()),IF(LOWER(E25)="acres",M25*VLOOKUP(D25,'02_Type_Assumptions'!$A$4:$Z$18,11,FALSE()),IF(LOWER(E25)="sqft",T25/1000*VLOOKUP(D25,'02_Type_Assumptions'!$A$4:$Z$18,12,FALSE()),0))),0)</f>
        <v/>
      </c>
      <c r="X25" s="54">
        <f>INPUTS!$D$50</f>
        <v/>
      </c>
      <c r="Y25" s="55" t="n"/>
      <c r="Z25" s="54">
        <f>IF(ISNUMBER(Y25),Y25,W25*X25)</f>
        <v/>
      </c>
      <c r="AA25" s="55" t="n"/>
      <c r="AB25" s="55" t="n"/>
      <c r="AC25" s="57" t="n"/>
      <c r="AD25" s="58">
        <f>IFERROR($P25*VLOOKUP($D25,'02_Type_Assumptions'!$A$4:$AC$18,28,FALSE()),$P25)</f>
        <v/>
      </c>
      <c r="AE25" s="58">
        <f>IFERROR($P25*VLOOKUP($D25,'02_Type_Assumptions'!$A$4:$AC$18,29,FALSE()),$P25)</f>
        <v/>
      </c>
      <c r="AF25">
        <f>IF(IFERROR(VLOOKUP($D25,'02_Type_Assumptions'!$A$4:$AC$18,27,FALSE()),"")="Industrial",$AD25,0)</f>
        <v/>
      </c>
      <c r="AG25">
        <f>IF(IFERROR(VLOOKUP($D25,'02_Type_Assumptions'!$A$4:$AC$18,27,FALSE()),"")="Industrial",$AE25,0)</f>
        <v/>
      </c>
    </row>
    <row r="26" ht="15" customHeight="1" s="106">
      <c r="A26" s="23" t="n">
        <v>24</v>
      </c>
      <c r="B26" s="47" t="n"/>
      <c r="C26" s="47">
        <f>FALSE()</f>
        <v/>
      </c>
      <c r="D26" s="47" t="n"/>
      <c r="E26" s="47" t="n"/>
      <c r="F26" s="48" t="n"/>
      <c r="G26" s="49">
        <f>IFERROR(VLOOKUP(D26,'02_Type_Assumptions'!$A$4:$Z$18,3,FALSE()),0)</f>
        <v/>
      </c>
      <c r="H26" s="50" t="n"/>
      <c r="I26" s="51">
        <f>IF(ISNUMBER(H26),H26,IF(LOWER(E26)="sqft",IFERROR(F26/43560/'00_Inputs_Dashboard'!$B$51,0),IF(LOWER(E26)="acres",IFERROR(F26,0),IFERROR(F26*G26,0))))</f>
        <v/>
      </c>
      <c r="J26" s="52" t="n">
        <v>1</v>
      </c>
      <c r="K26" s="52" t="n">
        <v>1</v>
      </c>
      <c r="L26" s="53" t="n">
        <v>0.8</v>
      </c>
      <c r="M26" s="51">
        <f>I26*L26</f>
        <v/>
      </c>
      <c r="N26" s="54">
        <f>IFERROR(IF(LOWER(E26)="rooms",VLOOKUP(D26,'02_Type_Assumptions'!$A$4:$Z$18,6,FALSE()),IF(LOWER(E26)="acres",VLOOKUP(D26,'02_Type_Assumptions'!$A$4:$Z$18,5,FALSE()),VLOOKUP(D26,'02_Type_Assumptions'!$A$4:$Z$18,4,FALSE()))),0)</f>
        <v/>
      </c>
      <c r="O26" s="55" t="n"/>
      <c r="P26" s="54">
        <f>IF(ISNUMBER(O26),O26,IF(LOWER(E26)="rooms",F26*N26*L26,IF(LOWER(E26)="acres",M26*N26,IF(LOWER(E26)="sqft",M26*VLOOKUP(D26,'02_Type_Assumptions'!$A$4:$Z$18,5,FALSE()),F26*N26*L26))))</f>
        <v/>
      </c>
      <c r="Q26" s="54">
        <f>IFERROR(IF(VLOOKUP(D26,'02_Type_Assumptions'!$A$4:$Z$18,23,FALSE())="per_acre",VLOOKUP(D26,'02_Type_Assumptions'!$A$4:$Z$18,8,FALSE()),0),0)</f>
        <v/>
      </c>
      <c r="R26" s="55" t="n"/>
      <c r="S26" s="54">
        <f>IF(ISNUMBER(R26),R26*L26,M26*Q26)</f>
        <v/>
      </c>
      <c r="T26" s="56">
        <f>IF(LOWER(E26)="sqft",F26*L26,M26*IFERROR(VLOOKUP(D26,'02_Type_Assumptions'!$A$4:$Z$18,9,FALSE()),0))</f>
        <v/>
      </c>
      <c r="U26" s="56">
        <f>IF(OR(LOWER(E26)="lots",LOWER(E26)="units"),F26*L26,0)</f>
        <v/>
      </c>
      <c r="V26" s="56">
        <f>U26*IFERROR(VLOOKUP(D26,'02_Type_Assumptions'!$A$4:$Z$18,21,FALSE()),0)</f>
        <v/>
      </c>
      <c r="W26" s="51">
        <f>IFERROR(IF(OR(LOWER(E26)="lots",LOWER(E26)="units",LOWER(E26)="rooms"),F26*L26*VLOOKUP(D26,'02_Type_Assumptions'!$A$4:$Z$18,10,FALSE()),IF(LOWER(E26)="acres",M26*VLOOKUP(D26,'02_Type_Assumptions'!$A$4:$Z$18,11,FALSE()),IF(LOWER(E26)="sqft",T26/1000*VLOOKUP(D26,'02_Type_Assumptions'!$A$4:$Z$18,12,FALSE()),0))),0)</f>
        <v/>
      </c>
      <c r="X26" s="54">
        <f>INPUTS!$D$50</f>
        <v/>
      </c>
      <c r="Y26" s="55" t="n"/>
      <c r="Z26" s="54">
        <f>IF(ISNUMBER(Y26),Y26,W26*X26)</f>
        <v/>
      </c>
      <c r="AA26" s="55" t="n"/>
      <c r="AB26" s="55" t="n"/>
      <c r="AC26" s="57" t="n"/>
      <c r="AD26" s="58">
        <f>IFERROR($P26*VLOOKUP($D26,'02_Type_Assumptions'!$A$4:$AC$18,28,FALSE()),$P26)</f>
        <v/>
      </c>
      <c r="AE26" s="58">
        <f>IFERROR($P26*VLOOKUP($D26,'02_Type_Assumptions'!$A$4:$AC$18,29,FALSE()),$P26)</f>
        <v/>
      </c>
      <c r="AF26">
        <f>IF(IFERROR(VLOOKUP($D26,'02_Type_Assumptions'!$A$4:$AC$18,27,FALSE()),"")="Industrial",$AD26,0)</f>
        <v/>
      </c>
      <c r="AG26">
        <f>IF(IFERROR(VLOOKUP($D26,'02_Type_Assumptions'!$A$4:$AC$18,27,FALSE()),"")="Industrial",$AE26,0)</f>
        <v/>
      </c>
    </row>
    <row r="27" ht="15" customHeight="1" s="106">
      <c r="A27" s="23" t="n">
        <v>25</v>
      </c>
      <c r="B27" s="47" t="n"/>
      <c r="C27" s="47">
        <f>FALSE()</f>
        <v/>
      </c>
      <c r="D27" s="47" t="n"/>
      <c r="E27" s="47" t="n"/>
      <c r="F27" s="48" t="n"/>
      <c r="G27" s="49">
        <f>IFERROR(VLOOKUP(D27,'02_Type_Assumptions'!$A$4:$Z$18,3,FALSE()),0)</f>
        <v/>
      </c>
      <c r="H27" s="50" t="n"/>
      <c r="I27" s="51">
        <f>IF(ISNUMBER(H27),H27,IF(LOWER(E27)="sqft",IFERROR(F27/43560/'00_Inputs_Dashboard'!$B$51,0),IF(LOWER(E27)="acres",IFERROR(F27,0),IFERROR(F27*G27,0))))</f>
        <v/>
      </c>
      <c r="J27" s="52" t="n">
        <v>1</v>
      </c>
      <c r="K27" s="52" t="n">
        <v>1</v>
      </c>
      <c r="L27" s="53" t="n">
        <v>0.8</v>
      </c>
      <c r="M27" s="51">
        <f>I27*L27</f>
        <v/>
      </c>
      <c r="N27" s="54">
        <f>IFERROR(IF(LOWER(E27)="rooms",VLOOKUP(D27,'02_Type_Assumptions'!$A$4:$Z$18,6,FALSE()),IF(LOWER(E27)="acres",VLOOKUP(D27,'02_Type_Assumptions'!$A$4:$Z$18,5,FALSE()),VLOOKUP(D27,'02_Type_Assumptions'!$A$4:$Z$18,4,FALSE()))),0)</f>
        <v/>
      </c>
      <c r="O27" s="55" t="n"/>
      <c r="P27" s="54">
        <f>IF(ISNUMBER(O27),O27,IF(LOWER(E27)="rooms",F27*N27*L27,IF(LOWER(E27)="acres",M27*N27,IF(LOWER(E27)="sqft",M27*VLOOKUP(D27,'02_Type_Assumptions'!$A$4:$Z$18,5,FALSE()),F27*N27*L27))))</f>
        <v/>
      </c>
      <c r="Q27" s="54">
        <f>IFERROR(IF(VLOOKUP(D27,'02_Type_Assumptions'!$A$4:$Z$18,23,FALSE())="per_acre",VLOOKUP(D27,'02_Type_Assumptions'!$A$4:$Z$18,8,FALSE()),0),0)</f>
        <v/>
      </c>
      <c r="R27" s="55" t="n"/>
      <c r="S27" s="54">
        <f>IF(ISNUMBER(R27),R27*L27,M27*Q27)</f>
        <v/>
      </c>
      <c r="T27" s="56">
        <f>IF(LOWER(E27)="sqft",F27*L27,M27*IFERROR(VLOOKUP(D27,'02_Type_Assumptions'!$A$4:$Z$18,9,FALSE()),0))</f>
        <v/>
      </c>
      <c r="U27" s="56">
        <f>IF(OR(LOWER(E27)="lots",LOWER(E27)="units"),F27*L27,0)</f>
        <v/>
      </c>
      <c r="V27" s="56">
        <f>U27*IFERROR(VLOOKUP(D27,'02_Type_Assumptions'!$A$4:$Z$18,21,FALSE()),0)</f>
        <v/>
      </c>
      <c r="W27" s="51">
        <f>IFERROR(IF(OR(LOWER(E27)="lots",LOWER(E27)="units",LOWER(E27)="rooms"),F27*L27*VLOOKUP(D27,'02_Type_Assumptions'!$A$4:$Z$18,10,FALSE()),IF(LOWER(E27)="acres",M27*VLOOKUP(D27,'02_Type_Assumptions'!$A$4:$Z$18,11,FALSE()),IF(LOWER(E27)="sqft",T27/1000*VLOOKUP(D27,'02_Type_Assumptions'!$A$4:$Z$18,12,FALSE()),0))),0)</f>
        <v/>
      </c>
      <c r="X27" s="54">
        <f>INPUTS!$D$50</f>
        <v/>
      </c>
      <c r="Y27" s="55" t="n"/>
      <c r="Z27" s="54">
        <f>IF(ISNUMBER(Y27),Y27,W27*X27)</f>
        <v/>
      </c>
      <c r="AA27" s="55" t="n"/>
      <c r="AB27" s="55" t="n"/>
      <c r="AC27" s="57" t="n"/>
      <c r="AD27" s="58">
        <f>IFERROR($P27*VLOOKUP($D27,'02_Type_Assumptions'!$A$4:$AC$18,28,FALSE()),$P27)</f>
        <v/>
      </c>
      <c r="AE27" s="58">
        <f>IFERROR($P27*VLOOKUP($D27,'02_Type_Assumptions'!$A$4:$AC$18,29,FALSE()),$P27)</f>
        <v/>
      </c>
      <c r="AF27">
        <f>IF(IFERROR(VLOOKUP($D27,'02_Type_Assumptions'!$A$4:$AC$18,27,FALSE()),"")="Industrial",$AD27,0)</f>
        <v/>
      </c>
      <c r="AG27">
        <f>IF(IFERROR(VLOOKUP($D27,'02_Type_Assumptions'!$A$4:$AC$18,27,FALSE()),"")="Industrial",$AE27,0)</f>
        <v/>
      </c>
    </row>
  </sheetData>
  <mergeCells count="1">
    <mergeCell ref="A1:AC1"/>
  </mergeCells>
  <dataValidations count="2">
    <dataValidation sqref="C3:C27" showDropDown="0" showInputMessage="0" showErrorMessage="0" allowBlank="0" type="list">
      <formula1>"TRUE,FALSE"</formula1>
      <formula2>0</formula2>
    </dataValidation>
    <dataValidation sqref="E3:E27" showDropDown="0" showInputMessage="0" showErrorMessage="0" allowBlank="0" type="list">
      <formula1>"lots,units,acres,rooms,sqft"</formula1>
      <formula2>0</formula2>
    </dataValidation>
  </dataValidations>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tabColor rgb="FFD9D2E9"/>
    <outlinePr summaryBelow="1" summaryRight="1"/>
    <pageSetUpPr/>
  </sheetPr>
  <dimension ref="A1:F60"/>
  <sheetViews>
    <sheetView zoomScaleNormal="100" workbookViewId="0">
      <selection activeCell="K59" sqref="K59"/>
    </sheetView>
  </sheetViews>
  <sheetFormatPr baseColWidth="8" defaultColWidth="8.6640625" defaultRowHeight="13.2"/>
  <cols>
    <col width="85" customWidth="1" style="121" min="1" max="1"/>
    <col width="30" customWidth="1" style="121" min="2" max="4"/>
    <col width="8.6640625" customWidth="1" style="121" min="5" max="16384"/>
  </cols>
  <sheetData>
    <row r="1" ht="21.75" customHeight="1" s="106">
      <c r="A1" s="141" t="inlineStr">
        <is>
          <t>Sealy / Austin County ESD #2 Fiscal Scenario Builder</t>
        </is>
      </c>
    </row>
    <row r="2" ht="14.25" customHeight="1" s="106">
      <c r="A2" s="142" t="inlineStr">
        <is>
          <t>Planning-level development, infrastructure, and sales-tax allocation model</t>
        </is>
      </c>
      <c r="B2" s="142" t="n"/>
    </row>
    <row r="3" ht="15" customHeight="1" s="106">
      <c r="A3" s="149" t="inlineStr">
        <is>
          <t>Model version 6.1 — Peer-Calibrated (2026-05-28). Candidate canonical, pending review. Derived from canonical v6 (2026-05-25); v6 preserved unchanged.</t>
        </is>
      </c>
      <c r="B3" s="142" t="n"/>
    </row>
    <row r="4" ht="15" customHeight="1" s="106">
      <c r="A4" s="149" t="inlineStr">
        <is>
          <t>Prepared for: City of Sealy / Austin County ESD #2 discussion</t>
        </is>
      </c>
      <c r="B4" s="142" t="n"/>
    </row>
    <row r="5" ht="15" customHeight="1" s="106">
      <c r="A5" s="151" t="n"/>
      <c r="B5" s="142" t="n"/>
    </row>
    <row r="6" ht="14.25" customHeight="1" s="106">
      <c r="A6" s="142" t="inlineStr">
        <is>
          <t>USER-CONTROLLED INPUTS</t>
        </is>
      </c>
      <c r="B6" s="142" t="n"/>
    </row>
    <row r="7" ht="15" customHeight="1" s="106">
      <c r="A7" s="145" t="inlineStr">
        <is>
          <t>Sales-tax split: edit Inputs Dashboard cells B5 and B7. No preferred split is implied by the workbook.</t>
        </is>
      </c>
      <c r="B7" s="142" t="n"/>
    </row>
    <row r="8" ht="14.25" customHeight="1" s="106">
      <c r="A8" s="142" t="n"/>
      <c r="B8" s="142" t="n"/>
    </row>
    <row r="9" ht="15" customHeight="1" s="106">
      <c r="A9" s="146" t="inlineStr">
        <is>
          <t>MODEL PURPOSE</t>
        </is>
      </c>
    </row>
    <row r="10" ht="15" customHeight="1" s="106">
      <c r="A10" s="151" t="inlineStr">
        <is>
          <t>Use the Scenario Builder to enter development projects, allocation percentages, infrastructure assumptions, and fiscal-inclusion choices. Results recompute from the current user inputs.</t>
        </is>
      </c>
      <c r="B10" s="149" t="n"/>
    </row>
    <row r="11" ht="15" customHeight="1" s="106">
      <c r="A11" s="151" t="n"/>
      <c r="B11" s="149" t="n"/>
    </row>
    <row r="12" ht="15" customHeight="1" s="106">
      <c r="A12" s="151" t="inlineStr">
        <is>
          <t>ACTIVE SHEETS</t>
        </is>
      </c>
      <c r="B12" s="149" t="n"/>
    </row>
    <row r="13" ht="15" customHeight="1" s="106">
      <c r="A13" s="151" t="inlineStr">
        <is>
          <t>00_Inputs_Dashboard</t>
        </is>
      </c>
      <c r="B13" s="149" t="inlineStr">
        <is>
          <t>User-entered assumptions and controls</t>
        </is>
      </c>
    </row>
    <row r="14" ht="15" customHeight="1" s="106">
      <c r="A14" s="151" t="inlineStr">
        <is>
          <t>01_Scenario_Builder</t>
        </is>
      </c>
      <c r="B14" s="149" t="inlineStr">
        <is>
          <t>Project-level development inputs</t>
        </is>
      </c>
    </row>
    <row r="15" ht="15" customHeight="1" s="106">
      <c r="A15" s="151" t="inlineStr">
        <is>
          <t>02_Type_Assumptions</t>
        </is>
      </c>
      <c r="B15" s="149" t="inlineStr">
        <is>
          <t>Typical development coefficients</t>
        </is>
      </c>
    </row>
    <row r="16" ht="15" customHeight="1" s="106">
      <c r="A16" s="151" t="inlineStr">
        <is>
          <t>03_Multi_Horizon_Results</t>
        </is>
      </c>
      <c r="B16" s="149" t="inlineStr">
        <is>
          <t>5 / 10 / 15 / 20 / 30-year fiscal outputs</t>
        </is>
      </c>
    </row>
    <row r="17" ht="15" customHeight="1" s="106">
      <c r="A17" s="151" t="inlineStr">
        <is>
          <t>04_Annual_Calculations</t>
        </is>
      </c>
      <c r="B17" s="149" t="inlineStr">
        <is>
          <t>Year-by-year calculations</t>
        </is>
      </c>
    </row>
    <row r="18" ht="15" customHeight="1" s="106">
      <c r="A18" s="151" t="inlineStr">
        <is>
          <t>05_Capital_Triggers</t>
        </is>
      </c>
      <c r="B18" s="149" t="inlineStr">
        <is>
          <t>Major capital triggers and manual overrides</t>
        </is>
      </c>
    </row>
    <row r="19" ht="15" customHeight="1" s="106">
      <c r="A19" s="151" t="inlineStr">
        <is>
          <t>06_Output_Dashboard</t>
        </is>
      </c>
      <c r="B19" s="149" t="inlineStr">
        <is>
          <t>Summary dashboard</t>
        </is>
      </c>
    </row>
    <row r="20" ht="15" customHeight="1" s="106">
      <c r="A20" s="151" t="inlineStr">
        <is>
          <t>07_QA_Checks</t>
        </is>
      </c>
      <c r="B20" s="149" t="inlineStr">
        <is>
          <t>Formula-driven validation checks</t>
        </is>
      </c>
    </row>
    <row r="21" ht="15" customHeight="1" s="106">
      <c r="A21" s="151" t="inlineStr">
        <is>
          <t>08_Source_Log</t>
        </is>
      </c>
      <c r="B21" s="149" t="inlineStr">
        <is>
          <t>Input sources and validation flags</t>
        </is>
      </c>
    </row>
    <row r="22" ht="15" customHeight="1" s="106">
      <c r="A22" s="151" t="inlineStr">
        <is>
          <t>09_Phase_Factors</t>
        </is>
      </c>
      <c r="B22" s="149" t="inlineStr">
        <is>
          <t>Buildout phasing helper</t>
        </is>
      </c>
    </row>
    <row r="23" ht="28.5" customHeight="1" s="106">
      <c r="A23" s="142" t="inlineStr">
        <is>
          <t>10_Model_Notes</t>
        </is>
      </c>
      <c r="B23" s="142" t="inlineStr">
        <is>
          <t>Neutral notes and validation status</t>
        </is>
      </c>
    </row>
    <row r="24" ht="15" customHeight="1" s="106">
      <c r="A24" s="147" t="inlineStr">
        <is>
          <t>11_Acceptance_Tests</t>
        </is>
      </c>
    </row>
    <row r="25" ht="15" customHeight="1" s="106">
      <c r="A25" s="148" t="inlineStr">
        <is>
          <t>11_Infrastructure_Takeoff</t>
        </is>
      </c>
    </row>
    <row r="26" ht="15" customHeight="1" s="106">
      <c r="A26" s="149" t="inlineStr">
        <is>
          <t>12_Takeoff_Assumptions</t>
        </is>
      </c>
    </row>
    <row r="27" ht="15" customHeight="1" s="106">
      <c r="A27" s="149" t="inlineStr">
        <is>
          <t>13_Peer_Benchmarks  —  External FIA peer benchmarks &amp; methodology validation (v6.1)</t>
        </is>
      </c>
    </row>
    <row r="28" ht="15" customHeight="1" s="106">
      <c r="A28" s="149" t="n"/>
    </row>
    <row r="29" ht="15" customHeight="1" s="106">
      <c r="A29" s="149" t="inlineStr">
        <is>
          <t>IMPORTANT MODELING NOTE</t>
        </is>
      </c>
    </row>
    <row r="30" ht="15" customHeight="1" s="106">
      <c r="A30" s="149" t="inlineStr">
        <is>
          <t>Infrastructure quantities are informational unless the user marks an item 'Include in Fiscal Net? = Yes' and assigns City or ESD funding responsibility.</t>
        </is>
      </c>
    </row>
    <row r="31" ht="15" customHeight="1" s="106">
      <c r="A31" s="149" t="n"/>
    </row>
    <row r="32" ht="14.25" customHeight="1" s="106">
      <c r="A32" s="142" t="inlineStr">
        <is>
          <t>LEGAL / ADMINISTRATIVE NOTE</t>
        </is>
      </c>
      <c r="B32" s="142" t="n"/>
    </row>
    <row r="33" ht="14.25" customHeight="1" s="106">
      <c r="A33" s="150" t="inlineStr">
        <is>
          <t>EDC retention, Comptroller administration, and final allocation terms require legal and administrative confirmation.</t>
        </is>
      </c>
    </row>
    <row r="34" ht="14.25" customHeight="1" s="106">
      <c r="A34" s="149" t="n"/>
    </row>
    <row r="35" ht="14.25" customHeight="1" s="106">
      <c r="A35" s="149" t="inlineStr">
        <is>
          <t>CURRENT VALIDATION STATUS</t>
        </is>
      </c>
    </row>
    <row r="36" ht="14.25" customHeight="1" s="106">
      <c r="A36" s="149" t="inlineStr">
        <is>
          <t>Formula-driven QA checks pass after recalculation. Remaining assumptions should be confirmed by staff, finance, legal, CAD, Comptroller, and ESD data before formal reliance.</t>
        </is>
      </c>
    </row>
    <row r="37" ht="14.25" customHeight="1" s="106">
      <c r="A37" s="151" t="inlineStr">
        <is>
          <t>PEER CALIBRATION (v6.1)</t>
        </is>
      </c>
    </row>
    <row r="38" ht="14.25" customHeight="1" s="106">
      <c r="A38" s="152" t="inlineStr">
        <is>
          <t>v6.1 adds external FIA validation (TischlerBise/ICMA, Lincoln, Cost of Community Services, Verdunity TX, Bryan RELLIS, Castle Pines, SGA/Urban3, NLC, TML 2025). No coefficient VALUES or formulas changed from v6 — confidence labels and citations were upgraded and a 13_Peer_Benchmarks tab added. Computed outputs are identical to v6.</t>
        </is>
      </c>
    </row>
    <row r="39" ht="14.25" customHeight="1" s="106">
      <c r="A39" s="149" t="n"/>
    </row>
    <row r="40" ht="14.25" customHeight="1" s="106">
      <c r="A40" s="149" t="n"/>
    </row>
    <row r="41" ht="14.25" customHeight="1" s="106">
      <c r="A41" s="149" t="n"/>
    </row>
    <row r="42" ht="14.25" customHeight="1" s="106">
      <c r="A42" s="149" t="n"/>
    </row>
    <row r="43" ht="14.25" customHeight="1" s="106">
      <c r="A43" s="149" t="n"/>
    </row>
    <row r="47">
      <c r="A47" s="168" t="n"/>
      <c r="B47" s="168" t="n"/>
      <c r="C47" s="168" t="n"/>
      <c r="D47" s="168" t="n"/>
    </row>
    <row r="48">
      <c r="A48" s="168" t="n"/>
      <c r="B48" s="168" t="n"/>
      <c r="C48" s="168" t="n"/>
      <c r="D48" s="168" t="n"/>
    </row>
    <row r="49">
      <c r="A49" s="168" t="n"/>
      <c r="B49" s="168" t="n"/>
      <c r="C49" s="168" t="n"/>
      <c r="D49" s="168" t="n"/>
    </row>
    <row r="50">
      <c r="A50" s="168" t="n"/>
      <c r="B50" s="168" t="n"/>
      <c r="C50" s="168" t="n"/>
      <c r="D50" s="168" t="n"/>
    </row>
    <row r="53" customFormat="1" s="168"/>
    <row r="54">
      <c r="A54" s="117" t="n"/>
    </row>
    <row r="55">
      <c r="A55" s="117" t="n"/>
    </row>
    <row r="56">
      <c r="A56" s="117" t="n"/>
    </row>
    <row r="57">
      <c r="A57" s="117" t="n"/>
    </row>
    <row r="58">
      <c r="A58" s="117" t="n"/>
    </row>
    <row r="59">
      <c r="A59" s="117" t="n"/>
    </row>
    <row r="60">
      <c r="A60" s="117" t="n"/>
    </row>
  </sheetData>
  <mergeCells count="21">
    <mergeCell ref="A35:D35"/>
    <mergeCell ref="A38:D38"/>
    <mergeCell ref="A29:D29"/>
    <mergeCell ref="A43:D43"/>
    <mergeCell ref="A28:D28"/>
    <mergeCell ref="A40:D40"/>
    <mergeCell ref="A31:D31"/>
    <mergeCell ref="A34:D34"/>
    <mergeCell ref="A30:D30"/>
    <mergeCell ref="A39:D39"/>
    <mergeCell ref="A24:D24"/>
    <mergeCell ref="A36:D36"/>
    <mergeCell ref="A1:D1"/>
    <mergeCell ref="A9:F9"/>
    <mergeCell ref="A41:D41"/>
    <mergeCell ref="A37:D37"/>
    <mergeCell ref="A27:D27"/>
    <mergeCell ref="A26:D26"/>
    <mergeCell ref="A33:D33"/>
    <mergeCell ref="A42:D42"/>
    <mergeCell ref="A25:F25"/>
  </mergeCells>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tabColor rgb="FFFFD966"/>
    <outlinePr summaryBelow="1" summaryRight="1"/>
    <pageSetUpPr/>
  </sheetPr>
  <dimension ref="A1:F60"/>
  <sheetViews>
    <sheetView topLeftCell="A6" zoomScaleNormal="100" workbookViewId="0">
      <selection activeCell="K59" sqref="K59"/>
    </sheetView>
  </sheetViews>
  <sheetFormatPr baseColWidth="8" defaultColWidth="8.6640625" defaultRowHeight="14.4"/>
  <cols>
    <col width="55" customWidth="1" style="121" min="1" max="1"/>
    <col width="16" customWidth="1" style="113" min="2" max="2"/>
    <col width="60" customWidth="1" style="121" min="3" max="3"/>
    <col width="12" customWidth="1" style="121" min="4" max="6"/>
    <col width="8.6640625" customWidth="1" style="121" min="7" max="16384"/>
  </cols>
  <sheetData>
    <row r="1" ht="21.75" customHeight="1" s="106">
      <c r="A1" s="135" t="inlineStr">
        <is>
          <t>Inputs Dashboard</t>
        </is>
      </c>
    </row>
    <row r="3" ht="14.25" customHeight="1" s="106">
      <c r="A3" s="121" t="inlineStr">
        <is>
          <t>A. User-Selected Sales-Tax Allocation</t>
        </is>
      </c>
    </row>
    <row r="4" ht="15" customHeight="1" s="106">
      <c r="A4" s="136" t="inlineStr">
        <is>
          <t>A. Sales-Tax Split  (City + ESD must sum to 100%; EDC carve-out comes from City share)</t>
        </is>
      </c>
    </row>
    <row r="5" ht="15" customHeight="1" s="106">
      <c r="A5" s="137" t="inlineStr">
        <is>
          <t>City of Sealy General Fund share</t>
        </is>
      </c>
      <c r="B5" s="60">
        <f>INPUTS!D6</f>
        <v/>
      </c>
      <c r="C5" s="138" t="inlineStr">
        <is>
          <t>User input. No preferred split is implied.</t>
        </is>
      </c>
    </row>
    <row r="6" ht="15" customHeight="1" s="106">
      <c r="A6" s="137" t="inlineStr">
        <is>
          <t>EDC retention % of City share (carve-out)</t>
        </is>
      </c>
      <c r="B6" s="60">
        <f>INPUTS!D7</f>
        <v/>
      </c>
      <c r="C6" s="138" t="inlineStr">
        <is>
          <t>MODELING ASSUMPTION — Subject to City Attorney confirmation. Tex LGC Ch. 505 Type B / Sealy EDC.</t>
        </is>
      </c>
    </row>
    <row r="7" ht="15" customHeight="1" s="106">
      <c r="A7" s="137" t="inlineStr">
        <is>
          <t>ESD #2 share</t>
        </is>
      </c>
      <c r="B7" s="60">
        <f>INPUTS!D8</f>
        <v/>
      </c>
      <c r="C7" s="138" t="inlineStr">
        <is>
          <t>User input. City + ESD must equal 100%.</t>
        </is>
      </c>
    </row>
    <row r="8" ht="15" customHeight="1" s="106">
      <c r="A8" s="137" t="inlineStr">
        <is>
          <t>Sum check (City + ESD)</t>
        </is>
      </c>
      <c r="B8" s="62">
        <f>B5+B7</f>
        <v/>
      </c>
      <c r="C8" s="137">
        <f>IF(ABS(B5+B7-1)&lt;0.001,"✓ 100%","❌ Off")</f>
        <v/>
      </c>
    </row>
    <row r="10" ht="15" customHeight="1" s="106">
      <c r="A10" s="136" t="inlineStr">
        <is>
          <t>B. Growth Drivers</t>
        </is>
      </c>
    </row>
    <row r="11" ht="15" customHeight="1" s="106">
      <c r="A11" s="137" t="inlineStr">
        <is>
          <t>Sealy current population</t>
        </is>
      </c>
      <c r="B11" s="63">
        <f>INPUTS!D13</f>
        <v/>
      </c>
      <c r="C11" s="138" t="inlineStr">
        <is>
          <t>Sealy HB1378 §140.008 FY25 actual (city-published).</t>
        </is>
      </c>
    </row>
    <row r="12" ht="15" customHeight="1" s="106">
      <c r="A12" s="137" t="inlineStr">
        <is>
          <t>Population CAGR (annual %)</t>
        </is>
      </c>
      <c r="B12" s="64">
        <f>INPUTS!D14</f>
        <v/>
      </c>
      <c r="C12" s="138" t="inlineStr">
        <is>
          <t>Sealy HB1378 5-yr actual 6,450 → 7,553. Used to inform residential growth phasing context.</t>
        </is>
      </c>
    </row>
    <row r="13" ht="15" customHeight="1" s="106">
      <c r="A13" s="137" t="inlineStr">
        <is>
          <t>Sealy current annual sales-tax pool ($)</t>
        </is>
      </c>
      <c r="B13" s="65">
        <f>INPUTS!D15</f>
        <v/>
      </c>
      <c r="C13" s="138" t="inlineStr">
        <is>
          <t>Rounded FY26 Adopted Budget planning input.</t>
        </is>
      </c>
    </row>
    <row r="14" ht="15" customHeight="1" s="106">
      <c r="A14" s="137" t="inlineStr">
        <is>
          <t>Sales-tax pool CAGR (annual %)</t>
        </is>
      </c>
      <c r="B14" s="64">
        <f>INPUTS!D16</f>
        <v/>
      </c>
      <c r="C14" s="138" t="inlineStr">
        <is>
          <t>Sealy 12-year Comptroller actual. Applied to current pool growth annuity.</t>
        </is>
      </c>
    </row>
    <row r="15" ht="15" customHeight="1" s="106">
      <c r="A15" s="137" t="inlineStr">
        <is>
          <t>Property AV growth CAGR (annual %)</t>
        </is>
      </c>
      <c r="B15" s="64">
        <f>INPUTS!D17</f>
        <v/>
      </c>
      <c r="C15" s="138" t="inlineStr">
        <is>
          <t>Sealy HB1378-derived; 5-yr was 7.3% (conservative).</t>
        </is>
      </c>
    </row>
    <row r="16" ht="15" customHeight="1" s="106">
      <c r="A16" s="137" t="inlineStr">
        <is>
          <t>Annexation capture rate (% of growth)</t>
        </is>
      </c>
      <c r="B16" s="60">
        <f>INPUTS!D18</f>
        <v/>
      </c>
      <c r="C16" s="138" t="inlineStr">
        <is>
          <t>Project-level capture rate; per-project adjustable in Scenario Builder.</t>
        </is>
      </c>
    </row>
    <row r="18" ht="15" customHeight="1" s="106">
      <c r="A18" s="136" t="inlineStr">
        <is>
          <t>C. Other Levers</t>
        </is>
      </c>
    </row>
    <row r="19" ht="15" customHeight="1" s="106">
      <c r="A19" s="137" t="inlineStr">
        <is>
          <t>Primary horizon (years)</t>
        </is>
      </c>
      <c r="B19" s="66" t="n">
        <v>10</v>
      </c>
      <c r="C19" s="138" t="inlineStr">
        <is>
          <t>Reference only — model calculates all 5 horizons.</t>
        </is>
      </c>
    </row>
    <row r="20" ht="15" customHeight="1" s="106">
      <c r="A20" s="137" t="inlineStr">
        <is>
          <t>Sales-tax pool rate (% of taxable sales)</t>
        </is>
      </c>
      <c r="B20" s="64">
        <f>INPUTS!D9</f>
        <v/>
      </c>
      <c r="C20" s="138" t="inlineStr">
        <is>
          <t>Normal 1.5% allocable pool rate (combined-area code 6008609). 2.0% absolute local-cap stress ceiling.</t>
        </is>
      </c>
    </row>
    <row r="21" ht="15" customHeight="1" s="106">
      <c r="A21" s="137" t="inlineStr">
        <is>
          <t>City property tax rate (per $1 AV)</t>
        </is>
      </c>
      <c r="B21" s="67">
        <f>INPUTS!D10</f>
        <v/>
      </c>
      <c r="C21" s="138" t="inlineStr">
        <is>
          <t>Sealy FY26 Ord. 2025-24 ($0.37731/$100).</t>
        </is>
      </c>
    </row>
    <row r="22" ht="15" customHeight="1" s="106">
      <c r="A22" s="137" t="inlineStr">
        <is>
          <t>ESD #2 ad valorem rate (per $1 AV)</t>
        </is>
      </c>
      <c r="B22" s="67">
        <f>INPUTS!D11</f>
        <v/>
      </c>
      <c r="C22" s="138" t="inlineStr">
        <is>
          <t>ESD #2 adopted ad valorem rate $0.09310/$100 (2026 tax year). Source: SB625 2026 filing + Retreat at Sealy 2026 tax statement; FY25 ACFR confirms 2025=$0.09578.</t>
        </is>
      </c>
    </row>
    <row r="23" ht="15" customHeight="1" s="106">
      <c r="A23" s="137" t="inlineStr">
        <is>
          <t>General opex inflation CAGR</t>
        </is>
      </c>
      <c r="B23" s="64">
        <f>INPUTS!D19</f>
        <v/>
      </c>
      <c r="C23" s="138" t="inlineStr">
        <is>
          <t>TML benchmark; applied to recurring opex.</t>
        </is>
      </c>
    </row>
    <row r="24" ht="15" customHeight="1" s="106">
      <c r="A24" s="137" t="inlineStr">
        <is>
          <t>Capital construction inflation CAGR</t>
        </is>
      </c>
      <c r="B24" s="64">
        <f>INPUTS!D20</f>
        <v/>
      </c>
      <c r="C24" s="138" t="inlineStr">
        <is>
          <t>Maxxbuilders TX 2024-2026 (3-6% range).</t>
        </is>
      </c>
    </row>
    <row r="25" ht="15" customHeight="1" s="106">
      <c r="A25" s="137" t="inlineStr">
        <is>
          <t>City reserve % (of City opex + capital basis)</t>
        </is>
      </c>
      <c r="B25" s="64">
        <f>INPUTS!D21</f>
        <v/>
      </c>
      <c r="C25" s="138" t="inlineStr">
        <is>
          <t>Applied to City opex + City capital cost (see Section F option).</t>
        </is>
      </c>
    </row>
    <row r="26" ht="15" customHeight="1" s="106">
      <c r="A26" s="137" t="inlineStr">
        <is>
          <t>ESD reserve % (of ESD opex + capital basis)</t>
        </is>
      </c>
      <c r="B26" s="64">
        <f>INPUTS!D22</f>
        <v/>
      </c>
      <c r="C26" s="138" t="inlineStr">
        <is>
          <t>Applied to ESD opex + ESD capital cost.</t>
        </is>
      </c>
    </row>
    <row r="27" ht="15" customHeight="1" s="106">
      <c r="A27" s="137" t="inlineStr">
        <is>
          <t>Reserve basis includes capital? (1=Yes, 0=No)</t>
        </is>
      </c>
      <c r="B27" s="66">
        <f>INPUTS!D23</f>
        <v/>
      </c>
      <c r="C27" s="138" t="inlineStr">
        <is>
          <t>Per spec #13 — Option B: reserve = (opex + capital) × pct. Set 0 for opex-only.</t>
        </is>
      </c>
    </row>
    <row r="29" ht="15" customHeight="1" s="106">
      <c r="A29" s="136" t="inlineStr">
        <is>
          <t>D. Resident Online / Delivery Local Use-Tax (household-based)</t>
        </is>
      </c>
    </row>
    <row r="30" ht="15" customHeight="1" s="106">
      <c r="A30" s="137" t="inlineStr">
        <is>
          <t>SFR occupancy rate</t>
        </is>
      </c>
      <c r="B30" s="60">
        <f>INPUTS!D26</f>
        <v/>
      </c>
      <c r="C30" s="138" t="inlineStr">
        <is>
          <t>Owner-occupied + tenant; planning benchmark.</t>
        </is>
      </c>
    </row>
    <row r="31" ht="15" customHeight="1" s="106">
      <c r="A31" s="137" t="inlineStr">
        <is>
          <t>MFR occupancy rate</t>
        </is>
      </c>
      <c r="B31" s="60">
        <f>INPUTS!D27</f>
        <v/>
      </c>
      <c r="C31" s="138" t="inlineStr">
        <is>
          <t>MFR lease-up steady state.</t>
        </is>
      </c>
    </row>
    <row r="32" ht="15" customHeight="1" s="106">
      <c r="A32" s="137" t="inlineStr">
        <is>
          <t>SFR household size</t>
        </is>
      </c>
      <c r="B32" s="68">
        <f>INPUTS!D28</f>
        <v/>
      </c>
      <c r="C32" s="138" t="inlineStr">
        <is>
          <t>Sealy SF household size benchmark.</t>
        </is>
      </c>
    </row>
    <row r="33" ht="15" customHeight="1" s="106">
      <c r="A33" s="137" t="inlineStr">
        <is>
          <t>MFR household size</t>
        </is>
      </c>
      <c r="B33" s="68">
        <f>INPUTS!D29</f>
        <v/>
      </c>
      <c r="C33" s="138" t="inlineStr">
        <is>
          <t>Retreat at Sealy MFR benchmark.</t>
        </is>
      </c>
    </row>
    <row r="34" ht="15" customHeight="1" s="106">
      <c r="A34" s="137" t="inlineStr">
        <is>
          <t>Online spend per occupied household ($)</t>
        </is>
      </c>
      <c r="B34" s="65">
        <f>INPUTS!D30</f>
        <v/>
      </c>
      <c r="C34" s="138" t="inlineStr">
        <is>
          <t>BASE case ($6,000); Conservative $4,000; High $8,000. See sensitivity rows below.</t>
        </is>
      </c>
    </row>
    <row r="35" ht="15" customHeight="1" s="106">
      <c r="A35" s="137" t="inlineStr">
        <is>
          <t>Taxable share of online spending</t>
        </is>
      </c>
      <c r="B35" s="60">
        <f>INPUTS!D31</f>
        <v/>
      </c>
      <c r="C35" s="138" t="inlineStr">
        <is>
          <t>Base-case assumption shown in B35; conservative/high cases shown below. Marketplace facilitator + remote seller taxable scope.</t>
        </is>
      </c>
    </row>
    <row r="36" ht="15" customHeight="1" s="106">
      <c r="A36" s="137" t="inlineStr">
        <is>
          <t>Local address capture factor</t>
        </is>
      </c>
      <c r="B36" s="60">
        <f>INPUTS!D32</f>
        <v/>
      </c>
      <c r="C36" s="138" t="inlineStr">
        <is>
          <t>BASE 75%; Conservative 60%; High 90%. Share of taxable spend mapped to ship-to address in Sealy/ESD combined area.</t>
        </is>
      </c>
    </row>
    <row r="37" ht="15" customHeight="1" s="106">
      <c r="A37" s="137" t="inlineStr">
        <is>
          <t>Online spend growth rate (CAGR)</t>
        </is>
      </c>
      <c r="B37" s="64">
        <f>INPUTS!D33</f>
        <v/>
      </c>
      <c r="C37" s="138" t="inlineStr">
        <is>
          <t>Annual real growth in online taxable spend per household.</t>
        </is>
      </c>
    </row>
    <row r="38" ht="15" customHeight="1" s="106">
      <c r="A38" s="137" t="inlineStr">
        <is>
          <t>Include online use-tax in pool? (1=Yes, 0=No)</t>
        </is>
      </c>
      <c r="B38" s="66">
        <f>INPUTS!D34</f>
        <v/>
      </c>
      <c r="C38" s="138" t="inlineStr">
        <is>
          <t>Toggle for spec acceptance Test 11/12. 0 zeros the line out.</t>
        </is>
      </c>
    </row>
    <row r="40" ht="15" customHeight="1" s="106">
      <c r="A40" s="139" t="inlineStr">
        <is>
          <t>Note: Actual online use-tax collections depend on marketplace collection, seller sourcing, ship-to address coding, remote-seller election rules, Comptroller allocation, and address accuracy. Planning estimate only.</t>
        </is>
      </c>
    </row>
    <row r="43" ht="15" customHeight="1" s="106">
      <c r="A43" s="136" t="inlineStr">
        <is>
          <t>E. Online sensitivity reference (for stress testing — copy values into D row above)</t>
        </is>
      </c>
    </row>
    <row r="44" ht="15" customHeight="1" s="106">
      <c r="A44" s="70" t="inlineStr">
        <is>
          <t>Case</t>
        </is>
      </c>
      <c r="B44" s="70" t="inlineStr">
        <is>
          <t>Spend/HH</t>
        </is>
      </c>
      <c r="C44" s="70" t="inlineStr">
        <is>
          <t>Taxable share</t>
        </is>
      </c>
      <c r="D44" s="70" t="inlineStr">
        <is>
          <t>Local capture</t>
        </is>
      </c>
    </row>
    <row r="45" ht="15" customHeight="1" s="106">
      <c r="A45" s="137" t="inlineStr">
        <is>
          <t>Conservative</t>
        </is>
      </c>
      <c r="B45" s="71" t="n">
        <v>4000</v>
      </c>
      <c r="C45" s="140" t="n">
        <v>0.6</v>
      </c>
      <c r="D45" s="140" t="n">
        <v>0.6</v>
      </c>
    </row>
    <row r="46" ht="15" customHeight="1" s="106">
      <c r="A46" s="137" t="inlineStr">
        <is>
          <t>Base case</t>
        </is>
      </c>
      <c r="B46" s="71" t="n">
        <v>6000</v>
      </c>
      <c r="C46" s="140" t="n">
        <v>0.7</v>
      </c>
      <c r="D46" s="140" t="n">
        <v>0.75</v>
      </c>
    </row>
    <row r="47">
      <c r="A47" s="158" t="inlineStr">
        <is>
          <t>High</t>
        </is>
      </c>
      <c r="B47" s="159" t="n">
        <v>8000</v>
      </c>
      <c r="C47" s="160" t="n">
        <v>0.75</v>
      </c>
      <c r="D47" s="160" t="n">
        <v>0.9</v>
      </c>
    </row>
    <row r="48">
      <c r="A48" s="168" t="n"/>
      <c r="B48" s="30" t="n"/>
      <c r="C48" s="168" t="n"/>
      <c r="D48" s="168" t="n"/>
    </row>
    <row r="49">
      <c r="A49" s="162" t="inlineStr">
        <is>
          <t>F. Property Tax Collection</t>
        </is>
      </c>
      <c r="B49" s="30" t="n"/>
      <c r="C49" s="168" t="n"/>
      <c r="D49" s="168" t="n"/>
    </row>
    <row r="50" ht="27.6" customHeight="1" s="106">
      <c r="A50" s="40" t="inlineStr">
        <is>
          <t>Property tax collection rate (levied vs collected)</t>
        </is>
      </c>
      <c r="B50" s="163">
        <f>INPUTS!D24</f>
        <v/>
      </c>
      <c r="C50" s="40" t="inlineStr">
        <is>
          <t>FY25 ACFR property tax collected ~104.6%; default 100% (1.0). Override to reflect uncollected share.</t>
        </is>
      </c>
      <c r="D50" s="168" t="n"/>
    </row>
    <row r="51" ht="14.25" customHeight="1" s="106">
      <c r="B51" s="113">
        <f>INPUTS!D47</f>
        <v/>
      </c>
    </row>
    <row r="52" ht="14.25" customHeight="1" s="106">
      <c r="B52" s="113">
        <f>INPUTS!D48</f>
        <v/>
      </c>
    </row>
    <row r="53" customFormat="1" s="168">
      <c r="B53" s="166">
        <f>INPUTS!D49</f>
        <v/>
      </c>
    </row>
    <row r="54">
      <c r="A54" s="117" t="n"/>
    </row>
    <row r="55">
      <c r="A55" s="117" t="n"/>
    </row>
    <row r="56">
      <c r="A56" s="117" t="n"/>
    </row>
    <row r="57">
      <c r="A57" s="117" t="n"/>
    </row>
    <row r="58">
      <c r="A58" s="117" t="n"/>
    </row>
    <row r="59">
      <c r="A59" s="117" t="n"/>
    </row>
    <row r="60">
      <c r="A60" s="117" t="n"/>
    </row>
  </sheetData>
  <mergeCells count="7">
    <mergeCell ref="A10:F10"/>
    <mergeCell ref="A1:F1"/>
    <mergeCell ref="A40:F40"/>
    <mergeCell ref="A18:F18"/>
    <mergeCell ref="A4:F4"/>
    <mergeCell ref="A29:F29"/>
    <mergeCell ref="A43:F43"/>
  </mergeCell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tabColor rgb="FF9FC5E8"/>
    <outlinePr summaryBelow="1" summaryRight="1"/>
    <pageSetUpPr/>
  </sheetPr>
  <dimension ref="A1:AC18"/>
  <sheetViews>
    <sheetView zoomScaleNormal="100" workbookViewId="0">
      <selection activeCell="E22" sqref="E22"/>
    </sheetView>
  </sheetViews>
  <sheetFormatPr baseColWidth="8" defaultColWidth="8.6640625" defaultRowHeight="13.2"/>
  <cols>
    <col width="28" customWidth="1" style="106" min="1" max="1"/>
    <col width="8.109375" customWidth="1" style="106" min="2" max="2"/>
    <col width="11.109375" customWidth="1" style="106" min="3" max="3"/>
    <col width="11" customWidth="1" style="106" min="4" max="7"/>
    <col width="12" customWidth="1" style="106" min="8" max="8"/>
    <col width="9" customWidth="1" style="106" min="9" max="9"/>
    <col width="8" customWidth="1" style="106" min="10" max="21"/>
    <col width="13" customWidth="1" style="106" min="22" max="22"/>
    <col width="14" customWidth="1" style="106" min="23" max="23"/>
    <col width="12" customWidth="1" style="106" min="24" max="24"/>
    <col width="11" customWidth="1" style="106" min="25" max="25"/>
    <col width="38" customWidth="1" style="106" min="26" max="26"/>
  </cols>
  <sheetData>
    <row r="1" ht="21.75" customHeight="1" s="106">
      <c r="A1" s="109" t="inlineStr">
        <is>
          <t>Type Assumptions — 15 development types</t>
        </is>
      </c>
    </row>
    <row r="3" ht="31.5" customHeight="1" s="106">
      <c r="A3" s="72" t="inlineStr">
        <is>
          <t>Type Name</t>
        </is>
      </c>
      <c r="B3" s="72" t="inlineStr">
        <is>
          <t>Typical Qty Type</t>
        </is>
      </c>
      <c r="C3" s="72" t="inlineStr">
        <is>
          <t>Typical Acres per Unit</t>
        </is>
      </c>
      <c r="D3" s="72" t="inlineStr">
        <is>
          <t>AV per Unit ($)</t>
        </is>
      </c>
      <c r="E3" s="72" t="inlineStr">
        <is>
          <t>AV per Acre ($)</t>
        </is>
      </c>
      <c r="F3" s="72" t="inlineStr">
        <is>
          <t>AV per Room ($)</t>
        </is>
      </c>
      <c r="G3" s="72" t="inlineStr">
        <is>
          <t>Taxable Sales per Unit ($)</t>
        </is>
      </c>
      <c r="H3" s="72" t="inlineStr">
        <is>
          <t>Taxable Sales per Acre ($)</t>
        </is>
      </c>
      <c r="I3" s="72" t="inlineStr">
        <is>
          <t>SqFt per Acre (FAR)</t>
        </is>
      </c>
      <c r="J3" s="72" t="inlineStr">
        <is>
          <t>LUE per Unit</t>
        </is>
      </c>
      <c r="K3" s="72" t="inlineStr">
        <is>
          <t>LUE per Acre</t>
        </is>
      </c>
      <c r="L3" s="72" t="inlineStr">
        <is>
          <t>LUE per 1k SqFt</t>
        </is>
      </c>
      <c r="M3" s="72" t="inlineStr">
        <is>
          <t>City Opex per Acre ($)</t>
        </is>
      </c>
      <c r="N3" s="72" t="inlineStr">
        <is>
          <t>City Opex per Resident ($)</t>
        </is>
      </c>
      <c r="O3" s="72" t="inlineStr">
        <is>
          <t>City Opex per SqFt ($)</t>
        </is>
      </c>
      <c r="P3" s="72" t="inlineStr">
        <is>
          <t>City Opex per Unit ($)</t>
        </is>
      </c>
      <c r="Q3" s="72" t="inlineStr">
        <is>
          <t>ESD Opex per Acre ($)</t>
        </is>
      </c>
      <c r="R3" s="72" t="inlineStr">
        <is>
          <t>ESD Opex per Resident ($)</t>
        </is>
      </c>
      <c r="S3" s="72" t="inlineStr">
        <is>
          <t>ESD Opex per SqFt ($)</t>
        </is>
      </c>
      <c r="T3" s="72" t="inlineStr">
        <is>
          <t>ESD Opex per Unit ($)</t>
        </is>
      </c>
      <c r="U3" s="72" t="inlineStr">
        <is>
          <t>Residents per Unit</t>
        </is>
      </c>
      <c r="V3" s="72" t="inlineStr">
        <is>
          <t>AV Basis</t>
        </is>
      </c>
      <c r="W3" s="72" t="inlineStr">
        <is>
          <t>Sales Basis</t>
        </is>
      </c>
      <c r="X3" s="72" t="inlineStr">
        <is>
          <t>LUE Basis</t>
        </is>
      </c>
      <c r="Y3" s="72" t="inlineStr">
        <is>
          <t>Confidence</t>
        </is>
      </c>
      <c r="Z3" s="72" t="inlineStr">
        <is>
          <t>Source / Notes</t>
        </is>
      </c>
      <c r="AA3" s="1" t="inlineStr">
        <is>
          <t>Tax Category</t>
        </is>
      </c>
      <c r="AB3" s="1" t="inlineStr">
        <is>
          <t>City Taxable Factor</t>
        </is>
      </c>
      <c r="AC3" s="1" t="inlineStr">
        <is>
          <t>ESD Taxable Factor</t>
        </is>
      </c>
    </row>
    <row r="4" ht="15" customHeight="1" s="106">
      <c r="A4" s="73" t="inlineStr">
        <is>
          <t>Single-Family Subdivision</t>
        </is>
      </c>
      <c r="B4" s="74" t="inlineStr">
        <is>
          <t>lots</t>
        </is>
      </c>
      <c r="C4" s="75" t="n">
        <v>0.25</v>
      </c>
      <c r="D4" s="76" t="n">
        <v>270000</v>
      </c>
      <c r="E4" s="76" t="n">
        <v>0</v>
      </c>
      <c r="F4" s="76" t="n">
        <v>0</v>
      </c>
      <c r="G4" s="76" t="n">
        <v>0</v>
      </c>
      <c r="H4" s="76" t="n">
        <v>0</v>
      </c>
      <c r="I4" s="75" t="n">
        <v>0</v>
      </c>
      <c r="J4" s="75" t="n">
        <v>1</v>
      </c>
      <c r="K4" s="75" t="n">
        <v>0</v>
      </c>
      <c r="L4" s="75" t="n">
        <v>0</v>
      </c>
      <c r="M4" s="76" t="n">
        <v>1800</v>
      </c>
      <c r="N4" s="76" t="n">
        <v>680</v>
      </c>
      <c r="O4" s="76" t="n">
        <v>0</v>
      </c>
      <c r="P4" s="76" t="n">
        <v>0</v>
      </c>
      <c r="Q4" s="76" t="n">
        <v>250</v>
      </c>
      <c r="R4" s="76" t="n">
        <v>220</v>
      </c>
      <c r="S4" s="76" t="n">
        <v>0</v>
      </c>
      <c r="T4" s="76" t="n">
        <v>0</v>
      </c>
      <c r="U4" s="75" t="n">
        <v>2.7</v>
      </c>
      <c r="V4" s="74" t="inlineStr">
        <is>
          <t>per_unit</t>
        </is>
      </c>
      <c r="W4" s="74" t="inlineStr">
        <is>
          <t>per_resident</t>
        </is>
      </c>
      <c r="X4" s="74" t="inlineStr">
        <is>
          <t>per_unit</t>
        </is>
      </c>
      <c r="Y4" s="74" t="inlineStr">
        <is>
          <t>Medium</t>
        </is>
      </c>
      <c r="Z4" s="74" t="inlineStr">
        <is>
          <t>Sealy + Strand 2018 impact fee study</t>
        </is>
      </c>
      <c r="AA4" s="2" t="inlineStr">
        <is>
          <t>Residential</t>
        </is>
      </c>
      <c r="AB4" s="2">
        <f>IFERROR(VLOOKUP($AA4,INPUTS!$A$38:$Q$42,9,FALSE()),1)</f>
        <v/>
      </c>
      <c r="AC4" s="2">
        <f>IFERROR(VLOOKUP($AA4,INPUTS!$A$38:$Q$42,17,FALSE()),1)</f>
        <v/>
      </c>
    </row>
    <row r="5" ht="15" customHeight="1" s="106">
      <c r="A5" s="73" t="inlineStr">
        <is>
          <t>Single-Family Urban / Patio</t>
        </is>
      </c>
      <c r="B5" s="74" t="inlineStr">
        <is>
          <t>lots</t>
        </is>
      </c>
      <c r="C5" s="75" t="n">
        <v>0.18</v>
      </c>
      <c r="D5" s="76" t="n">
        <v>310000</v>
      </c>
      <c r="E5" s="76" t="n">
        <v>0</v>
      </c>
      <c r="F5" s="76" t="n">
        <v>0</v>
      </c>
      <c r="G5" s="76" t="n">
        <v>0</v>
      </c>
      <c r="H5" s="76" t="n">
        <v>0</v>
      </c>
      <c r="I5" s="75" t="n">
        <v>0</v>
      </c>
      <c r="J5" s="75" t="n">
        <v>1</v>
      </c>
      <c r="K5" s="75" t="n">
        <v>0</v>
      </c>
      <c r="L5" s="75" t="n">
        <v>0</v>
      </c>
      <c r="M5" s="76" t="n">
        <v>2000</v>
      </c>
      <c r="N5" s="76" t="n">
        <v>680</v>
      </c>
      <c r="O5" s="76" t="n">
        <v>0</v>
      </c>
      <c r="P5" s="76" t="n">
        <v>0</v>
      </c>
      <c r="Q5" s="76" t="n">
        <v>260</v>
      </c>
      <c r="R5" s="76" t="n">
        <v>220</v>
      </c>
      <c r="S5" s="76" t="n">
        <v>0</v>
      </c>
      <c r="T5" s="76" t="n">
        <v>0</v>
      </c>
      <c r="U5" s="75" t="n">
        <v>2.6</v>
      </c>
      <c r="V5" s="74" t="inlineStr">
        <is>
          <t>per_unit</t>
        </is>
      </c>
      <c r="W5" s="74" t="inlineStr">
        <is>
          <t>per_resident</t>
        </is>
      </c>
      <c r="X5" s="74" t="inlineStr">
        <is>
          <t>per_unit</t>
        </is>
      </c>
      <c r="Y5" s="74" t="inlineStr">
        <is>
          <t>Medium</t>
        </is>
      </c>
      <c r="Z5" s="74" t="inlineStr">
        <is>
          <t>Smaller-lot peer estimate</t>
        </is>
      </c>
      <c r="AA5" s="2" t="inlineStr">
        <is>
          <t>Residential</t>
        </is>
      </c>
      <c r="AB5" s="2">
        <f>IFERROR(VLOOKUP($AA5,INPUTS!$A$38:$Q$42,9,FALSE()),1)</f>
        <v/>
      </c>
      <c r="AC5" s="2">
        <f>IFERROR(VLOOKUP($AA5,INPUTS!$A$38:$Q$42,17,FALSE()),1)</f>
        <v/>
      </c>
    </row>
    <row r="6" ht="15" customHeight="1" s="106">
      <c r="A6" s="73" t="inlineStr">
        <is>
          <t>Townhome / Condo</t>
        </is>
      </c>
      <c r="B6" s="74" t="inlineStr">
        <is>
          <t>units</t>
        </is>
      </c>
      <c r="C6" s="75" t="n">
        <v>0.1</v>
      </c>
      <c r="D6" s="76" t="n">
        <v>220000</v>
      </c>
      <c r="E6" s="76" t="n">
        <v>0</v>
      </c>
      <c r="F6" s="76" t="n">
        <v>0</v>
      </c>
      <c r="G6" s="76" t="n">
        <v>0</v>
      </c>
      <c r="H6" s="76" t="n">
        <v>0</v>
      </c>
      <c r="I6" s="75" t="n">
        <v>0</v>
      </c>
      <c r="J6" s="75" t="n">
        <v>0.8</v>
      </c>
      <c r="K6" s="75" t="n">
        <v>0</v>
      </c>
      <c r="L6" s="75" t="n">
        <v>0</v>
      </c>
      <c r="M6" s="76" t="n">
        <v>2500</v>
      </c>
      <c r="N6" s="76" t="n">
        <v>680</v>
      </c>
      <c r="O6" s="76" t="n">
        <v>0</v>
      </c>
      <c r="P6" s="76" t="n">
        <v>0</v>
      </c>
      <c r="Q6" s="76" t="n">
        <v>300</v>
      </c>
      <c r="R6" s="76" t="n">
        <v>220</v>
      </c>
      <c r="S6" s="76" t="n">
        <v>0</v>
      </c>
      <c r="T6" s="76" t="n">
        <v>0</v>
      </c>
      <c r="U6" s="75" t="n">
        <v>2.4</v>
      </c>
      <c r="V6" s="74" t="inlineStr">
        <is>
          <t>per_unit</t>
        </is>
      </c>
      <c r="W6" s="74" t="inlineStr">
        <is>
          <t>per_resident</t>
        </is>
      </c>
      <c r="X6" s="74" t="inlineStr">
        <is>
          <t>per_unit</t>
        </is>
      </c>
      <c r="Y6" s="74" t="inlineStr">
        <is>
          <t>Medium</t>
        </is>
      </c>
      <c r="Z6" s="74" t="inlineStr">
        <is>
          <t>Townhome peer estimate</t>
        </is>
      </c>
      <c r="AA6" s="2" t="inlineStr">
        <is>
          <t>Residential</t>
        </is>
      </c>
      <c r="AB6" s="2">
        <f>IFERROR(VLOOKUP($AA6,INPUTS!$A$38:$Q$42,9,FALSE()),1)</f>
        <v/>
      </c>
      <c r="AC6" s="2">
        <f>IFERROR(VLOOKUP($AA6,INPUTS!$A$38:$Q$42,17,FALSE()),1)</f>
        <v/>
      </c>
    </row>
    <row r="7" ht="15" customHeight="1" s="106">
      <c r="A7" s="73" t="inlineStr">
        <is>
          <t>Multifamily Apartments</t>
        </is>
      </c>
      <c r="B7" s="74" t="inlineStr">
        <is>
          <t>units</t>
        </is>
      </c>
      <c r="C7" s="75" t="n">
        <v>0.04</v>
      </c>
      <c r="D7" s="76" t="n">
        <v>80000</v>
      </c>
      <c r="E7" s="76" t="n">
        <v>0</v>
      </c>
      <c r="F7" s="76" t="n">
        <v>0</v>
      </c>
      <c r="G7" s="76" t="n">
        <v>0</v>
      </c>
      <c r="H7" s="76" t="n">
        <v>0</v>
      </c>
      <c r="I7" s="75" t="n">
        <v>0</v>
      </c>
      <c r="J7" s="75" t="n">
        <v>0.65</v>
      </c>
      <c r="K7" s="75" t="n">
        <v>0</v>
      </c>
      <c r="L7" s="75" t="n">
        <v>0</v>
      </c>
      <c r="M7" s="76" t="n">
        <v>3200</v>
      </c>
      <c r="N7" s="76" t="n">
        <v>680</v>
      </c>
      <c r="O7" s="76" t="n">
        <v>0</v>
      </c>
      <c r="P7" s="76" t="n">
        <v>0</v>
      </c>
      <c r="Q7" s="76" t="n">
        <v>400</v>
      </c>
      <c r="R7" s="76" t="n">
        <v>220</v>
      </c>
      <c r="S7" s="76" t="n">
        <v>0</v>
      </c>
      <c r="T7" s="76" t="n">
        <v>0</v>
      </c>
      <c r="U7" s="75" t="n">
        <v>2.1</v>
      </c>
      <c r="V7" s="74" t="inlineStr">
        <is>
          <t>per_unit</t>
        </is>
      </c>
      <c r="W7" s="74" t="inlineStr">
        <is>
          <t>per_resident</t>
        </is>
      </c>
      <c r="X7" s="74" t="inlineStr">
        <is>
          <t>per_unit</t>
        </is>
      </c>
      <c r="Y7" s="38" t="inlineStr">
        <is>
          <t>High (SOLID)</t>
        </is>
      </c>
      <c r="Z7" s="38" t="inlineStr">
        <is>
          <t>Retreat at Sealy $19.89M/250u/11.3ac; validated FY25 ACFR $77K/unit (within 4%). External: COCS residential pattern.</t>
        </is>
      </c>
      <c r="AA7" s="2" t="inlineStr">
        <is>
          <t>Residential</t>
        </is>
      </c>
      <c r="AB7" s="2">
        <f>IFERROR(VLOOKUP($AA7,INPUTS!$A$38:$Q$42,9,FALSE()),1)</f>
        <v/>
      </c>
      <c r="AC7" s="2">
        <f>IFERROR(VLOOKUP($AA7,INPUTS!$A$38:$Q$42,17,FALSE()),1)</f>
        <v/>
      </c>
    </row>
    <row r="8" ht="15" customHeight="1" s="106">
      <c r="A8" s="73" t="inlineStr">
        <is>
          <t>Big-Box / Anchor Retail</t>
        </is>
      </c>
      <c r="B8" s="74" t="inlineStr">
        <is>
          <t>acres</t>
        </is>
      </c>
      <c r="C8" s="75" t="n">
        <v>1</v>
      </c>
      <c r="D8" s="76" t="n">
        <v>0</v>
      </c>
      <c r="E8" s="76" t="n">
        <v>850000</v>
      </c>
      <c r="F8" s="76" t="n">
        <v>0</v>
      </c>
      <c r="G8" s="76" t="n">
        <v>0</v>
      </c>
      <c r="H8" s="76" t="n">
        <v>8000000</v>
      </c>
      <c r="I8" s="75" t="n">
        <v>18000</v>
      </c>
      <c r="J8" s="75" t="n">
        <v>0</v>
      </c>
      <c r="K8" s="75" t="n">
        <v>12</v>
      </c>
      <c r="L8" s="75" t="n">
        <v>0</v>
      </c>
      <c r="M8" s="76" t="n">
        <v>2400</v>
      </c>
      <c r="N8" s="76" t="n">
        <v>0</v>
      </c>
      <c r="O8" s="76" t="n">
        <v>0.05</v>
      </c>
      <c r="P8" s="76" t="n">
        <v>0</v>
      </c>
      <c r="Q8" s="76" t="n">
        <v>180</v>
      </c>
      <c r="R8" s="76" t="n">
        <v>0</v>
      </c>
      <c r="S8" s="76" t="n">
        <v>0.005</v>
      </c>
      <c r="T8" s="76" t="n">
        <v>0</v>
      </c>
      <c r="U8" s="75" t="n">
        <v>0</v>
      </c>
      <c r="V8" s="74" t="inlineStr">
        <is>
          <t>per_acre</t>
        </is>
      </c>
      <c r="W8" s="74" t="inlineStr">
        <is>
          <t>per_acre</t>
        </is>
      </c>
      <c r="X8" s="74" t="inlineStr">
        <is>
          <t>per_acre</t>
        </is>
      </c>
      <c r="Y8" s="74" t="inlineStr">
        <is>
          <t>Low</t>
        </is>
      </c>
      <c r="Z8" s="38" t="inlineStr">
        <is>
          <t>Big-box ~$444/sf benchmark. Peer: Urban3 value/acre; COCS commercial surplus (Chatham NC 2025 $0.29/$1).</t>
        </is>
      </c>
      <c r="AA8" s="2" t="inlineStr">
        <is>
          <t>Commercial</t>
        </is>
      </c>
      <c r="AB8" s="2">
        <f>IFERROR(VLOOKUP($AA8,INPUTS!$A$38:$Q$42,9,FALSE()),1)</f>
        <v/>
      </c>
      <c r="AC8" s="2">
        <f>IFERROR(VLOOKUP($AA8,INPUTS!$A$38:$Q$42,17,FALSE()),1)</f>
        <v/>
      </c>
    </row>
    <row r="9" ht="15" customHeight="1" s="106">
      <c r="A9" s="73" t="inlineStr">
        <is>
          <t>Retail Center / Strip</t>
        </is>
      </c>
      <c r="B9" s="74" t="inlineStr">
        <is>
          <t>acres</t>
        </is>
      </c>
      <c r="C9" s="75" t="n">
        <v>1</v>
      </c>
      <c r="D9" s="76" t="n">
        <v>0</v>
      </c>
      <c r="E9" s="76" t="n">
        <v>550000</v>
      </c>
      <c r="F9" s="76" t="n">
        <v>0</v>
      </c>
      <c r="G9" s="76" t="n">
        <v>0</v>
      </c>
      <c r="H9" s="76" t="n">
        <v>3500000</v>
      </c>
      <c r="I9" s="75" t="n">
        <v>12000</v>
      </c>
      <c r="J9" s="75" t="n">
        <v>0</v>
      </c>
      <c r="K9" s="75" t="n">
        <v>8</v>
      </c>
      <c r="L9" s="75" t="n">
        <v>0</v>
      </c>
      <c r="M9" s="76" t="n">
        <v>2400</v>
      </c>
      <c r="N9" s="76" t="n">
        <v>0</v>
      </c>
      <c r="O9" s="76" t="n">
        <v>0.05</v>
      </c>
      <c r="P9" s="76" t="n">
        <v>0</v>
      </c>
      <c r="Q9" s="76" t="n">
        <v>180</v>
      </c>
      <c r="R9" s="76" t="n">
        <v>0</v>
      </c>
      <c r="S9" s="76" t="n">
        <v>0.005</v>
      </c>
      <c r="T9" s="76" t="n">
        <v>0</v>
      </c>
      <c r="U9" s="75" t="n">
        <v>0</v>
      </c>
      <c r="V9" s="74" t="inlineStr">
        <is>
          <t>per_acre</t>
        </is>
      </c>
      <c r="W9" s="74" t="inlineStr">
        <is>
          <t>per_acre</t>
        </is>
      </c>
      <c r="X9" s="74" t="inlineStr">
        <is>
          <t>per_acre</t>
        </is>
      </c>
      <c r="Y9" s="74" t="inlineStr">
        <is>
          <t>Low</t>
        </is>
      </c>
      <c r="Z9" s="38" t="inlineStr">
        <is>
          <t>Strip retail planning benchmark. Peer: COCS commercial-surplus pattern; Verdunity TX rev/acre.</t>
        </is>
      </c>
      <c r="AA9" s="2" t="inlineStr">
        <is>
          <t>Commercial</t>
        </is>
      </c>
      <c r="AB9" s="2">
        <f>IFERROR(VLOOKUP($AA9,INPUTS!$A$38:$Q$42,9,FALSE()),1)</f>
        <v/>
      </c>
      <c r="AC9" s="2">
        <f>IFERROR(VLOOKUP($AA9,INPUTS!$A$38:$Q$42,17,FALSE()),1)</f>
        <v/>
      </c>
    </row>
    <row r="10" ht="15" customHeight="1" s="106">
      <c r="A10" s="73" t="inlineStr">
        <is>
          <t>Office / Business Park</t>
        </is>
      </c>
      <c r="B10" s="74" t="inlineStr">
        <is>
          <t>acres</t>
        </is>
      </c>
      <c r="C10" s="75" t="n">
        <v>1</v>
      </c>
      <c r="D10" s="76" t="n">
        <v>0</v>
      </c>
      <c r="E10" s="76" t="n">
        <v>650000</v>
      </c>
      <c r="F10" s="76" t="n">
        <v>0</v>
      </c>
      <c r="G10" s="76" t="n">
        <v>0</v>
      </c>
      <c r="H10" s="76" t="n">
        <v>150000</v>
      </c>
      <c r="I10" s="75" t="n">
        <v>14000</v>
      </c>
      <c r="J10" s="75" t="n">
        <v>0</v>
      </c>
      <c r="K10" s="75" t="n">
        <v>6</v>
      </c>
      <c r="L10" s="75" t="n">
        <v>0</v>
      </c>
      <c r="M10" s="76" t="n">
        <v>1200</v>
      </c>
      <c r="N10" s="76" t="n">
        <v>0</v>
      </c>
      <c r="O10" s="76" t="n">
        <v>0.04</v>
      </c>
      <c r="P10" s="76" t="n">
        <v>0</v>
      </c>
      <c r="Q10" s="76" t="n">
        <v>120</v>
      </c>
      <c r="R10" s="76" t="n">
        <v>0</v>
      </c>
      <c r="S10" s="76" t="n">
        <v>0.004</v>
      </c>
      <c r="T10" s="76" t="n">
        <v>0</v>
      </c>
      <c r="U10" s="75" t="n">
        <v>0</v>
      </c>
      <c r="V10" s="74" t="inlineStr">
        <is>
          <t>per_acre</t>
        </is>
      </c>
      <c r="W10" s="74" t="inlineStr">
        <is>
          <t>per_acre</t>
        </is>
      </c>
      <c r="X10" s="74" t="inlineStr">
        <is>
          <t>per_acre</t>
        </is>
      </c>
      <c r="Y10" s="74" t="inlineStr">
        <is>
          <t>Low</t>
        </is>
      </c>
      <c r="Z10" s="38" t="inlineStr">
        <is>
          <t>Office park planning benchmark. Peer: Verdunity rev/acre-by-use.</t>
        </is>
      </c>
      <c r="AA10" s="2" t="inlineStr">
        <is>
          <t>Commercial</t>
        </is>
      </c>
      <c r="AB10" s="2">
        <f>IFERROR(VLOOKUP($AA10,INPUTS!$A$38:$Q$42,9,FALSE()),1)</f>
        <v/>
      </c>
      <c r="AC10" s="2">
        <f>IFERROR(VLOOKUP($AA10,INPUTS!$A$38:$Q$42,17,FALSE()),1)</f>
        <v/>
      </c>
    </row>
    <row r="11" ht="15" customHeight="1" s="106">
      <c r="A11" s="73" t="inlineStr">
        <is>
          <t>Hotel</t>
        </is>
      </c>
      <c r="B11" s="74" t="inlineStr">
        <is>
          <t>rooms</t>
        </is>
      </c>
      <c r="C11" s="75" t="n">
        <v>0.012</v>
      </c>
      <c r="D11" s="76" t="n">
        <v>0</v>
      </c>
      <c r="E11" s="76" t="n">
        <v>0</v>
      </c>
      <c r="F11" s="76" t="n">
        <v>90000</v>
      </c>
      <c r="G11" s="76" t="n">
        <v>0</v>
      </c>
      <c r="H11" s="76" t="n">
        <v>0</v>
      </c>
      <c r="I11" s="75" t="n">
        <v>0</v>
      </c>
      <c r="J11" s="75" t="n">
        <v>0.5</v>
      </c>
      <c r="K11" s="75" t="n">
        <v>0</v>
      </c>
      <c r="L11" s="75" t="n">
        <v>0</v>
      </c>
      <c r="M11" s="76" t="n">
        <v>2000</v>
      </c>
      <c r="N11" s="76" t="n">
        <v>0</v>
      </c>
      <c r="O11" s="76" t="n">
        <v>0.05</v>
      </c>
      <c r="P11" s="76" t="n">
        <v>0</v>
      </c>
      <c r="Q11" s="76" t="n">
        <v>180</v>
      </c>
      <c r="R11" s="76" t="n">
        <v>0</v>
      </c>
      <c r="S11" s="76" t="n">
        <v>0.005</v>
      </c>
      <c r="T11" s="76" t="n">
        <v>0</v>
      </c>
      <c r="U11" s="75" t="n">
        <v>0</v>
      </c>
      <c r="V11" s="74" t="inlineStr">
        <is>
          <t>per_room</t>
        </is>
      </c>
      <c r="W11" s="74" t="inlineStr">
        <is>
          <t>manual_only</t>
        </is>
      </c>
      <c r="X11" s="74" t="inlineStr">
        <is>
          <t>per_unit</t>
        </is>
      </c>
      <c r="Y11" s="74" t="inlineStr">
        <is>
          <t>Low</t>
        </is>
      </c>
      <c r="Z11" s="74" t="inlineStr">
        <is>
          <t>HOT separate; F&amp;B only if assumed</t>
        </is>
      </c>
      <c r="AA11" s="2" t="inlineStr">
        <is>
          <t>Commercial</t>
        </is>
      </c>
      <c r="AB11" s="2">
        <f>IFERROR(VLOOKUP($AA11,INPUTS!$A$38:$Q$42,9,FALSE()),1)</f>
        <v/>
      </c>
      <c r="AC11" s="2">
        <f>IFERROR(VLOOKUP($AA11,INPUTS!$A$38:$Q$42,17,FALSE()),1)</f>
        <v/>
      </c>
    </row>
    <row r="12" ht="15" customHeight="1" s="106">
      <c r="A12" s="73" t="inlineStr">
        <is>
          <t>Manufacturing</t>
        </is>
      </c>
      <c r="B12" s="74" t="inlineStr">
        <is>
          <t>acres</t>
        </is>
      </c>
      <c r="C12" s="75" t="n">
        <v>1</v>
      </c>
      <c r="D12" s="76" t="n">
        <v>0</v>
      </c>
      <c r="E12" s="76" t="n">
        <v>750000</v>
      </c>
      <c r="F12" s="76" t="n">
        <v>0</v>
      </c>
      <c r="G12" s="76" t="n">
        <v>0</v>
      </c>
      <c r="H12" s="76" t="n">
        <v>0</v>
      </c>
      <c r="I12" s="75" t="n">
        <v>16000</v>
      </c>
      <c r="J12" s="75" t="n">
        <v>0</v>
      </c>
      <c r="K12" s="75" t="n">
        <v>4</v>
      </c>
      <c r="L12" s="75" t="n">
        <v>0</v>
      </c>
      <c r="M12" s="76" t="n">
        <v>1400</v>
      </c>
      <c r="N12" s="76" t="n">
        <v>0</v>
      </c>
      <c r="O12" s="76" t="n">
        <v>0.02</v>
      </c>
      <c r="P12" s="76" t="n">
        <v>0</v>
      </c>
      <c r="Q12" s="76" t="n">
        <v>90</v>
      </c>
      <c r="R12" s="76" t="n">
        <v>0</v>
      </c>
      <c r="S12" s="76" t="n">
        <v>0.002</v>
      </c>
      <c r="T12" s="76" t="n">
        <v>0</v>
      </c>
      <c r="U12" s="75" t="n">
        <v>0</v>
      </c>
      <c r="V12" s="74" t="inlineStr">
        <is>
          <t>per_acre</t>
        </is>
      </c>
      <c r="W12" s="74" t="inlineStr">
        <is>
          <t>manual_only</t>
        </is>
      </c>
      <c r="X12" s="74" t="inlineStr">
        <is>
          <t>per_acre</t>
        </is>
      </c>
      <c r="Y12" s="38" t="inlineStr">
        <is>
          <t>High (SOLID)</t>
        </is>
      </c>
      <c r="Z12" s="38" t="inlineStr">
        <is>
          <t>Sika BPP + Hailiang range; Sika FY25 ACFR $18.72M/~25ac = $749K/ac exact match (Source Log A19).</t>
        </is>
      </c>
      <c r="AA12" s="2" t="inlineStr">
        <is>
          <t>Industrial</t>
        </is>
      </c>
      <c r="AB12" s="2">
        <f>IFERROR(VLOOKUP($AA12,INPUTS!$A$38:$Q$42,9,FALSE()),1)</f>
        <v/>
      </c>
      <c r="AC12" s="2">
        <f>IFERROR(VLOOKUP($AA12,INPUTS!$A$38:$Q$42,17,FALSE()),1)</f>
        <v/>
      </c>
    </row>
    <row r="13" ht="15" customHeight="1" s="106">
      <c r="A13" s="73" t="inlineStr">
        <is>
          <t>Industrial / Logistics</t>
        </is>
      </c>
      <c r="B13" s="74" t="inlineStr">
        <is>
          <t>acres</t>
        </is>
      </c>
      <c r="C13" s="75" t="n">
        <v>1</v>
      </c>
      <c r="D13" s="76" t="n">
        <v>0</v>
      </c>
      <c r="E13" s="76" t="n">
        <v>600000</v>
      </c>
      <c r="F13" s="76" t="n">
        <v>0</v>
      </c>
      <c r="G13" s="76" t="n">
        <v>0</v>
      </c>
      <c r="H13" s="76" t="n">
        <v>0</v>
      </c>
      <c r="I13" s="75" t="n">
        <v>18000</v>
      </c>
      <c r="J13" s="75" t="n">
        <v>0</v>
      </c>
      <c r="K13" s="75" t="n">
        <v>4</v>
      </c>
      <c r="L13" s="75" t="n">
        <v>0</v>
      </c>
      <c r="M13" s="76" t="n">
        <v>1400</v>
      </c>
      <c r="N13" s="76" t="n">
        <v>0</v>
      </c>
      <c r="O13" s="76" t="n">
        <v>0.02</v>
      </c>
      <c r="P13" s="76" t="n">
        <v>0</v>
      </c>
      <c r="Q13" s="76" t="n">
        <v>90</v>
      </c>
      <c r="R13" s="76" t="n">
        <v>0</v>
      </c>
      <c r="S13" s="76" t="n">
        <v>0.002</v>
      </c>
      <c r="T13" s="76" t="n">
        <v>0</v>
      </c>
      <c r="U13" s="75" t="n">
        <v>0</v>
      </c>
      <c r="V13" s="74" t="inlineStr">
        <is>
          <t>per_acre</t>
        </is>
      </c>
      <c r="W13" s="74" t="inlineStr">
        <is>
          <t>manual_only</t>
        </is>
      </c>
      <c r="X13" s="74" t="inlineStr">
        <is>
          <t>per_acre</t>
        </is>
      </c>
      <c r="Y13" s="74" t="inlineStr">
        <is>
          <t>Medium</t>
        </is>
      </c>
      <c r="Z13" s="38" t="inlineStr">
        <is>
          <t>Walmart DC peer comp. Peer: Verdunity TX rev/acre; Urban3 value/acre.</t>
        </is>
      </c>
      <c r="AA13" s="2" t="inlineStr">
        <is>
          <t>Industrial</t>
        </is>
      </c>
      <c r="AB13" s="2">
        <f>IFERROR(VLOOKUP($AA13,INPUTS!$A$38:$Q$42,9,FALSE()),1)</f>
        <v/>
      </c>
      <c r="AC13" s="2">
        <f>IFERROR(VLOOKUP($AA13,INPUTS!$A$38:$Q$42,17,FALSE()),1)</f>
        <v/>
      </c>
    </row>
    <row r="14" ht="15" customHeight="1" s="106">
      <c r="A14" s="73" t="inlineStr">
        <is>
          <t>Light Industrial / Flex</t>
        </is>
      </c>
      <c r="B14" s="74" t="inlineStr">
        <is>
          <t>acres</t>
        </is>
      </c>
      <c r="C14" s="75" t="n">
        <v>1</v>
      </c>
      <c r="D14" s="76" t="n">
        <v>0</v>
      </c>
      <c r="E14" s="76" t="n">
        <v>450000</v>
      </c>
      <c r="F14" s="76" t="n">
        <v>0</v>
      </c>
      <c r="G14" s="76" t="n">
        <v>0</v>
      </c>
      <c r="H14" s="76" t="n">
        <v>50000</v>
      </c>
      <c r="I14" s="75" t="n">
        <v>15000</v>
      </c>
      <c r="J14" s="75" t="n">
        <v>0</v>
      </c>
      <c r="K14" s="75" t="n">
        <v>3</v>
      </c>
      <c r="L14" s="75" t="n">
        <v>0</v>
      </c>
      <c r="M14" s="76" t="n">
        <v>1400</v>
      </c>
      <c r="N14" s="76" t="n">
        <v>0</v>
      </c>
      <c r="O14" s="76" t="n">
        <v>0.02</v>
      </c>
      <c r="P14" s="76" t="n">
        <v>0</v>
      </c>
      <c r="Q14" s="76" t="n">
        <v>90</v>
      </c>
      <c r="R14" s="76" t="n">
        <v>0</v>
      </c>
      <c r="S14" s="76" t="n">
        <v>0.002</v>
      </c>
      <c r="T14" s="76" t="n">
        <v>0</v>
      </c>
      <c r="U14" s="75" t="n">
        <v>0</v>
      </c>
      <c r="V14" s="74" t="inlineStr">
        <is>
          <t>per_acre</t>
        </is>
      </c>
      <c r="W14" s="74" t="inlineStr">
        <is>
          <t>per_acre</t>
        </is>
      </c>
      <c r="X14" s="74" t="inlineStr">
        <is>
          <t>per_acre</t>
        </is>
      </c>
      <c r="Y14" s="74" t="inlineStr">
        <is>
          <t>Low</t>
        </is>
      </c>
      <c r="Z14" s="74" t="inlineStr">
        <is>
          <t>Flex/light industrial benchmark</t>
        </is>
      </c>
      <c r="AA14" s="2" t="inlineStr">
        <is>
          <t>Industrial</t>
        </is>
      </c>
      <c r="AB14" s="2">
        <f>IFERROR(VLOOKUP($AA14,INPUTS!$A$38:$Q$42,9,FALSE()),1)</f>
        <v/>
      </c>
      <c r="AC14" s="2">
        <f>IFERROR(VLOOKUP($AA14,INPUTS!$A$38:$Q$42,17,FALSE()),1)</f>
        <v/>
      </c>
    </row>
    <row r="15" ht="15" customHeight="1" s="106">
      <c r="A15" s="73" t="inlineStr">
        <is>
          <t>Mixed-Use Pad / Vertical</t>
        </is>
      </c>
      <c r="B15" s="74" t="inlineStr">
        <is>
          <t>acres</t>
        </is>
      </c>
      <c r="C15" s="75" t="n">
        <v>1</v>
      </c>
      <c r="D15" s="76" t="n">
        <v>0</v>
      </c>
      <c r="E15" s="76" t="n">
        <v>1200000</v>
      </c>
      <c r="F15" s="76" t="n">
        <v>0</v>
      </c>
      <c r="G15" s="76" t="n">
        <v>0</v>
      </c>
      <c r="H15" s="76" t="n">
        <v>1800000</v>
      </c>
      <c r="I15" s="75" t="n">
        <v>24000</v>
      </c>
      <c r="J15" s="75" t="n">
        <v>0</v>
      </c>
      <c r="K15" s="75" t="n">
        <v>8</v>
      </c>
      <c r="L15" s="75" t="n">
        <v>0</v>
      </c>
      <c r="M15" s="76" t="n">
        <v>2800</v>
      </c>
      <c r="N15" s="76" t="n">
        <v>0</v>
      </c>
      <c r="O15" s="76" t="n">
        <v>0.05</v>
      </c>
      <c r="P15" s="76" t="n">
        <v>0</v>
      </c>
      <c r="Q15" s="76" t="n">
        <v>200</v>
      </c>
      <c r="R15" s="76" t="n">
        <v>0</v>
      </c>
      <c r="S15" s="76" t="n">
        <v>0.005</v>
      </c>
      <c r="T15" s="76" t="n">
        <v>0</v>
      </c>
      <c r="U15" s="75" t="n">
        <v>0</v>
      </c>
      <c r="V15" s="74" t="inlineStr">
        <is>
          <t>per_acre</t>
        </is>
      </c>
      <c r="W15" s="74" t="inlineStr">
        <is>
          <t>per_acre</t>
        </is>
      </c>
      <c r="X15" s="74" t="inlineStr">
        <is>
          <t>per_acre</t>
        </is>
      </c>
      <c r="Y15" s="74" t="inlineStr">
        <is>
          <t>Low</t>
        </is>
      </c>
      <c r="Z15" s="74" t="inlineStr">
        <is>
          <t>Vertical mixed-use benchmark</t>
        </is>
      </c>
      <c r="AA15" s="2" t="inlineStr">
        <is>
          <t>Commercial</t>
        </is>
      </c>
      <c r="AB15" s="2">
        <f>IFERROR(VLOOKUP($AA15,INPUTS!$A$38:$Q$42,9,FALSE()),1)</f>
        <v/>
      </c>
      <c r="AC15" s="2">
        <f>IFERROR(VLOOKUP($AA15,INPUTS!$A$38:$Q$42,17,FALSE()),1)</f>
        <v/>
      </c>
    </row>
    <row r="16" ht="15" customHeight="1" s="106">
      <c r="A16" s="73" t="inlineStr">
        <is>
          <t>Civic / Institutional</t>
        </is>
      </c>
      <c r="B16" s="74" t="inlineStr">
        <is>
          <t>acres</t>
        </is>
      </c>
      <c r="C16" s="75" t="n">
        <v>1</v>
      </c>
      <c r="D16" s="76" t="n">
        <v>0</v>
      </c>
      <c r="E16" s="76" t="n">
        <v>0</v>
      </c>
      <c r="F16" s="76" t="n">
        <v>0</v>
      </c>
      <c r="G16" s="76" t="n">
        <v>0</v>
      </c>
      <c r="H16" s="76" t="n">
        <v>0</v>
      </c>
      <c r="I16" s="75" t="n">
        <v>10000</v>
      </c>
      <c r="J16" s="75" t="n">
        <v>0</v>
      </c>
      <c r="K16" s="75" t="n">
        <v>2</v>
      </c>
      <c r="L16" s="75" t="n">
        <v>0</v>
      </c>
      <c r="M16" s="76" t="n">
        <v>800</v>
      </c>
      <c r="N16" s="76" t="n">
        <v>0</v>
      </c>
      <c r="O16" s="76" t="n">
        <v>0.01</v>
      </c>
      <c r="P16" s="76" t="n">
        <v>0</v>
      </c>
      <c r="Q16" s="76" t="n">
        <v>60</v>
      </c>
      <c r="R16" s="76" t="n">
        <v>0</v>
      </c>
      <c r="S16" s="76" t="n">
        <v>0.001</v>
      </c>
      <c r="T16" s="76" t="n">
        <v>0</v>
      </c>
      <c r="U16" s="75" t="n">
        <v>0</v>
      </c>
      <c r="V16" s="74" t="inlineStr">
        <is>
          <t>per_acre</t>
        </is>
      </c>
      <c r="W16" s="74" t="inlineStr">
        <is>
          <t>exempt</t>
        </is>
      </c>
      <c r="X16" s="74" t="inlineStr">
        <is>
          <t>per_acre</t>
        </is>
      </c>
      <c r="Y16" s="74" t="inlineStr">
        <is>
          <t>Medium</t>
        </is>
      </c>
      <c r="Z16" s="74" t="inlineStr">
        <is>
          <t>Tax-exempt parcels</t>
        </is>
      </c>
      <c r="AA16" s="2" t="inlineStr">
        <is>
          <t>Civic</t>
        </is>
      </c>
      <c r="AB16" s="2">
        <f>IFERROR(VLOOKUP($AA16,INPUTS!$A$38:$Q$42,9,FALSE()),1)</f>
        <v/>
      </c>
      <c r="AC16" s="2">
        <f>IFERROR(VLOOKUP($AA16,INPUTS!$A$38:$Q$42,17,FALSE()),1)</f>
        <v/>
      </c>
    </row>
    <row r="17" ht="15" customHeight="1" s="106">
      <c r="A17" s="73" t="inlineStr">
        <is>
          <t>Parks / Open Space</t>
        </is>
      </c>
      <c r="B17" s="74" t="inlineStr">
        <is>
          <t>acres</t>
        </is>
      </c>
      <c r="C17" s="75" t="n">
        <v>1</v>
      </c>
      <c r="D17" s="76" t="n">
        <v>0</v>
      </c>
      <c r="E17" s="76" t="n">
        <v>0</v>
      </c>
      <c r="F17" s="76" t="n">
        <v>0</v>
      </c>
      <c r="G17" s="76" t="n">
        <v>0</v>
      </c>
      <c r="H17" s="76" t="n">
        <v>0</v>
      </c>
      <c r="I17" s="75" t="n">
        <v>0</v>
      </c>
      <c r="J17" s="75" t="n">
        <v>0</v>
      </c>
      <c r="K17" s="75" t="n">
        <v>0</v>
      </c>
      <c r="L17" s="75" t="n">
        <v>0</v>
      </c>
      <c r="M17" s="76" t="n">
        <v>400</v>
      </c>
      <c r="N17" s="76" t="n">
        <v>0</v>
      </c>
      <c r="O17" s="76" t="n">
        <v>0</v>
      </c>
      <c r="P17" s="76" t="n">
        <v>0</v>
      </c>
      <c r="Q17" s="76" t="n">
        <v>30</v>
      </c>
      <c r="R17" s="76" t="n">
        <v>0</v>
      </c>
      <c r="S17" s="76" t="n">
        <v>0</v>
      </c>
      <c r="T17" s="76" t="n">
        <v>0</v>
      </c>
      <c r="U17" s="75" t="n">
        <v>0</v>
      </c>
      <c r="V17" s="74" t="inlineStr">
        <is>
          <t>per_acre</t>
        </is>
      </c>
      <c r="W17" s="74" t="inlineStr">
        <is>
          <t>exempt</t>
        </is>
      </c>
      <c r="X17" s="74" t="inlineStr">
        <is>
          <t>per_acre</t>
        </is>
      </c>
      <c r="Y17" s="74" t="inlineStr">
        <is>
          <t>High</t>
        </is>
      </c>
      <c r="Z17" s="74" t="inlineStr">
        <is>
          <t>Public open space</t>
        </is>
      </c>
      <c r="AA17" s="2" t="inlineStr">
        <is>
          <t>Civic</t>
        </is>
      </c>
      <c r="AB17" s="2">
        <f>IFERROR(VLOOKUP($AA17,INPUTS!$A$38:$Q$42,9,FALSE()),1)</f>
        <v/>
      </c>
      <c r="AC17" s="2">
        <f>IFERROR(VLOOKUP($AA17,INPUTS!$A$38:$Q$42,17,FALSE()),1)</f>
        <v/>
      </c>
    </row>
    <row r="18" ht="15" customHeight="1" s="106">
      <c r="A18" s="73" t="inlineStr">
        <is>
          <t>Vacant / Holding Land</t>
        </is>
      </c>
      <c r="B18" s="74" t="inlineStr">
        <is>
          <t>acres</t>
        </is>
      </c>
      <c r="C18" s="75" t="n">
        <v>1</v>
      </c>
      <c r="D18" s="76" t="n">
        <v>0</v>
      </c>
      <c r="E18" s="76" t="n">
        <v>25000</v>
      </c>
      <c r="F18" s="76" t="n">
        <v>0</v>
      </c>
      <c r="G18" s="76" t="n">
        <v>0</v>
      </c>
      <c r="H18" s="76" t="n">
        <v>0</v>
      </c>
      <c r="I18" s="75" t="n">
        <v>0</v>
      </c>
      <c r="J18" s="75" t="n">
        <v>0</v>
      </c>
      <c r="K18" s="75" t="n">
        <v>0</v>
      </c>
      <c r="L18" s="75" t="n">
        <v>0</v>
      </c>
      <c r="M18" s="76" t="n">
        <v>150</v>
      </c>
      <c r="N18" s="76" t="n">
        <v>0</v>
      </c>
      <c r="O18" s="76" t="n">
        <v>0</v>
      </c>
      <c r="P18" s="76" t="n">
        <v>0</v>
      </c>
      <c r="Q18" s="76" t="n">
        <v>30</v>
      </c>
      <c r="R18" s="76" t="n">
        <v>0</v>
      </c>
      <c r="S18" s="76" t="n">
        <v>0</v>
      </c>
      <c r="T18" s="76" t="n">
        <v>0</v>
      </c>
      <c r="U18" s="75" t="n">
        <v>0</v>
      </c>
      <c r="V18" s="74" t="inlineStr">
        <is>
          <t>per_acre</t>
        </is>
      </c>
      <c r="W18" s="74" t="inlineStr">
        <is>
          <t>exempt</t>
        </is>
      </c>
      <c r="X18" s="74" t="inlineStr">
        <is>
          <t>per_acre</t>
        </is>
      </c>
      <c r="Y18" s="74" t="inlineStr">
        <is>
          <t>Medium</t>
        </is>
      </c>
      <c r="Z18" s="74" t="inlineStr">
        <is>
          <t>Pre-development holding</t>
        </is>
      </c>
      <c r="AA18" s="2" t="inlineStr">
        <is>
          <t>Vacant</t>
        </is>
      </c>
      <c r="AB18" s="2">
        <f>IFERROR(VLOOKUP($AA18,INPUTS!$A$38:$Q$42,9,FALSE()),1)</f>
        <v/>
      </c>
      <c r="AC18" s="2">
        <f>IFERROR(VLOOKUP($AA18,INPUTS!$A$38:$Q$42,17,FALSE()),1)</f>
        <v/>
      </c>
    </row>
  </sheetData>
  <mergeCells count="1">
    <mergeCell ref="A1:Z1"/>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tabColor rgb="FFF4B6C2"/>
    <outlinePr summaryBelow="1" summaryRight="1"/>
    <pageSetUpPr/>
  </sheetPr>
  <dimension ref="A1:F32"/>
  <sheetViews>
    <sheetView zoomScaleNormal="100" workbookViewId="0">
      <selection activeCell="B20" sqref="B20"/>
    </sheetView>
  </sheetViews>
  <sheetFormatPr baseColWidth="8" defaultColWidth="8.6640625" defaultRowHeight="13.2"/>
  <cols>
    <col width="46" customWidth="1" style="106" min="1" max="1"/>
    <col width="16" customWidth="1" style="106" min="2" max="6"/>
  </cols>
  <sheetData>
    <row r="1" ht="21.75" customHeight="1" s="106">
      <c r="A1" s="109" t="inlineStr">
        <is>
          <t>Multi-Horizon Results — sums of annual rows (or endpoint for cumulative metrics)</t>
        </is>
      </c>
    </row>
    <row r="3" ht="15" customHeight="1" s="106">
      <c r="A3" s="77" t="inlineStr">
        <is>
          <t>Metric</t>
        </is>
      </c>
      <c r="B3" s="77" t="inlineStr">
        <is>
          <t>5-Year</t>
        </is>
      </c>
      <c r="C3" s="77" t="inlineStr">
        <is>
          <t>10-Year</t>
        </is>
      </c>
      <c r="D3" s="77" t="inlineStr">
        <is>
          <t>15-Year</t>
        </is>
      </c>
      <c r="E3" s="77" t="inlineStr">
        <is>
          <t>20-Year</t>
        </is>
      </c>
      <c r="F3" s="77" t="inlineStr">
        <is>
          <t>30-Year</t>
        </is>
      </c>
    </row>
    <row r="4" ht="15" customHeight="1" s="106">
      <c r="A4" s="23" t="inlineStr">
        <is>
          <t>Annual captured acres (new delivery)</t>
        </is>
      </c>
      <c r="B4" s="78">
        <f>SUM('04_Annual_Calculations'!B4:F4)</f>
        <v/>
      </c>
      <c r="C4" s="78">
        <f>SUM('04_Annual_Calculations'!B4:K4)</f>
        <v/>
      </c>
      <c r="D4" s="78">
        <f>SUM('04_Annual_Calculations'!B4:P4)</f>
        <v/>
      </c>
      <c r="E4" s="78">
        <f>SUM('04_Annual_Calculations'!B4:U4)</f>
        <v/>
      </c>
      <c r="F4" s="78">
        <f>SUM('04_Annual_Calculations'!B4:AE4)</f>
        <v/>
      </c>
    </row>
    <row r="5" ht="15" customHeight="1" s="106">
      <c r="A5" s="23" t="inlineStr">
        <is>
          <t>Cumulative captured acres (endpoint)</t>
        </is>
      </c>
      <c r="B5" s="78">
        <f>'04_Annual_Calculations'!F5</f>
        <v/>
      </c>
      <c r="C5" s="78">
        <f>'04_Annual_Calculations'!K5</f>
        <v/>
      </c>
      <c r="D5" s="78">
        <f>'04_Annual_Calculations'!P5</f>
        <v/>
      </c>
      <c r="E5" s="78">
        <f>'04_Annual_Calculations'!U5</f>
        <v/>
      </c>
      <c r="F5" s="78">
        <f>'04_Annual_Calculations'!AE5</f>
        <v/>
      </c>
    </row>
    <row r="6" ht="15" customHeight="1" s="106">
      <c r="A6" s="23" t="inlineStr">
        <is>
          <t>Annual new residents</t>
        </is>
      </c>
      <c r="B6" s="79">
        <f>SUM('04_Annual_Calculations'!B6:F6)</f>
        <v/>
      </c>
      <c r="C6" s="79">
        <f>SUM('04_Annual_Calculations'!B6:K6)</f>
        <v/>
      </c>
      <c r="D6" s="79">
        <f>SUM('04_Annual_Calculations'!B6:P6)</f>
        <v/>
      </c>
      <c r="E6" s="79">
        <f>SUM('04_Annual_Calculations'!B6:U6)</f>
        <v/>
      </c>
      <c r="F6" s="79">
        <f>SUM('04_Annual_Calculations'!B6:AE6)</f>
        <v/>
      </c>
    </row>
    <row r="7" ht="15" customHeight="1" s="106">
      <c r="A7" s="23" t="inlineStr">
        <is>
          <t>Cumulative residents (endpoint)</t>
        </is>
      </c>
      <c r="B7" s="79">
        <f>'04_Annual_Calculations'!F7</f>
        <v/>
      </c>
      <c r="C7" s="79">
        <f>'04_Annual_Calculations'!K7</f>
        <v/>
      </c>
      <c r="D7" s="79">
        <f>'04_Annual_Calculations'!P7</f>
        <v/>
      </c>
      <c r="E7" s="79">
        <f>'04_Annual_Calculations'!U7</f>
        <v/>
      </c>
      <c r="F7" s="79">
        <f>'04_Annual_Calculations'!AE7</f>
        <v/>
      </c>
    </row>
    <row r="8" ht="15" customHeight="1" s="106">
      <c r="A8" s="23" t="inlineStr">
        <is>
          <t>Annual residential units</t>
        </is>
      </c>
      <c r="B8" s="79">
        <f>SUM('04_Annual_Calculations'!B8:F8)</f>
        <v/>
      </c>
      <c r="C8" s="79">
        <f>SUM('04_Annual_Calculations'!B8:K8)</f>
        <v/>
      </c>
      <c r="D8" s="79">
        <f>SUM('04_Annual_Calculations'!B8:P8)</f>
        <v/>
      </c>
      <c r="E8" s="79">
        <f>SUM('04_Annual_Calculations'!B8:U8)</f>
        <v/>
      </c>
      <c r="F8" s="79">
        <f>SUM('04_Annual_Calculations'!B8:AE8)</f>
        <v/>
      </c>
    </row>
    <row r="9" ht="15" customHeight="1" s="106">
      <c r="A9" s="23" t="inlineStr">
        <is>
          <t>Cumulative residential units (endpoint)</t>
        </is>
      </c>
      <c r="B9" s="79">
        <f>'04_Annual_Calculations'!F9</f>
        <v/>
      </c>
      <c r="C9" s="79">
        <f>'04_Annual_Calculations'!K9</f>
        <v/>
      </c>
      <c r="D9" s="79">
        <f>'04_Annual_Calculations'!P9</f>
        <v/>
      </c>
      <c r="E9" s="79">
        <f>'04_Annual_Calculations'!U9</f>
        <v/>
      </c>
      <c r="F9" s="79">
        <f>'04_Annual_Calculations'!AE9</f>
        <v/>
      </c>
    </row>
    <row r="10" ht="15" customHeight="1" s="106">
      <c r="A10" s="23" t="inlineStr">
        <is>
          <t>Cumulative building sqft (endpoint)</t>
        </is>
      </c>
      <c r="B10" s="79">
        <f>'04_Annual_Calculations'!F10</f>
        <v/>
      </c>
      <c r="C10" s="79">
        <f>'04_Annual_Calculations'!K10</f>
        <v/>
      </c>
      <c r="D10" s="79">
        <f>'04_Annual_Calculations'!P10</f>
        <v/>
      </c>
      <c r="E10" s="79">
        <f>'04_Annual_Calculations'!U10</f>
        <v/>
      </c>
      <c r="F10" s="79">
        <f>'04_Annual_Calculations'!AE10</f>
        <v/>
      </c>
    </row>
    <row r="11" ht="15" customHeight="1" s="106">
      <c r="A11" s="23" t="inlineStr">
        <is>
          <t>Cumulative AV (endpoint, no growth)</t>
        </is>
      </c>
      <c r="B11" s="80">
        <f>'04_Annual_Calculations'!F11</f>
        <v/>
      </c>
      <c r="C11" s="80">
        <f>'04_Annual_Calculations'!K11</f>
        <v/>
      </c>
      <c r="D11" s="80">
        <f>'04_Annual_Calculations'!P11</f>
        <v/>
      </c>
      <c r="E11" s="80">
        <f>'04_Annual_Calculations'!U11</f>
        <v/>
      </c>
      <c r="F11" s="80">
        <f>'04_Annual_Calculations'!AE11</f>
        <v/>
      </c>
    </row>
    <row r="12" ht="15" customHeight="1" s="106">
      <c r="A12" s="23" t="inlineStr">
        <is>
          <t>Project taxable sales (sum)</t>
        </is>
      </c>
      <c r="B12" s="80">
        <f>SUM('04_Annual_Calculations'!B12:F12)</f>
        <v/>
      </c>
      <c r="C12" s="80">
        <f>SUM('04_Annual_Calculations'!B12:K12)</f>
        <v/>
      </c>
      <c r="D12" s="80">
        <f>SUM('04_Annual_Calculations'!B12:P12)</f>
        <v/>
      </c>
      <c r="E12" s="80">
        <f>SUM('04_Annual_Calculations'!B12:U12)</f>
        <v/>
      </c>
      <c r="F12" s="80">
        <f>SUM('04_Annual_Calculations'!B12:AE12)</f>
        <v/>
      </c>
    </row>
    <row r="13" ht="15" customHeight="1" s="106">
      <c r="A13" s="23" t="inlineStr">
        <is>
          <t>Resident online taxable sales (sum)</t>
        </is>
      </c>
      <c r="B13" s="80">
        <f>SUM('04_Annual_Calculations'!B15:F15)</f>
        <v/>
      </c>
      <c r="C13" s="80">
        <f>SUM('04_Annual_Calculations'!B15:K15)</f>
        <v/>
      </c>
      <c r="D13" s="80">
        <f>SUM('04_Annual_Calculations'!B15:P15)</f>
        <v/>
      </c>
      <c r="E13" s="80">
        <f>SUM('04_Annual_Calculations'!B15:U15)</f>
        <v/>
      </c>
      <c r="F13" s="80">
        <f>SUM('04_Annual_Calculations'!B15:AE15)</f>
        <v/>
      </c>
    </row>
    <row r="14" ht="15" customHeight="1" s="106">
      <c r="A14" s="23" t="inlineStr">
        <is>
          <t>Total taxable sales (sum)</t>
        </is>
      </c>
      <c r="B14" s="80">
        <f>SUM('04_Annual_Calculations'!B16:F16)</f>
        <v/>
      </c>
      <c r="C14" s="80">
        <f>SUM('04_Annual_Calculations'!B16:K16)</f>
        <v/>
      </c>
      <c r="D14" s="80">
        <f>SUM('04_Annual_Calculations'!B16:P16)</f>
        <v/>
      </c>
      <c r="E14" s="80">
        <f>SUM('04_Annual_Calculations'!B16:U16)</f>
        <v/>
      </c>
      <c r="F14" s="80">
        <f>SUM('04_Annual_Calculations'!B16:AE16)</f>
        <v/>
      </c>
    </row>
    <row r="15" ht="15" customHeight="1" s="106">
      <c r="A15" s="23" t="inlineStr">
        <is>
          <t>1.5% ILA sales-tax pool (sum)</t>
        </is>
      </c>
      <c r="B15" s="80">
        <f>SUM('04_Annual_Calculations'!B17:F17)</f>
        <v/>
      </c>
      <c r="C15" s="80">
        <f>SUM('04_Annual_Calculations'!B17:K17)</f>
        <v/>
      </c>
      <c r="D15" s="80">
        <f>SUM('04_Annual_Calculations'!B17:P17)</f>
        <v/>
      </c>
      <c r="E15" s="80">
        <f>SUM('04_Annual_Calculations'!B17:U17)</f>
        <v/>
      </c>
      <c r="F15" s="80">
        <f>SUM('04_Annual_Calculations'!B17:AE17)</f>
        <v/>
      </c>
    </row>
    <row r="16" ht="15" customHeight="1" s="106">
      <c r="A16" s="23" t="inlineStr">
        <is>
          <t>City gross sales-tax share (sum)</t>
        </is>
      </c>
      <c r="B16" s="80">
        <f>SUM('04_Annual_Calculations'!B18:F18)</f>
        <v/>
      </c>
      <c r="C16" s="80">
        <f>SUM('04_Annual_Calculations'!B18:K18)</f>
        <v/>
      </c>
      <c r="D16" s="80">
        <f>SUM('04_Annual_Calculations'!B18:P18)</f>
        <v/>
      </c>
      <c r="E16" s="80">
        <f>SUM('04_Annual_Calculations'!B18:U18)</f>
        <v/>
      </c>
      <c r="F16" s="80">
        <f>SUM('04_Annual_Calculations'!B18:AE18)</f>
        <v/>
      </c>
    </row>
    <row r="17" ht="15" customHeight="1" s="106">
      <c r="A17" s="23" t="inlineStr">
        <is>
          <t>EDC carve-out (sum)</t>
        </is>
      </c>
      <c r="B17" s="80">
        <f>SUM('04_Annual_Calculations'!B19:F19)</f>
        <v/>
      </c>
      <c r="C17" s="80">
        <f>SUM('04_Annual_Calculations'!B19:K19)</f>
        <v/>
      </c>
      <c r="D17" s="80">
        <f>SUM('04_Annual_Calculations'!B19:P19)</f>
        <v/>
      </c>
      <c r="E17" s="80">
        <f>SUM('04_Annual_Calculations'!B19:U19)</f>
        <v/>
      </c>
      <c r="F17" s="80">
        <f>SUM('04_Annual_Calculations'!B19:AE19)</f>
        <v/>
      </c>
    </row>
    <row r="18" ht="15" customHeight="1" s="106">
      <c r="A18" s="23" t="inlineStr">
        <is>
          <t>Net City General Fund sales-tax (sum)</t>
        </is>
      </c>
      <c r="B18" s="80">
        <f>SUM('04_Annual_Calculations'!B20:F20)</f>
        <v/>
      </c>
      <c r="C18" s="80">
        <f>SUM('04_Annual_Calculations'!B20:K20)</f>
        <v/>
      </c>
      <c r="D18" s="80">
        <f>SUM('04_Annual_Calculations'!B20:P20)</f>
        <v/>
      </c>
      <c r="E18" s="80">
        <f>SUM('04_Annual_Calculations'!B20:U20)</f>
        <v/>
      </c>
      <c r="F18" s="80">
        <f>SUM('04_Annual_Calculations'!B20:AE20)</f>
        <v/>
      </c>
    </row>
    <row r="19" ht="15" customHeight="1" s="106">
      <c r="A19" s="23" t="inlineStr">
        <is>
          <t>ESD sales-tax share (sum)</t>
        </is>
      </c>
      <c r="B19" s="80">
        <f>SUM('04_Annual_Calculations'!B21:F21)</f>
        <v/>
      </c>
      <c r="C19" s="80">
        <f>SUM('04_Annual_Calculations'!B21:K21)</f>
        <v/>
      </c>
      <c r="D19" s="80">
        <f>SUM('04_Annual_Calculations'!B21:P21)</f>
        <v/>
      </c>
      <c r="E19" s="80">
        <f>SUM('04_Annual_Calculations'!B21:U21)</f>
        <v/>
      </c>
      <c r="F19" s="80">
        <f>SUM('04_Annual_Calculations'!B21:AE21)</f>
        <v/>
      </c>
    </row>
    <row r="20" ht="15" customHeight="1" s="106">
      <c r="A20" s="23" t="inlineStr">
        <is>
          <t>City property tax (sum)</t>
        </is>
      </c>
      <c r="B20" s="80">
        <f>SUM('04_Annual_Calculations'!B22:F22)</f>
        <v/>
      </c>
      <c r="C20" s="80">
        <f>SUM('04_Annual_Calculations'!B22:K22)</f>
        <v/>
      </c>
      <c r="D20" s="80">
        <f>SUM('04_Annual_Calculations'!B22:P22)</f>
        <v/>
      </c>
      <c r="E20" s="80">
        <f>SUM('04_Annual_Calculations'!B22:U22)</f>
        <v/>
      </c>
      <c r="F20" s="80">
        <f>SUM('04_Annual_Calculations'!B22:AE22)</f>
        <v/>
      </c>
    </row>
    <row r="21" ht="15" customHeight="1" s="106">
      <c r="A21" s="23" t="inlineStr">
        <is>
          <t>ESD property tax (sum)</t>
        </is>
      </c>
      <c r="B21" s="80">
        <f>SUM('04_Annual_Calculations'!B23:F23)</f>
        <v/>
      </c>
      <c r="C21" s="80">
        <f>SUM('04_Annual_Calculations'!B23:K23)</f>
        <v/>
      </c>
      <c r="D21" s="80">
        <f>SUM('04_Annual_Calculations'!B23:P23)</f>
        <v/>
      </c>
      <c r="E21" s="80">
        <f>SUM('04_Annual_Calculations'!B23:U23)</f>
        <v/>
      </c>
      <c r="F21" s="80">
        <f>SUM('04_Annual_Calculations'!B23:AE23)</f>
        <v/>
      </c>
    </row>
    <row r="22" ht="15" customHeight="1" s="106">
      <c r="A22" s="23" t="inlineStr">
        <is>
          <t>Impact fees (sum)</t>
        </is>
      </c>
      <c r="B22" s="80">
        <f>SUM('04_Annual_Calculations'!B24:F24)</f>
        <v/>
      </c>
      <c r="C22" s="80">
        <f>SUM('04_Annual_Calculations'!B24:K24)</f>
        <v/>
      </c>
      <c r="D22" s="80">
        <f>SUM('04_Annual_Calculations'!B24:P24)</f>
        <v/>
      </c>
      <c r="E22" s="80">
        <f>SUM('04_Annual_Calculations'!B24:U24)</f>
        <v/>
      </c>
      <c r="F22" s="80">
        <f>SUM('04_Annual_Calculations'!B24:AE24)</f>
        <v/>
      </c>
    </row>
    <row r="23" ht="15" customHeight="1" s="106">
      <c r="A23" s="23" t="inlineStr">
        <is>
          <t>City operating cost (sum)</t>
        </is>
      </c>
      <c r="B23" s="80">
        <f>SUM('04_Annual_Calculations'!B25:F25)</f>
        <v/>
      </c>
      <c r="C23" s="80">
        <f>SUM('04_Annual_Calculations'!B25:K25)</f>
        <v/>
      </c>
      <c r="D23" s="80">
        <f>SUM('04_Annual_Calculations'!B25:P25)</f>
        <v/>
      </c>
      <c r="E23" s="80">
        <f>SUM('04_Annual_Calculations'!B25:U25)</f>
        <v/>
      </c>
      <c r="F23" s="80">
        <f>SUM('04_Annual_Calculations'!B25:AE25)</f>
        <v/>
      </c>
    </row>
    <row r="24" ht="15" customHeight="1" s="106">
      <c r="A24" s="23" t="inlineStr">
        <is>
          <t>City capital cost / debt service + included infrastructure adjustments</t>
        </is>
      </c>
      <c r="B24" s="80">
        <f>SUM('04_Annual_Calculations'!B27:F27)+Capital_Items!X34</f>
        <v/>
      </c>
      <c r="C24" s="80">
        <f>SUM('04_Annual_Calculations'!B27:K27)+Capital_Items!Y34</f>
        <v/>
      </c>
      <c r="D24" s="80">
        <f>SUM('04_Annual_Calculations'!B27:P27)+Capital_Items!Z34</f>
        <v/>
      </c>
      <c r="E24" s="80">
        <f>SUM('04_Annual_Calculations'!B27:U27)+Capital_Items!AA34</f>
        <v/>
      </c>
      <c r="F24" s="80">
        <f>SUM('04_Annual_Calculations'!B27:AE27)+Capital_Items!AB34</f>
        <v/>
      </c>
    </row>
    <row r="25" ht="15" customHeight="1" s="106">
      <c r="A25" s="23" t="inlineStr">
        <is>
          <t>City reserve (sum)</t>
        </is>
      </c>
      <c r="B25" s="80">
        <f>SUM('04_Annual_Calculations'!B29:F29)</f>
        <v/>
      </c>
      <c r="C25" s="80">
        <f>SUM('04_Annual_Calculations'!B29:K29)</f>
        <v/>
      </c>
      <c r="D25" s="80">
        <f>SUM('04_Annual_Calculations'!B29:P29)</f>
        <v/>
      </c>
      <c r="E25" s="80">
        <f>SUM('04_Annual_Calculations'!B29:U29)</f>
        <v/>
      </c>
      <c r="F25" s="80">
        <f>SUM('04_Annual_Calculations'!B29:AE29)</f>
        <v/>
      </c>
    </row>
    <row r="26" ht="15" customHeight="1" s="106">
      <c r="A26" s="23" t="inlineStr">
        <is>
          <t>ESD operating cost (sum)</t>
        </is>
      </c>
      <c r="B26" s="80">
        <f>SUM('04_Annual_Calculations'!B26:F26)</f>
        <v/>
      </c>
      <c r="C26" s="80">
        <f>SUM('04_Annual_Calculations'!B26:K26)</f>
        <v/>
      </c>
      <c r="D26" s="80">
        <f>SUM('04_Annual_Calculations'!B26:P26)</f>
        <v/>
      </c>
      <c r="E26" s="80">
        <f>SUM('04_Annual_Calculations'!B26:U26)</f>
        <v/>
      </c>
      <c r="F26" s="80">
        <f>SUM('04_Annual_Calculations'!B26:AE26)</f>
        <v/>
      </c>
    </row>
    <row r="27" ht="15" customHeight="1" s="106">
      <c r="A27" s="23" t="inlineStr">
        <is>
          <t>ESD capital cost / debt service + included infrastructure adjustments</t>
        </is>
      </c>
      <c r="B27" s="80">
        <f>SUM('04_Annual_Calculations'!B28:F28)+Capital_Items!AC35</f>
        <v/>
      </c>
      <c r="C27" s="80">
        <f>SUM('04_Annual_Calculations'!B28:K28)+Capital_Items!AD35</f>
        <v/>
      </c>
      <c r="D27" s="80">
        <f>SUM('04_Annual_Calculations'!B28:P28)+Capital_Items!AE35</f>
        <v/>
      </c>
      <c r="E27" s="80">
        <f>SUM('04_Annual_Calculations'!B28:U28)+Capital_Items!AF35</f>
        <v/>
      </c>
      <c r="F27" s="80">
        <f>SUM('04_Annual_Calculations'!B28:AE28)+Capital_Items!AG35</f>
        <v/>
      </c>
    </row>
    <row r="28" ht="15" customHeight="1" s="106">
      <c r="A28" s="23" t="inlineStr">
        <is>
          <t>ESD reserve (sum)</t>
        </is>
      </c>
      <c r="B28" s="80">
        <f>SUM('04_Annual_Calculations'!B30:F30)</f>
        <v/>
      </c>
      <c r="C28" s="80">
        <f>SUM('04_Annual_Calculations'!B30:K30)</f>
        <v/>
      </c>
      <c r="D28" s="80">
        <f>SUM('04_Annual_Calculations'!B30:P30)</f>
        <v/>
      </c>
      <c r="E28" s="80">
        <f>SUM('04_Annual_Calculations'!B30:U30)</f>
        <v/>
      </c>
      <c r="F28" s="80">
        <f>SUM('04_Annual_Calculations'!B30:AE30)</f>
        <v/>
      </c>
    </row>
    <row r="29" ht="15" customHeight="1" s="106">
      <c r="A29" s="23" t="inlineStr">
        <is>
          <t>City NET</t>
        </is>
      </c>
      <c r="B29" s="80">
        <f>B18+B20+B22-B23-B24-B25</f>
        <v/>
      </c>
      <c r="C29" s="80">
        <f>C18+C20+C22-C23-C24-C25</f>
        <v/>
      </c>
      <c r="D29" s="80">
        <f>D18+D20+D22-D23-D24-D25</f>
        <v/>
      </c>
      <c r="E29" s="80">
        <f>E18+E20+E22-E23-E24-E25</f>
        <v/>
      </c>
      <c r="F29" s="80">
        <f>F18+F20+F22-F23-F24-F25</f>
        <v/>
      </c>
    </row>
    <row r="30" ht="15" customHeight="1" s="106">
      <c r="A30" s="23" t="inlineStr">
        <is>
          <t>ESD NET</t>
        </is>
      </c>
      <c r="B30" s="80">
        <f>B19+B21-B26-B27-B28</f>
        <v/>
      </c>
      <c r="C30" s="80">
        <f>C19+C21-C26-C27-C28</f>
        <v/>
      </c>
      <c r="D30" s="80">
        <f>D19+D21-D26-D27-D28</f>
        <v/>
      </c>
      <c r="E30" s="80">
        <f>E19+E21-E26-E27-E28</f>
        <v/>
      </c>
      <c r="F30" s="80">
        <f>F19+F21-F26-F27-F28</f>
        <v/>
      </c>
    </row>
    <row r="31" ht="15" customHeight="1" s="106">
      <c r="A31" s="23" t="inlineStr">
        <is>
          <t>Combined NET</t>
        </is>
      </c>
      <c r="B31" s="80">
        <f>B29+B30</f>
        <v/>
      </c>
      <c r="C31" s="80">
        <f>C29+C30</f>
        <v/>
      </c>
      <c r="D31" s="80">
        <f>D29+D30</f>
        <v/>
      </c>
      <c r="E31" s="80">
        <f>E29+E30</f>
        <v/>
      </c>
      <c r="F31" s="80">
        <f>F29+F30</f>
        <v/>
      </c>
    </row>
    <row r="32" ht="15" customHeight="1" s="106">
      <c r="A32" s="46" t="inlineStr">
        <is>
          <t>Pool multiple required for City break-even</t>
        </is>
      </c>
      <c r="B32" s="81">
        <f>IFERROR(IF((B23+B25+B24-B20-B22)&lt;=0,0,IF(B15*(1-'00_Inputs_Dashboard'!$B$6)&lt;=0,"&gt;100%",(B23+B25+B24-B20-B22)/(B15*(1-'00_Inputs_Dashboard'!$B$6)))),"")</f>
        <v/>
      </c>
      <c r="C32" s="81">
        <f>IFERROR(IF((C23+C25+C24-C20-C22)&lt;=0,0,IF(C15*(1-'00_Inputs_Dashboard'!$B$6)&lt;=0,"&gt;100%",(C23+C25+C24-C20-C22)/(C15*(1-'00_Inputs_Dashboard'!$B$6)))),"")</f>
        <v/>
      </c>
      <c r="D32" s="81">
        <f>IFERROR(IF((D23+D25+D24-D20-D22)&lt;=0,0,IF(D15*(1-'00_Inputs_Dashboard'!$B$6)&lt;=0,"&gt;100%",(D23+D25+D24-D20-D22)/(D15*(1-'00_Inputs_Dashboard'!$B$6)))),"")</f>
        <v/>
      </c>
      <c r="E32" s="81">
        <f>IFERROR(IF((E23+E25+E24-E20-E22)&lt;=0,0,IF(E15*(1-'00_Inputs_Dashboard'!$B$6)&lt;=0,"&gt;100%",(E23+E25+E24-E20-E22)/(E15*(1-'00_Inputs_Dashboard'!$B$6)))),"")</f>
        <v/>
      </c>
      <c r="F32" s="81">
        <f>IFERROR(IF((F23+F25+F24-F20-F22)&lt;=0,0,IF(F15*(1-'00_Inputs_Dashboard'!$B$6)&lt;=0,"&gt;100%",(F23+F25+F24-F20-F22)/(F15*(1-'00_Inputs_Dashboard'!$B$6)))),"")</f>
        <v/>
      </c>
    </row>
  </sheetData>
  <mergeCells count="1">
    <mergeCell ref="A1:F1"/>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B6D7A8"/>
    <outlinePr summaryBelow="1" summaryRight="1"/>
    <pageSetUpPr/>
  </sheetPr>
  <dimension ref="A1:AF39"/>
  <sheetViews>
    <sheetView zoomScaleNormal="100" workbookViewId="0">
      <selection activeCell="B22" sqref="B22"/>
    </sheetView>
  </sheetViews>
  <sheetFormatPr baseColWidth="8" defaultColWidth="8.6640625" defaultRowHeight="13.2"/>
  <cols>
    <col width="56" customWidth="1" style="106" min="1" max="1"/>
    <col width="12" customWidth="1" style="106" min="2" max="31"/>
  </cols>
  <sheetData>
    <row r="1" ht="21.75" customHeight="1" s="106">
      <c r="A1" s="109" t="inlineStr">
        <is>
          <t>Annual Calculations — Y1 through Y30 (aggregates active Scenario Builder projects)</t>
        </is>
      </c>
    </row>
    <row r="3" ht="15" customHeight="1" s="106">
      <c r="A3" s="46" t="inlineStr">
        <is>
          <t>Metric</t>
        </is>
      </c>
      <c r="B3" s="82" t="inlineStr">
        <is>
          <t>Y1</t>
        </is>
      </c>
      <c r="C3" s="82" t="inlineStr">
        <is>
          <t>Y2</t>
        </is>
      </c>
      <c r="D3" s="82" t="inlineStr">
        <is>
          <t>Y3</t>
        </is>
      </c>
      <c r="E3" s="82" t="inlineStr">
        <is>
          <t>Y4</t>
        </is>
      </c>
      <c r="F3" s="82" t="inlineStr">
        <is>
          <t>Y5</t>
        </is>
      </c>
      <c r="G3" s="82" t="inlineStr">
        <is>
          <t>Y6</t>
        </is>
      </c>
      <c r="H3" s="82" t="inlineStr">
        <is>
          <t>Y7</t>
        </is>
      </c>
      <c r="I3" s="82" t="inlineStr">
        <is>
          <t>Y8</t>
        </is>
      </c>
      <c r="J3" s="82" t="inlineStr">
        <is>
          <t>Y9</t>
        </is>
      </c>
      <c r="K3" s="82" t="inlineStr">
        <is>
          <t>Y10</t>
        </is>
      </c>
      <c r="L3" s="82" t="inlineStr">
        <is>
          <t>Y11</t>
        </is>
      </c>
      <c r="M3" s="82" t="inlineStr">
        <is>
          <t>Y12</t>
        </is>
      </c>
      <c r="N3" s="82" t="inlineStr">
        <is>
          <t>Y13</t>
        </is>
      </c>
      <c r="O3" s="82" t="inlineStr">
        <is>
          <t>Y14</t>
        </is>
      </c>
      <c r="P3" s="82" t="inlineStr">
        <is>
          <t>Y15</t>
        </is>
      </c>
      <c r="Q3" s="82" t="inlineStr">
        <is>
          <t>Y16</t>
        </is>
      </c>
      <c r="R3" s="82" t="inlineStr">
        <is>
          <t>Y17</t>
        </is>
      </c>
      <c r="S3" s="82" t="inlineStr">
        <is>
          <t>Y18</t>
        </is>
      </c>
      <c r="T3" s="82" t="inlineStr">
        <is>
          <t>Y19</t>
        </is>
      </c>
      <c r="U3" s="82" t="inlineStr">
        <is>
          <t>Y20</t>
        </is>
      </c>
      <c r="V3" s="82" t="inlineStr">
        <is>
          <t>Y21</t>
        </is>
      </c>
      <c r="W3" s="82" t="inlineStr">
        <is>
          <t>Y22</t>
        </is>
      </c>
      <c r="X3" s="82" t="inlineStr">
        <is>
          <t>Y23</t>
        </is>
      </c>
      <c r="Y3" s="82" t="inlineStr">
        <is>
          <t>Y24</t>
        </is>
      </c>
      <c r="Z3" s="82" t="inlineStr">
        <is>
          <t>Y25</t>
        </is>
      </c>
      <c r="AA3" s="82" t="inlineStr">
        <is>
          <t>Y26</t>
        </is>
      </c>
      <c r="AB3" s="82" t="inlineStr">
        <is>
          <t>Y27</t>
        </is>
      </c>
      <c r="AC3" s="82" t="inlineStr">
        <is>
          <t>Y28</t>
        </is>
      </c>
      <c r="AD3" s="82" t="inlineStr">
        <is>
          <t>Y29</t>
        </is>
      </c>
      <c r="AE3" s="82" t="inlineStr">
        <is>
          <t>Y30</t>
        </is>
      </c>
    </row>
    <row r="4" ht="15" customHeight="1" s="106">
      <c r="A4" s="23" t="inlineStr">
        <is>
          <t>Annual captured acres (new delivery)</t>
        </is>
      </c>
      <c r="B4" s="78">
        <f>SUMPRODUCT(--(Scenarios!$C$3:$C$27=TRUE()),Scenarios!$M$3:$M$27,'09_Phase_Factors'!$D$30:$D$54)</f>
        <v/>
      </c>
      <c r="C4" s="78">
        <f>SUMPRODUCT(--(Scenarios!$C$3:$C$27=TRUE()),Scenarios!$M$3:$M$27,'09_Phase_Factors'!$E$30:$E$54)</f>
        <v/>
      </c>
      <c r="D4" s="78">
        <f>SUMPRODUCT(--(Scenarios!$C$3:$C$27=TRUE()),Scenarios!$M$3:$M$27,'09_Phase_Factors'!$F$30:$F$54)</f>
        <v/>
      </c>
      <c r="E4" s="78">
        <f>SUMPRODUCT(--(Scenarios!$C$3:$C$27=TRUE()),Scenarios!$M$3:$M$27,'09_Phase_Factors'!$G$30:$G$54)</f>
        <v/>
      </c>
      <c r="F4" s="78">
        <f>SUMPRODUCT(--(Scenarios!$C$3:$C$27=TRUE()),Scenarios!$M$3:$M$27,'09_Phase_Factors'!$H$30:$H$54)</f>
        <v/>
      </c>
      <c r="G4" s="78">
        <f>SUMPRODUCT(--(Scenarios!$C$3:$C$27=TRUE()),Scenarios!$M$3:$M$27,'09_Phase_Factors'!$I$30:$I$54)</f>
        <v/>
      </c>
      <c r="H4" s="78">
        <f>SUMPRODUCT(--(Scenarios!$C$3:$C$27=TRUE()),Scenarios!$M$3:$M$27,'09_Phase_Factors'!$J$30:$J$54)</f>
        <v/>
      </c>
      <c r="I4" s="78">
        <f>SUMPRODUCT(--(Scenarios!$C$3:$C$27=TRUE()),Scenarios!$M$3:$M$27,'09_Phase_Factors'!$K$30:$K$54)</f>
        <v/>
      </c>
      <c r="J4" s="78">
        <f>SUMPRODUCT(--(Scenarios!$C$3:$C$27=TRUE()),Scenarios!$M$3:$M$27,'09_Phase_Factors'!$L$30:$L$54)</f>
        <v/>
      </c>
      <c r="K4" s="78">
        <f>SUMPRODUCT(--(Scenarios!$C$3:$C$27=TRUE()),Scenarios!$M$3:$M$27,'09_Phase_Factors'!$M$30:$M$54)</f>
        <v/>
      </c>
      <c r="L4" s="78">
        <f>SUMPRODUCT(--(Scenarios!$C$3:$C$27=TRUE()),Scenarios!$M$3:$M$27,'09_Phase_Factors'!$N$30:$N$54)</f>
        <v/>
      </c>
      <c r="M4" s="78">
        <f>SUMPRODUCT(--(Scenarios!$C$3:$C$27=TRUE()),Scenarios!$M$3:$M$27,'09_Phase_Factors'!$O$30:$O$54)</f>
        <v/>
      </c>
      <c r="N4" s="78">
        <f>SUMPRODUCT(--(Scenarios!$C$3:$C$27=TRUE()),Scenarios!$M$3:$M$27,'09_Phase_Factors'!$P$30:$P$54)</f>
        <v/>
      </c>
      <c r="O4" s="78">
        <f>SUMPRODUCT(--(Scenarios!$C$3:$C$27=TRUE()),Scenarios!$M$3:$M$27,'09_Phase_Factors'!$Q$30:$Q$54)</f>
        <v/>
      </c>
      <c r="P4" s="78">
        <f>SUMPRODUCT(--(Scenarios!$C$3:$C$27=TRUE()),Scenarios!$M$3:$M$27,'09_Phase_Factors'!$R$30:$R$54)</f>
        <v/>
      </c>
      <c r="Q4" s="78">
        <f>SUMPRODUCT(--(Scenarios!$C$3:$C$27=TRUE()),Scenarios!$M$3:$M$27,'09_Phase_Factors'!$S$30:$S$54)</f>
        <v/>
      </c>
      <c r="R4" s="78">
        <f>SUMPRODUCT(--(Scenarios!$C$3:$C$27=TRUE()),Scenarios!$M$3:$M$27,'09_Phase_Factors'!$T$30:$T$54)</f>
        <v/>
      </c>
      <c r="S4" s="78">
        <f>SUMPRODUCT(--(Scenarios!$C$3:$C$27=TRUE()),Scenarios!$M$3:$M$27,'09_Phase_Factors'!$U$30:$U$54)</f>
        <v/>
      </c>
      <c r="T4" s="78">
        <f>SUMPRODUCT(--(Scenarios!$C$3:$C$27=TRUE()),Scenarios!$M$3:$M$27,'09_Phase_Factors'!$V$30:$V$54)</f>
        <v/>
      </c>
      <c r="U4" s="78">
        <f>SUMPRODUCT(--(Scenarios!$C$3:$C$27=TRUE()),Scenarios!$M$3:$M$27,'09_Phase_Factors'!$W$30:$W$54)</f>
        <v/>
      </c>
      <c r="V4" s="78">
        <f>SUMPRODUCT(--(Scenarios!$C$3:$C$27=TRUE()),Scenarios!$M$3:$M$27,'09_Phase_Factors'!$X$30:$X$54)</f>
        <v/>
      </c>
      <c r="W4" s="78">
        <f>SUMPRODUCT(--(Scenarios!$C$3:$C$27=TRUE()),Scenarios!$M$3:$M$27,'09_Phase_Factors'!$Y$30:$Y$54)</f>
        <v/>
      </c>
      <c r="X4" s="78">
        <f>SUMPRODUCT(--(Scenarios!$C$3:$C$27=TRUE()),Scenarios!$M$3:$M$27,'09_Phase_Factors'!$Z$30:$Z$54)</f>
        <v/>
      </c>
      <c r="Y4" s="78">
        <f>SUMPRODUCT(--(Scenarios!$C$3:$C$27=TRUE()),Scenarios!$M$3:$M$27,'09_Phase_Factors'!$AA$30:$AA$54)</f>
        <v/>
      </c>
      <c r="Z4" s="78">
        <f>SUMPRODUCT(--(Scenarios!$C$3:$C$27=TRUE()),Scenarios!$M$3:$M$27,'09_Phase_Factors'!$AB$30:$AB$54)</f>
        <v/>
      </c>
      <c r="AA4" s="78">
        <f>SUMPRODUCT(--(Scenarios!$C$3:$C$27=TRUE()),Scenarios!$M$3:$M$27,'09_Phase_Factors'!$AC$30:$AC$54)</f>
        <v/>
      </c>
      <c r="AB4" s="78">
        <f>SUMPRODUCT(--(Scenarios!$C$3:$C$27=TRUE()),Scenarios!$M$3:$M$27,'09_Phase_Factors'!$AD$30:$AD$54)</f>
        <v/>
      </c>
      <c r="AC4" s="78">
        <f>SUMPRODUCT(--(Scenarios!$C$3:$C$27=TRUE()),Scenarios!$M$3:$M$27,'09_Phase_Factors'!$AE$30:$AE$54)</f>
        <v/>
      </c>
      <c r="AD4" s="78">
        <f>SUMPRODUCT(--(Scenarios!$C$3:$C$27=TRUE()),Scenarios!$M$3:$M$27,'09_Phase_Factors'!$AF$30:$AF$54)</f>
        <v/>
      </c>
      <c r="AE4" s="78">
        <f>SUMPRODUCT(--(Scenarios!$C$3:$C$27=TRUE()),Scenarios!$M$3:$M$27,'09_Phase_Factors'!$AG$30:$AG$54)</f>
        <v/>
      </c>
    </row>
    <row r="5" ht="15" customHeight="1" s="106">
      <c r="A5" s="23" t="inlineStr">
        <is>
          <t>Cumulative captured acres (present)</t>
        </is>
      </c>
      <c r="B5" s="78">
        <f>SUMPRODUCT(--(Scenarios!$C$3:$C$27=TRUE()),Scenarios!$M$3:$M$27,'09_Phase_Factors'!$D$4:$D$28)</f>
        <v/>
      </c>
      <c r="C5" s="78">
        <f>SUMPRODUCT(--(Scenarios!$C$3:$C$27=TRUE()),Scenarios!$M$3:$M$27,'09_Phase_Factors'!$E$4:$E$28)</f>
        <v/>
      </c>
      <c r="D5" s="78">
        <f>SUMPRODUCT(--(Scenarios!$C$3:$C$27=TRUE()),Scenarios!$M$3:$M$27,'09_Phase_Factors'!$F$4:$F$28)</f>
        <v/>
      </c>
      <c r="E5" s="78">
        <f>SUMPRODUCT(--(Scenarios!$C$3:$C$27=TRUE()),Scenarios!$M$3:$M$27,'09_Phase_Factors'!$G$4:$G$28)</f>
        <v/>
      </c>
      <c r="F5" s="78">
        <f>SUMPRODUCT(--(Scenarios!$C$3:$C$27=TRUE()),Scenarios!$M$3:$M$27,'09_Phase_Factors'!$H$4:$H$28)</f>
        <v/>
      </c>
      <c r="G5" s="78">
        <f>SUMPRODUCT(--(Scenarios!$C$3:$C$27=TRUE()),Scenarios!$M$3:$M$27,'09_Phase_Factors'!$I$4:$I$28)</f>
        <v/>
      </c>
      <c r="H5" s="78">
        <f>SUMPRODUCT(--(Scenarios!$C$3:$C$27=TRUE()),Scenarios!$M$3:$M$27,'09_Phase_Factors'!$J$4:$J$28)</f>
        <v/>
      </c>
      <c r="I5" s="78">
        <f>SUMPRODUCT(--(Scenarios!$C$3:$C$27=TRUE()),Scenarios!$M$3:$M$27,'09_Phase_Factors'!$K$4:$K$28)</f>
        <v/>
      </c>
      <c r="J5" s="78">
        <f>SUMPRODUCT(--(Scenarios!$C$3:$C$27=TRUE()),Scenarios!$M$3:$M$27,'09_Phase_Factors'!$L$4:$L$28)</f>
        <v/>
      </c>
      <c r="K5" s="78">
        <f>SUMPRODUCT(--(Scenarios!$C$3:$C$27=TRUE()),Scenarios!$M$3:$M$27,'09_Phase_Factors'!$M$4:$M$28)</f>
        <v/>
      </c>
      <c r="L5" s="78">
        <f>SUMPRODUCT(--(Scenarios!$C$3:$C$27=TRUE()),Scenarios!$M$3:$M$27,'09_Phase_Factors'!$N$4:$N$28)</f>
        <v/>
      </c>
      <c r="M5" s="78">
        <f>SUMPRODUCT(--(Scenarios!$C$3:$C$27=TRUE()),Scenarios!$M$3:$M$27,'09_Phase_Factors'!$O$4:$O$28)</f>
        <v/>
      </c>
      <c r="N5" s="78">
        <f>SUMPRODUCT(--(Scenarios!$C$3:$C$27=TRUE()),Scenarios!$M$3:$M$27,'09_Phase_Factors'!$P$4:$P$28)</f>
        <v/>
      </c>
      <c r="O5" s="78">
        <f>SUMPRODUCT(--(Scenarios!$C$3:$C$27=TRUE()),Scenarios!$M$3:$M$27,'09_Phase_Factors'!$Q$4:$Q$28)</f>
        <v/>
      </c>
      <c r="P5" s="78">
        <f>SUMPRODUCT(--(Scenarios!$C$3:$C$27=TRUE()),Scenarios!$M$3:$M$27,'09_Phase_Factors'!$R$4:$R$28)</f>
        <v/>
      </c>
      <c r="Q5" s="78">
        <f>SUMPRODUCT(--(Scenarios!$C$3:$C$27=TRUE()),Scenarios!$M$3:$M$27,'09_Phase_Factors'!$S$4:$S$28)</f>
        <v/>
      </c>
      <c r="R5" s="78">
        <f>SUMPRODUCT(--(Scenarios!$C$3:$C$27=TRUE()),Scenarios!$M$3:$M$27,'09_Phase_Factors'!$T$4:$T$28)</f>
        <v/>
      </c>
      <c r="S5" s="78">
        <f>SUMPRODUCT(--(Scenarios!$C$3:$C$27=TRUE()),Scenarios!$M$3:$M$27,'09_Phase_Factors'!$U$4:$U$28)</f>
        <v/>
      </c>
      <c r="T5" s="78">
        <f>SUMPRODUCT(--(Scenarios!$C$3:$C$27=TRUE()),Scenarios!$M$3:$M$27,'09_Phase_Factors'!$V$4:$V$28)</f>
        <v/>
      </c>
      <c r="U5" s="78">
        <f>SUMPRODUCT(--(Scenarios!$C$3:$C$27=TRUE()),Scenarios!$M$3:$M$27,'09_Phase_Factors'!$W$4:$W$28)</f>
        <v/>
      </c>
      <c r="V5" s="78">
        <f>SUMPRODUCT(--(Scenarios!$C$3:$C$27=TRUE()),Scenarios!$M$3:$M$27,'09_Phase_Factors'!$X$4:$X$28)</f>
        <v/>
      </c>
      <c r="W5" s="78">
        <f>SUMPRODUCT(--(Scenarios!$C$3:$C$27=TRUE()),Scenarios!$M$3:$M$27,'09_Phase_Factors'!$Y$4:$Y$28)</f>
        <v/>
      </c>
      <c r="X5" s="78">
        <f>SUMPRODUCT(--(Scenarios!$C$3:$C$27=TRUE()),Scenarios!$M$3:$M$27,'09_Phase_Factors'!$Z$4:$Z$28)</f>
        <v/>
      </c>
      <c r="Y5" s="78">
        <f>SUMPRODUCT(--(Scenarios!$C$3:$C$27=TRUE()),Scenarios!$M$3:$M$27,'09_Phase_Factors'!$AA$4:$AA$28)</f>
        <v/>
      </c>
      <c r="Z5" s="78">
        <f>SUMPRODUCT(--(Scenarios!$C$3:$C$27=TRUE()),Scenarios!$M$3:$M$27,'09_Phase_Factors'!$AB$4:$AB$28)</f>
        <v/>
      </c>
      <c r="AA5" s="78">
        <f>SUMPRODUCT(--(Scenarios!$C$3:$C$27=TRUE()),Scenarios!$M$3:$M$27,'09_Phase_Factors'!$AC$4:$AC$28)</f>
        <v/>
      </c>
      <c r="AB5" s="78">
        <f>SUMPRODUCT(--(Scenarios!$C$3:$C$27=TRUE()),Scenarios!$M$3:$M$27,'09_Phase_Factors'!$AD$4:$AD$28)</f>
        <v/>
      </c>
      <c r="AC5" s="78">
        <f>SUMPRODUCT(--(Scenarios!$C$3:$C$27=TRUE()),Scenarios!$M$3:$M$27,'09_Phase_Factors'!$AE$4:$AE$28)</f>
        <v/>
      </c>
      <c r="AD5" s="78">
        <f>SUMPRODUCT(--(Scenarios!$C$3:$C$27=TRUE()),Scenarios!$M$3:$M$27,'09_Phase_Factors'!$AF$4:$AF$28)</f>
        <v/>
      </c>
      <c r="AE5" s="78">
        <f>SUMPRODUCT(--(Scenarios!$C$3:$C$27=TRUE()),Scenarios!$M$3:$M$27,'09_Phase_Factors'!$AG$4:$AG$28)</f>
        <v/>
      </c>
    </row>
    <row r="6" ht="15" customHeight="1" s="106">
      <c r="A6" s="23" t="inlineStr">
        <is>
          <t>Annual new residents (new delivery)</t>
        </is>
      </c>
      <c r="B6" s="79">
        <f>SUMPRODUCT(--(Scenarios!$C$3:$C$27=TRUE()),Scenarios!$V$3:$V$27,'09_Phase_Factors'!$D$30:$D$54)</f>
        <v/>
      </c>
      <c r="C6" s="79">
        <f>SUMPRODUCT(--(Scenarios!$C$3:$C$27=TRUE()),Scenarios!$V$3:$V$27,'09_Phase_Factors'!$E$30:$E$54)</f>
        <v/>
      </c>
      <c r="D6" s="79">
        <f>SUMPRODUCT(--(Scenarios!$C$3:$C$27=TRUE()),Scenarios!$V$3:$V$27,'09_Phase_Factors'!$F$30:$F$54)</f>
        <v/>
      </c>
      <c r="E6" s="79">
        <f>SUMPRODUCT(--(Scenarios!$C$3:$C$27=TRUE()),Scenarios!$V$3:$V$27,'09_Phase_Factors'!$G$30:$G$54)</f>
        <v/>
      </c>
      <c r="F6" s="79">
        <f>SUMPRODUCT(--(Scenarios!$C$3:$C$27=TRUE()),Scenarios!$V$3:$V$27,'09_Phase_Factors'!$H$30:$H$54)</f>
        <v/>
      </c>
      <c r="G6" s="79">
        <f>SUMPRODUCT(--(Scenarios!$C$3:$C$27=TRUE()),Scenarios!$V$3:$V$27,'09_Phase_Factors'!$I$30:$I$54)</f>
        <v/>
      </c>
      <c r="H6" s="79">
        <f>SUMPRODUCT(--(Scenarios!$C$3:$C$27=TRUE()),Scenarios!$V$3:$V$27,'09_Phase_Factors'!$J$30:$J$54)</f>
        <v/>
      </c>
      <c r="I6" s="79">
        <f>SUMPRODUCT(--(Scenarios!$C$3:$C$27=TRUE()),Scenarios!$V$3:$V$27,'09_Phase_Factors'!$K$30:$K$54)</f>
        <v/>
      </c>
      <c r="J6" s="79">
        <f>SUMPRODUCT(--(Scenarios!$C$3:$C$27=TRUE()),Scenarios!$V$3:$V$27,'09_Phase_Factors'!$L$30:$L$54)</f>
        <v/>
      </c>
      <c r="K6" s="79">
        <f>SUMPRODUCT(--(Scenarios!$C$3:$C$27=TRUE()),Scenarios!$V$3:$V$27,'09_Phase_Factors'!$M$30:$M$54)</f>
        <v/>
      </c>
      <c r="L6" s="79">
        <f>SUMPRODUCT(--(Scenarios!$C$3:$C$27=TRUE()),Scenarios!$V$3:$V$27,'09_Phase_Factors'!$N$30:$N$54)</f>
        <v/>
      </c>
      <c r="M6" s="79">
        <f>SUMPRODUCT(--(Scenarios!$C$3:$C$27=TRUE()),Scenarios!$V$3:$V$27,'09_Phase_Factors'!$O$30:$O$54)</f>
        <v/>
      </c>
      <c r="N6" s="79">
        <f>SUMPRODUCT(--(Scenarios!$C$3:$C$27=TRUE()),Scenarios!$V$3:$V$27,'09_Phase_Factors'!$P$30:$P$54)</f>
        <v/>
      </c>
      <c r="O6" s="79">
        <f>SUMPRODUCT(--(Scenarios!$C$3:$C$27=TRUE()),Scenarios!$V$3:$V$27,'09_Phase_Factors'!$Q$30:$Q$54)</f>
        <v/>
      </c>
      <c r="P6" s="79">
        <f>SUMPRODUCT(--(Scenarios!$C$3:$C$27=TRUE()),Scenarios!$V$3:$V$27,'09_Phase_Factors'!$R$30:$R$54)</f>
        <v/>
      </c>
      <c r="Q6" s="79">
        <f>SUMPRODUCT(--(Scenarios!$C$3:$C$27=TRUE()),Scenarios!$V$3:$V$27,'09_Phase_Factors'!$S$30:$S$54)</f>
        <v/>
      </c>
      <c r="R6" s="79">
        <f>SUMPRODUCT(--(Scenarios!$C$3:$C$27=TRUE()),Scenarios!$V$3:$V$27,'09_Phase_Factors'!$T$30:$T$54)</f>
        <v/>
      </c>
      <c r="S6" s="79">
        <f>SUMPRODUCT(--(Scenarios!$C$3:$C$27=TRUE()),Scenarios!$V$3:$V$27,'09_Phase_Factors'!$U$30:$U$54)</f>
        <v/>
      </c>
      <c r="T6" s="79">
        <f>SUMPRODUCT(--(Scenarios!$C$3:$C$27=TRUE()),Scenarios!$V$3:$V$27,'09_Phase_Factors'!$V$30:$V$54)</f>
        <v/>
      </c>
      <c r="U6" s="79">
        <f>SUMPRODUCT(--(Scenarios!$C$3:$C$27=TRUE()),Scenarios!$V$3:$V$27,'09_Phase_Factors'!$W$30:$W$54)</f>
        <v/>
      </c>
      <c r="V6" s="79">
        <f>SUMPRODUCT(--(Scenarios!$C$3:$C$27=TRUE()),Scenarios!$V$3:$V$27,'09_Phase_Factors'!$X$30:$X$54)</f>
        <v/>
      </c>
      <c r="W6" s="79">
        <f>SUMPRODUCT(--(Scenarios!$C$3:$C$27=TRUE()),Scenarios!$V$3:$V$27,'09_Phase_Factors'!$Y$30:$Y$54)</f>
        <v/>
      </c>
      <c r="X6" s="79">
        <f>SUMPRODUCT(--(Scenarios!$C$3:$C$27=TRUE()),Scenarios!$V$3:$V$27,'09_Phase_Factors'!$Z$30:$Z$54)</f>
        <v/>
      </c>
      <c r="Y6" s="79">
        <f>SUMPRODUCT(--(Scenarios!$C$3:$C$27=TRUE()),Scenarios!$V$3:$V$27,'09_Phase_Factors'!$AA$30:$AA$54)</f>
        <v/>
      </c>
      <c r="Z6" s="79">
        <f>SUMPRODUCT(--(Scenarios!$C$3:$C$27=TRUE()),Scenarios!$V$3:$V$27,'09_Phase_Factors'!$AB$30:$AB$54)</f>
        <v/>
      </c>
      <c r="AA6" s="79">
        <f>SUMPRODUCT(--(Scenarios!$C$3:$C$27=TRUE()),Scenarios!$V$3:$V$27,'09_Phase_Factors'!$AC$30:$AC$54)</f>
        <v/>
      </c>
      <c r="AB6" s="79">
        <f>SUMPRODUCT(--(Scenarios!$C$3:$C$27=TRUE()),Scenarios!$V$3:$V$27,'09_Phase_Factors'!$AD$30:$AD$54)</f>
        <v/>
      </c>
      <c r="AC6" s="79">
        <f>SUMPRODUCT(--(Scenarios!$C$3:$C$27=TRUE()),Scenarios!$V$3:$V$27,'09_Phase_Factors'!$AE$30:$AE$54)</f>
        <v/>
      </c>
      <c r="AD6" s="79">
        <f>SUMPRODUCT(--(Scenarios!$C$3:$C$27=TRUE()),Scenarios!$V$3:$V$27,'09_Phase_Factors'!$AF$30:$AF$54)</f>
        <v/>
      </c>
      <c r="AE6" s="79">
        <f>SUMPRODUCT(--(Scenarios!$C$3:$C$27=TRUE()),Scenarios!$V$3:$V$27,'09_Phase_Factors'!$AG$30:$AG$54)</f>
        <v/>
      </c>
    </row>
    <row r="7" ht="15" customHeight="1" s="106">
      <c r="A7" s="23" t="inlineStr">
        <is>
          <t>Cumulative residents (present)</t>
        </is>
      </c>
      <c r="B7" s="79">
        <f>SUMPRODUCT(--(Scenarios!$C$3:$C$27=TRUE()),Scenarios!$V$3:$V$27,'09_Phase_Factors'!$D$4:$D$28)</f>
        <v/>
      </c>
      <c r="C7" s="79">
        <f>SUMPRODUCT(--(Scenarios!$C$3:$C$27=TRUE()),Scenarios!$V$3:$V$27,'09_Phase_Factors'!$E$4:$E$28)</f>
        <v/>
      </c>
      <c r="D7" s="79">
        <f>SUMPRODUCT(--(Scenarios!$C$3:$C$27=TRUE()),Scenarios!$V$3:$V$27,'09_Phase_Factors'!$F$4:$F$28)</f>
        <v/>
      </c>
      <c r="E7" s="79">
        <f>SUMPRODUCT(--(Scenarios!$C$3:$C$27=TRUE()),Scenarios!$V$3:$V$27,'09_Phase_Factors'!$G$4:$G$28)</f>
        <v/>
      </c>
      <c r="F7" s="79">
        <f>SUMPRODUCT(--(Scenarios!$C$3:$C$27=TRUE()),Scenarios!$V$3:$V$27,'09_Phase_Factors'!$H$4:$H$28)</f>
        <v/>
      </c>
      <c r="G7" s="79">
        <f>SUMPRODUCT(--(Scenarios!$C$3:$C$27=TRUE()),Scenarios!$V$3:$V$27,'09_Phase_Factors'!$I$4:$I$28)</f>
        <v/>
      </c>
      <c r="H7" s="79">
        <f>SUMPRODUCT(--(Scenarios!$C$3:$C$27=TRUE()),Scenarios!$V$3:$V$27,'09_Phase_Factors'!$J$4:$J$28)</f>
        <v/>
      </c>
      <c r="I7" s="79">
        <f>SUMPRODUCT(--(Scenarios!$C$3:$C$27=TRUE()),Scenarios!$V$3:$V$27,'09_Phase_Factors'!$K$4:$K$28)</f>
        <v/>
      </c>
      <c r="J7" s="79">
        <f>SUMPRODUCT(--(Scenarios!$C$3:$C$27=TRUE()),Scenarios!$V$3:$V$27,'09_Phase_Factors'!$L$4:$L$28)</f>
        <v/>
      </c>
      <c r="K7" s="79">
        <f>SUMPRODUCT(--(Scenarios!$C$3:$C$27=TRUE()),Scenarios!$V$3:$V$27,'09_Phase_Factors'!$M$4:$M$28)</f>
        <v/>
      </c>
      <c r="L7" s="79">
        <f>SUMPRODUCT(--(Scenarios!$C$3:$C$27=TRUE()),Scenarios!$V$3:$V$27,'09_Phase_Factors'!$N$4:$N$28)</f>
        <v/>
      </c>
      <c r="M7" s="79">
        <f>SUMPRODUCT(--(Scenarios!$C$3:$C$27=TRUE()),Scenarios!$V$3:$V$27,'09_Phase_Factors'!$O$4:$O$28)</f>
        <v/>
      </c>
      <c r="N7" s="79">
        <f>SUMPRODUCT(--(Scenarios!$C$3:$C$27=TRUE()),Scenarios!$V$3:$V$27,'09_Phase_Factors'!$P$4:$P$28)</f>
        <v/>
      </c>
      <c r="O7" s="79">
        <f>SUMPRODUCT(--(Scenarios!$C$3:$C$27=TRUE()),Scenarios!$V$3:$V$27,'09_Phase_Factors'!$Q$4:$Q$28)</f>
        <v/>
      </c>
      <c r="P7" s="79">
        <f>SUMPRODUCT(--(Scenarios!$C$3:$C$27=TRUE()),Scenarios!$V$3:$V$27,'09_Phase_Factors'!$R$4:$R$28)</f>
        <v/>
      </c>
      <c r="Q7" s="79">
        <f>SUMPRODUCT(--(Scenarios!$C$3:$C$27=TRUE()),Scenarios!$V$3:$V$27,'09_Phase_Factors'!$S$4:$S$28)</f>
        <v/>
      </c>
      <c r="R7" s="79">
        <f>SUMPRODUCT(--(Scenarios!$C$3:$C$27=TRUE()),Scenarios!$V$3:$V$27,'09_Phase_Factors'!$T$4:$T$28)</f>
        <v/>
      </c>
      <c r="S7" s="79">
        <f>SUMPRODUCT(--(Scenarios!$C$3:$C$27=TRUE()),Scenarios!$V$3:$V$27,'09_Phase_Factors'!$U$4:$U$28)</f>
        <v/>
      </c>
      <c r="T7" s="79">
        <f>SUMPRODUCT(--(Scenarios!$C$3:$C$27=TRUE()),Scenarios!$V$3:$V$27,'09_Phase_Factors'!$V$4:$V$28)</f>
        <v/>
      </c>
      <c r="U7" s="79">
        <f>SUMPRODUCT(--(Scenarios!$C$3:$C$27=TRUE()),Scenarios!$V$3:$V$27,'09_Phase_Factors'!$W$4:$W$28)</f>
        <v/>
      </c>
      <c r="V7" s="79">
        <f>SUMPRODUCT(--(Scenarios!$C$3:$C$27=TRUE()),Scenarios!$V$3:$V$27,'09_Phase_Factors'!$X$4:$X$28)</f>
        <v/>
      </c>
      <c r="W7" s="79">
        <f>SUMPRODUCT(--(Scenarios!$C$3:$C$27=TRUE()),Scenarios!$V$3:$V$27,'09_Phase_Factors'!$Y$4:$Y$28)</f>
        <v/>
      </c>
      <c r="X7" s="79">
        <f>SUMPRODUCT(--(Scenarios!$C$3:$C$27=TRUE()),Scenarios!$V$3:$V$27,'09_Phase_Factors'!$Z$4:$Z$28)</f>
        <v/>
      </c>
      <c r="Y7" s="79">
        <f>SUMPRODUCT(--(Scenarios!$C$3:$C$27=TRUE()),Scenarios!$V$3:$V$27,'09_Phase_Factors'!$AA$4:$AA$28)</f>
        <v/>
      </c>
      <c r="Z7" s="79">
        <f>SUMPRODUCT(--(Scenarios!$C$3:$C$27=TRUE()),Scenarios!$V$3:$V$27,'09_Phase_Factors'!$AB$4:$AB$28)</f>
        <v/>
      </c>
      <c r="AA7" s="79">
        <f>SUMPRODUCT(--(Scenarios!$C$3:$C$27=TRUE()),Scenarios!$V$3:$V$27,'09_Phase_Factors'!$AC$4:$AC$28)</f>
        <v/>
      </c>
      <c r="AB7" s="79">
        <f>SUMPRODUCT(--(Scenarios!$C$3:$C$27=TRUE()),Scenarios!$V$3:$V$27,'09_Phase_Factors'!$AD$4:$AD$28)</f>
        <v/>
      </c>
      <c r="AC7" s="79">
        <f>SUMPRODUCT(--(Scenarios!$C$3:$C$27=TRUE()),Scenarios!$V$3:$V$27,'09_Phase_Factors'!$AE$4:$AE$28)</f>
        <v/>
      </c>
      <c r="AD7" s="79">
        <f>SUMPRODUCT(--(Scenarios!$C$3:$C$27=TRUE()),Scenarios!$V$3:$V$27,'09_Phase_Factors'!$AF$4:$AF$28)</f>
        <v/>
      </c>
      <c r="AE7" s="79">
        <f>SUMPRODUCT(--(Scenarios!$C$3:$C$27=TRUE()),Scenarios!$V$3:$V$27,'09_Phase_Factors'!$AG$4:$AG$28)</f>
        <v/>
      </c>
    </row>
    <row r="8" ht="15" customHeight="1" s="106">
      <c r="A8" s="23" t="inlineStr">
        <is>
          <t>Annual residential units (new delivery)</t>
        </is>
      </c>
      <c r="B8" s="79">
        <f>SUMPRODUCT(--(Scenarios!$C$3:$C$27=TRUE()),Scenarios!$U$3:$U$27,'09_Phase_Factors'!$D$30:$D$54)</f>
        <v/>
      </c>
      <c r="C8" s="79">
        <f>SUMPRODUCT(--(Scenarios!$C$3:$C$27=TRUE()),Scenarios!$U$3:$U$27,'09_Phase_Factors'!$E$30:$E$54)</f>
        <v/>
      </c>
      <c r="D8" s="79">
        <f>SUMPRODUCT(--(Scenarios!$C$3:$C$27=TRUE()),Scenarios!$U$3:$U$27,'09_Phase_Factors'!$F$30:$F$54)</f>
        <v/>
      </c>
      <c r="E8" s="79">
        <f>SUMPRODUCT(--(Scenarios!$C$3:$C$27=TRUE()),Scenarios!$U$3:$U$27,'09_Phase_Factors'!$G$30:$G$54)</f>
        <v/>
      </c>
      <c r="F8" s="79">
        <f>SUMPRODUCT(--(Scenarios!$C$3:$C$27=TRUE()),Scenarios!$U$3:$U$27,'09_Phase_Factors'!$H$30:$H$54)</f>
        <v/>
      </c>
      <c r="G8" s="79">
        <f>SUMPRODUCT(--(Scenarios!$C$3:$C$27=TRUE()),Scenarios!$U$3:$U$27,'09_Phase_Factors'!$I$30:$I$54)</f>
        <v/>
      </c>
      <c r="H8" s="79">
        <f>SUMPRODUCT(--(Scenarios!$C$3:$C$27=TRUE()),Scenarios!$U$3:$U$27,'09_Phase_Factors'!$J$30:$J$54)</f>
        <v/>
      </c>
      <c r="I8" s="79">
        <f>SUMPRODUCT(--(Scenarios!$C$3:$C$27=TRUE()),Scenarios!$U$3:$U$27,'09_Phase_Factors'!$K$30:$K$54)</f>
        <v/>
      </c>
      <c r="J8" s="79">
        <f>SUMPRODUCT(--(Scenarios!$C$3:$C$27=TRUE()),Scenarios!$U$3:$U$27,'09_Phase_Factors'!$L$30:$L$54)</f>
        <v/>
      </c>
      <c r="K8" s="79">
        <f>SUMPRODUCT(--(Scenarios!$C$3:$C$27=TRUE()),Scenarios!$U$3:$U$27,'09_Phase_Factors'!$M$30:$M$54)</f>
        <v/>
      </c>
      <c r="L8" s="79">
        <f>SUMPRODUCT(--(Scenarios!$C$3:$C$27=TRUE()),Scenarios!$U$3:$U$27,'09_Phase_Factors'!$N$30:$N$54)</f>
        <v/>
      </c>
      <c r="M8" s="79">
        <f>SUMPRODUCT(--(Scenarios!$C$3:$C$27=TRUE()),Scenarios!$U$3:$U$27,'09_Phase_Factors'!$O$30:$O$54)</f>
        <v/>
      </c>
      <c r="N8" s="79">
        <f>SUMPRODUCT(--(Scenarios!$C$3:$C$27=TRUE()),Scenarios!$U$3:$U$27,'09_Phase_Factors'!$P$30:$P$54)</f>
        <v/>
      </c>
      <c r="O8" s="79">
        <f>SUMPRODUCT(--(Scenarios!$C$3:$C$27=TRUE()),Scenarios!$U$3:$U$27,'09_Phase_Factors'!$Q$30:$Q$54)</f>
        <v/>
      </c>
      <c r="P8" s="79">
        <f>SUMPRODUCT(--(Scenarios!$C$3:$C$27=TRUE()),Scenarios!$U$3:$U$27,'09_Phase_Factors'!$R$30:$R$54)</f>
        <v/>
      </c>
      <c r="Q8" s="79">
        <f>SUMPRODUCT(--(Scenarios!$C$3:$C$27=TRUE()),Scenarios!$U$3:$U$27,'09_Phase_Factors'!$S$30:$S$54)</f>
        <v/>
      </c>
      <c r="R8" s="79">
        <f>SUMPRODUCT(--(Scenarios!$C$3:$C$27=TRUE()),Scenarios!$U$3:$U$27,'09_Phase_Factors'!$T$30:$T$54)</f>
        <v/>
      </c>
      <c r="S8" s="79">
        <f>SUMPRODUCT(--(Scenarios!$C$3:$C$27=TRUE()),Scenarios!$U$3:$U$27,'09_Phase_Factors'!$U$30:$U$54)</f>
        <v/>
      </c>
      <c r="T8" s="79">
        <f>SUMPRODUCT(--(Scenarios!$C$3:$C$27=TRUE()),Scenarios!$U$3:$U$27,'09_Phase_Factors'!$V$30:$V$54)</f>
        <v/>
      </c>
      <c r="U8" s="79">
        <f>SUMPRODUCT(--(Scenarios!$C$3:$C$27=TRUE()),Scenarios!$U$3:$U$27,'09_Phase_Factors'!$W$30:$W$54)</f>
        <v/>
      </c>
      <c r="V8" s="79">
        <f>SUMPRODUCT(--(Scenarios!$C$3:$C$27=TRUE()),Scenarios!$U$3:$U$27,'09_Phase_Factors'!$X$30:$X$54)</f>
        <v/>
      </c>
      <c r="W8" s="79">
        <f>SUMPRODUCT(--(Scenarios!$C$3:$C$27=TRUE()),Scenarios!$U$3:$U$27,'09_Phase_Factors'!$Y$30:$Y$54)</f>
        <v/>
      </c>
      <c r="X8" s="79">
        <f>SUMPRODUCT(--(Scenarios!$C$3:$C$27=TRUE()),Scenarios!$U$3:$U$27,'09_Phase_Factors'!$Z$30:$Z$54)</f>
        <v/>
      </c>
      <c r="Y8" s="79">
        <f>SUMPRODUCT(--(Scenarios!$C$3:$C$27=TRUE()),Scenarios!$U$3:$U$27,'09_Phase_Factors'!$AA$30:$AA$54)</f>
        <v/>
      </c>
      <c r="Z8" s="79">
        <f>SUMPRODUCT(--(Scenarios!$C$3:$C$27=TRUE()),Scenarios!$U$3:$U$27,'09_Phase_Factors'!$AB$30:$AB$54)</f>
        <v/>
      </c>
      <c r="AA8" s="79">
        <f>SUMPRODUCT(--(Scenarios!$C$3:$C$27=TRUE()),Scenarios!$U$3:$U$27,'09_Phase_Factors'!$AC$30:$AC$54)</f>
        <v/>
      </c>
      <c r="AB8" s="79">
        <f>SUMPRODUCT(--(Scenarios!$C$3:$C$27=TRUE()),Scenarios!$U$3:$U$27,'09_Phase_Factors'!$AD$30:$AD$54)</f>
        <v/>
      </c>
      <c r="AC8" s="79">
        <f>SUMPRODUCT(--(Scenarios!$C$3:$C$27=TRUE()),Scenarios!$U$3:$U$27,'09_Phase_Factors'!$AE$30:$AE$54)</f>
        <v/>
      </c>
      <c r="AD8" s="79">
        <f>SUMPRODUCT(--(Scenarios!$C$3:$C$27=TRUE()),Scenarios!$U$3:$U$27,'09_Phase_Factors'!$AF$30:$AF$54)</f>
        <v/>
      </c>
      <c r="AE8" s="79">
        <f>SUMPRODUCT(--(Scenarios!$C$3:$C$27=TRUE()),Scenarios!$U$3:$U$27,'09_Phase_Factors'!$AG$30:$AG$54)</f>
        <v/>
      </c>
    </row>
    <row r="9" ht="15" customHeight="1" s="106">
      <c r="A9" s="23" t="inlineStr">
        <is>
          <t>Cumulative residential units (present)</t>
        </is>
      </c>
      <c r="B9" s="79">
        <f>SUMPRODUCT(--(Scenarios!$C$3:$C$27=TRUE()),Scenarios!$U$3:$U$27,'09_Phase_Factors'!$D$4:$D$28)</f>
        <v/>
      </c>
      <c r="C9" s="79">
        <f>SUMPRODUCT(--(Scenarios!$C$3:$C$27=TRUE()),Scenarios!$U$3:$U$27,'09_Phase_Factors'!$E$4:$E$28)</f>
        <v/>
      </c>
      <c r="D9" s="79">
        <f>SUMPRODUCT(--(Scenarios!$C$3:$C$27=TRUE()),Scenarios!$U$3:$U$27,'09_Phase_Factors'!$F$4:$F$28)</f>
        <v/>
      </c>
      <c r="E9" s="79">
        <f>SUMPRODUCT(--(Scenarios!$C$3:$C$27=TRUE()),Scenarios!$U$3:$U$27,'09_Phase_Factors'!$G$4:$G$28)</f>
        <v/>
      </c>
      <c r="F9" s="79">
        <f>SUMPRODUCT(--(Scenarios!$C$3:$C$27=TRUE()),Scenarios!$U$3:$U$27,'09_Phase_Factors'!$H$4:$H$28)</f>
        <v/>
      </c>
      <c r="G9" s="79">
        <f>SUMPRODUCT(--(Scenarios!$C$3:$C$27=TRUE()),Scenarios!$U$3:$U$27,'09_Phase_Factors'!$I$4:$I$28)</f>
        <v/>
      </c>
      <c r="H9" s="79">
        <f>SUMPRODUCT(--(Scenarios!$C$3:$C$27=TRUE()),Scenarios!$U$3:$U$27,'09_Phase_Factors'!$J$4:$J$28)</f>
        <v/>
      </c>
      <c r="I9" s="79">
        <f>SUMPRODUCT(--(Scenarios!$C$3:$C$27=TRUE()),Scenarios!$U$3:$U$27,'09_Phase_Factors'!$K$4:$K$28)</f>
        <v/>
      </c>
      <c r="J9" s="79">
        <f>SUMPRODUCT(--(Scenarios!$C$3:$C$27=TRUE()),Scenarios!$U$3:$U$27,'09_Phase_Factors'!$L$4:$L$28)</f>
        <v/>
      </c>
      <c r="K9" s="79">
        <f>SUMPRODUCT(--(Scenarios!$C$3:$C$27=TRUE()),Scenarios!$U$3:$U$27,'09_Phase_Factors'!$M$4:$M$28)</f>
        <v/>
      </c>
      <c r="L9" s="79">
        <f>SUMPRODUCT(--(Scenarios!$C$3:$C$27=TRUE()),Scenarios!$U$3:$U$27,'09_Phase_Factors'!$N$4:$N$28)</f>
        <v/>
      </c>
      <c r="M9" s="79">
        <f>SUMPRODUCT(--(Scenarios!$C$3:$C$27=TRUE()),Scenarios!$U$3:$U$27,'09_Phase_Factors'!$O$4:$O$28)</f>
        <v/>
      </c>
      <c r="N9" s="79">
        <f>SUMPRODUCT(--(Scenarios!$C$3:$C$27=TRUE()),Scenarios!$U$3:$U$27,'09_Phase_Factors'!$P$4:$P$28)</f>
        <v/>
      </c>
      <c r="O9" s="79">
        <f>SUMPRODUCT(--(Scenarios!$C$3:$C$27=TRUE()),Scenarios!$U$3:$U$27,'09_Phase_Factors'!$Q$4:$Q$28)</f>
        <v/>
      </c>
      <c r="P9" s="79">
        <f>SUMPRODUCT(--(Scenarios!$C$3:$C$27=TRUE()),Scenarios!$U$3:$U$27,'09_Phase_Factors'!$R$4:$R$28)</f>
        <v/>
      </c>
      <c r="Q9" s="79">
        <f>SUMPRODUCT(--(Scenarios!$C$3:$C$27=TRUE()),Scenarios!$U$3:$U$27,'09_Phase_Factors'!$S$4:$S$28)</f>
        <v/>
      </c>
      <c r="R9" s="79">
        <f>SUMPRODUCT(--(Scenarios!$C$3:$C$27=TRUE()),Scenarios!$U$3:$U$27,'09_Phase_Factors'!$T$4:$T$28)</f>
        <v/>
      </c>
      <c r="S9" s="79">
        <f>SUMPRODUCT(--(Scenarios!$C$3:$C$27=TRUE()),Scenarios!$U$3:$U$27,'09_Phase_Factors'!$U$4:$U$28)</f>
        <v/>
      </c>
      <c r="T9" s="79">
        <f>SUMPRODUCT(--(Scenarios!$C$3:$C$27=TRUE()),Scenarios!$U$3:$U$27,'09_Phase_Factors'!$V$4:$V$28)</f>
        <v/>
      </c>
      <c r="U9" s="79">
        <f>SUMPRODUCT(--(Scenarios!$C$3:$C$27=TRUE()),Scenarios!$U$3:$U$27,'09_Phase_Factors'!$W$4:$W$28)</f>
        <v/>
      </c>
      <c r="V9" s="79">
        <f>SUMPRODUCT(--(Scenarios!$C$3:$C$27=TRUE()),Scenarios!$U$3:$U$27,'09_Phase_Factors'!$X$4:$X$28)</f>
        <v/>
      </c>
      <c r="W9" s="79">
        <f>SUMPRODUCT(--(Scenarios!$C$3:$C$27=TRUE()),Scenarios!$U$3:$U$27,'09_Phase_Factors'!$Y$4:$Y$28)</f>
        <v/>
      </c>
      <c r="X9" s="79">
        <f>SUMPRODUCT(--(Scenarios!$C$3:$C$27=TRUE()),Scenarios!$U$3:$U$27,'09_Phase_Factors'!$Z$4:$Z$28)</f>
        <v/>
      </c>
      <c r="Y9" s="79">
        <f>SUMPRODUCT(--(Scenarios!$C$3:$C$27=TRUE()),Scenarios!$U$3:$U$27,'09_Phase_Factors'!$AA$4:$AA$28)</f>
        <v/>
      </c>
      <c r="Z9" s="79">
        <f>SUMPRODUCT(--(Scenarios!$C$3:$C$27=TRUE()),Scenarios!$U$3:$U$27,'09_Phase_Factors'!$AB$4:$AB$28)</f>
        <v/>
      </c>
      <c r="AA9" s="79">
        <f>SUMPRODUCT(--(Scenarios!$C$3:$C$27=TRUE()),Scenarios!$U$3:$U$27,'09_Phase_Factors'!$AC$4:$AC$28)</f>
        <v/>
      </c>
      <c r="AB9" s="79">
        <f>SUMPRODUCT(--(Scenarios!$C$3:$C$27=TRUE()),Scenarios!$U$3:$U$27,'09_Phase_Factors'!$AD$4:$AD$28)</f>
        <v/>
      </c>
      <c r="AC9" s="79">
        <f>SUMPRODUCT(--(Scenarios!$C$3:$C$27=TRUE()),Scenarios!$U$3:$U$27,'09_Phase_Factors'!$AE$4:$AE$28)</f>
        <v/>
      </c>
      <c r="AD9" s="79">
        <f>SUMPRODUCT(--(Scenarios!$C$3:$C$27=TRUE()),Scenarios!$U$3:$U$27,'09_Phase_Factors'!$AF$4:$AF$28)</f>
        <v/>
      </c>
      <c r="AE9" s="79">
        <f>SUMPRODUCT(--(Scenarios!$C$3:$C$27=TRUE()),Scenarios!$U$3:$U$27,'09_Phase_Factors'!$AG$4:$AG$28)</f>
        <v/>
      </c>
    </row>
    <row r="10" ht="15" customHeight="1" s="106">
      <c r="A10" s="23" t="inlineStr">
        <is>
          <t>Cumulative captured building sqft (present)</t>
        </is>
      </c>
      <c r="B10" s="79">
        <f>SUMPRODUCT(--(Scenarios!$C$3:$C$27=TRUE()),Scenarios!$T$3:$T$27,'09_Phase_Factors'!$D$4:$D$28)</f>
        <v/>
      </c>
      <c r="C10" s="79">
        <f>SUMPRODUCT(--(Scenarios!$C$3:$C$27=TRUE()),Scenarios!$T$3:$T$27,'09_Phase_Factors'!$E$4:$E$28)</f>
        <v/>
      </c>
      <c r="D10" s="79">
        <f>SUMPRODUCT(--(Scenarios!$C$3:$C$27=TRUE()),Scenarios!$T$3:$T$27,'09_Phase_Factors'!$F$4:$F$28)</f>
        <v/>
      </c>
      <c r="E10" s="79">
        <f>SUMPRODUCT(--(Scenarios!$C$3:$C$27=TRUE()),Scenarios!$T$3:$T$27,'09_Phase_Factors'!$G$4:$G$28)</f>
        <v/>
      </c>
      <c r="F10" s="79">
        <f>SUMPRODUCT(--(Scenarios!$C$3:$C$27=TRUE()),Scenarios!$T$3:$T$27,'09_Phase_Factors'!$H$4:$H$28)</f>
        <v/>
      </c>
      <c r="G10" s="79">
        <f>SUMPRODUCT(--(Scenarios!$C$3:$C$27=TRUE()),Scenarios!$T$3:$T$27,'09_Phase_Factors'!$I$4:$I$28)</f>
        <v/>
      </c>
      <c r="H10" s="79">
        <f>SUMPRODUCT(--(Scenarios!$C$3:$C$27=TRUE()),Scenarios!$T$3:$T$27,'09_Phase_Factors'!$J$4:$J$28)</f>
        <v/>
      </c>
      <c r="I10" s="79">
        <f>SUMPRODUCT(--(Scenarios!$C$3:$C$27=TRUE()),Scenarios!$T$3:$T$27,'09_Phase_Factors'!$K$4:$K$28)</f>
        <v/>
      </c>
      <c r="J10" s="79">
        <f>SUMPRODUCT(--(Scenarios!$C$3:$C$27=TRUE()),Scenarios!$T$3:$T$27,'09_Phase_Factors'!$L$4:$L$28)</f>
        <v/>
      </c>
      <c r="K10" s="79">
        <f>SUMPRODUCT(--(Scenarios!$C$3:$C$27=TRUE()),Scenarios!$T$3:$T$27,'09_Phase_Factors'!$M$4:$M$28)</f>
        <v/>
      </c>
      <c r="L10" s="79">
        <f>SUMPRODUCT(--(Scenarios!$C$3:$C$27=TRUE()),Scenarios!$T$3:$T$27,'09_Phase_Factors'!$N$4:$N$28)</f>
        <v/>
      </c>
      <c r="M10" s="79">
        <f>SUMPRODUCT(--(Scenarios!$C$3:$C$27=TRUE()),Scenarios!$T$3:$T$27,'09_Phase_Factors'!$O$4:$O$28)</f>
        <v/>
      </c>
      <c r="N10" s="79">
        <f>SUMPRODUCT(--(Scenarios!$C$3:$C$27=TRUE()),Scenarios!$T$3:$T$27,'09_Phase_Factors'!$P$4:$P$28)</f>
        <v/>
      </c>
      <c r="O10" s="79">
        <f>SUMPRODUCT(--(Scenarios!$C$3:$C$27=TRUE()),Scenarios!$T$3:$T$27,'09_Phase_Factors'!$Q$4:$Q$28)</f>
        <v/>
      </c>
      <c r="P10" s="79">
        <f>SUMPRODUCT(--(Scenarios!$C$3:$C$27=TRUE()),Scenarios!$T$3:$T$27,'09_Phase_Factors'!$R$4:$R$28)</f>
        <v/>
      </c>
      <c r="Q10" s="79">
        <f>SUMPRODUCT(--(Scenarios!$C$3:$C$27=TRUE()),Scenarios!$T$3:$T$27,'09_Phase_Factors'!$S$4:$S$28)</f>
        <v/>
      </c>
      <c r="R10" s="79">
        <f>SUMPRODUCT(--(Scenarios!$C$3:$C$27=TRUE()),Scenarios!$T$3:$T$27,'09_Phase_Factors'!$T$4:$T$28)</f>
        <v/>
      </c>
      <c r="S10" s="79">
        <f>SUMPRODUCT(--(Scenarios!$C$3:$C$27=TRUE()),Scenarios!$T$3:$T$27,'09_Phase_Factors'!$U$4:$U$28)</f>
        <v/>
      </c>
      <c r="T10" s="79">
        <f>SUMPRODUCT(--(Scenarios!$C$3:$C$27=TRUE()),Scenarios!$T$3:$T$27,'09_Phase_Factors'!$V$4:$V$28)</f>
        <v/>
      </c>
      <c r="U10" s="79">
        <f>SUMPRODUCT(--(Scenarios!$C$3:$C$27=TRUE()),Scenarios!$T$3:$T$27,'09_Phase_Factors'!$W$4:$W$28)</f>
        <v/>
      </c>
      <c r="V10" s="79">
        <f>SUMPRODUCT(--(Scenarios!$C$3:$C$27=TRUE()),Scenarios!$T$3:$T$27,'09_Phase_Factors'!$X$4:$X$28)</f>
        <v/>
      </c>
      <c r="W10" s="79">
        <f>SUMPRODUCT(--(Scenarios!$C$3:$C$27=TRUE()),Scenarios!$T$3:$T$27,'09_Phase_Factors'!$Y$4:$Y$28)</f>
        <v/>
      </c>
      <c r="X10" s="79">
        <f>SUMPRODUCT(--(Scenarios!$C$3:$C$27=TRUE()),Scenarios!$T$3:$T$27,'09_Phase_Factors'!$Z$4:$Z$28)</f>
        <v/>
      </c>
      <c r="Y10" s="79">
        <f>SUMPRODUCT(--(Scenarios!$C$3:$C$27=TRUE()),Scenarios!$T$3:$T$27,'09_Phase_Factors'!$AA$4:$AA$28)</f>
        <v/>
      </c>
      <c r="Z10" s="79">
        <f>SUMPRODUCT(--(Scenarios!$C$3:$C$27=TRUE()),Scenarios!$T$3:$T$27,'09_Phase_Factors'!$AB$4:$AB$28)</f>
        <v/>
      </c>
      <c r="AA10" s="79">
        <f>SUMPRODUCT(--(Scenarios!$C$3:$C$27=TRUE()),Scenarios!$T$3:$T$27,'09_Phase_Factors'!$AC$4:$AC$28)</f>
        <v/>
      </c>
      <c r="AB10" s="79">
        <f>SUMPRODUCT(--(Scenarios!$C$3:$C$27=TRUE()),Scenarios!$T$3:$T$27,'09_Phase_Factors'!$AD$4:$AD$28)</f>
        <v/>
      </c>
      <c r="AC10" s="79">
        <f>SUMPRODUCT(--(Scenarios!$C$3:$C$27=TRUE()),Scenarios!$T$3:$T$27,'09_Phase_Factors'!$AE$4:$AE$28)</f>
        <v/>
      </c>
      <c r="AD10" s="79">
        <f>SUMPRODUCT(--(Scenarios!$C$3:$C$27=TRUE()),Scenarios!$T$3:$T$27,'09_Phase_Factors'!$AF$4:$AF$28)</f>
        <v/>
      </c>
      <c r="AE10" s="79">
        <f>SUMPRODUCT(--(Scenarios!$C$3:$C$27=TRUE()),Scenarios!$T$3:$T$27,'09_Phase_Factors'!$AG$4:$AG$28)</f>
        <v/>
      </c>
    </row>
    <row r="11" ht="15" customHeight="1" s="106">
      <c r="A11" s="23" t="inlineStr">
        <is>
          <t>Cumulative captured AV (present, no growth)</t>
        </is>
      </c>
      <c r="B11" s="80">
        <f>SUMPRODUCT(--(Scenarios!$C$3:$C$27=TRUE()),Scenarios!$P$3:$P$27,'09_Phase_Factors'!$D$4:$D$28)</f>
        <v/>
      </c>
      <c r="C11" s="80">
        <f>SUMPRODUCT(--(Scenarios!$C$3:$C$27=TRUE()),Scenarios!$P$3:$P$27,'09_Phase_Factors'!$E$4:$E$28)</f>
        <v/>
      </c>
      <c r="D11" s="80">
        <f>SUMPRODUCT(--(Scenarios!$C$3:$C$27=TRUE()),Scenarios!$P$3:$P$27,'09_Phase_Factors'!$F$4:$F$28)</f>
        <v/>
      </c>
      <c r="E11" s="80">
        <f>SUMPRODUCT(--(Scenarios!$C$3:$C$27=TRUE()),Scenarios!$P$3:$P$27,'09_Phase_Factors'!$G$4:$G$28)</f>
        <v/>
      </c>
      <c r="F11" s="80">
        <f>SUMPRODUCT(--(Scenarios!$C$3:$C$27=TRUE()),Scenarios!$P$3:$P$27,'09_Phase_Factors'!$H$4:$H$28)</f>
        <v/>
      </c>
      <c r="G11" s="80">
        <f>SUMPRODUCT(--(Scenarios!$C$3:$C$27=TRUE()),Scenarios!$P$3:$P$27,'09_Phase_Factors'!$I$4:$I$28)</f>
        <v/>
      </c>
      <c r="H11" s="80">
        <f>SUMPRODUCT(--(Scenarios!$C$3:$C$27=TRUE()),Scenarios!$P$3:$P$27,'09_Phase_Factors'!$J$4:$J$28)</f>
        <v/>
      </c>
      <c r="I11" s="80">
        <f>SUMPRODUCT(--(Scenarios!$C$3:$C$27=TRUE()),Scenarios!$P$3:$P$27,'09_Phase_Factors'!$K$4:$K$28)</f>
        <v/>
      </c>
      <c r="J11" s="80">
        <f>SUMPRODUCT(--(Scenarios!$C$3:$C$27=TRUE()),Scenarios!$P$3:$P$27,'09_Phase_Factors'!$L$4:$L$28)</f>
        <v/>
      </c>
      <c r="K11" s="80">
        <f>SUMPRODUCT(--(Scenarios!$C$3:$C$27=TRUE()),Scenarios!$P$3:$P$27,'09_Phase_Factors'!$M$4:$M$28)</f>
        <v/>
      </c>
      <c r="L11" s="80">
        <f>SUMPRODUCT(--(Scenarios!$C$3:$C$27=TRUE()),Scenarios!$P$3:$P$27,'09_Phase_Factors'!$N$4:$N$28)</f>
        <v/>
      </c>
      <c r="M11" s="80">
        <f>SUMPRODUCT(--(Scenarios!$C$3:$C$27=TRUE()),Scenarios!$P$3:$P$27,'09_Phase_Factors'!$O$4:$O$28)</f>
        <v/>
      </c>
      <c r="N11" s="80">
        <f>SUMPRODUCT(--(Scenarios!$C$3:$C$27=TRUE()),Scenarios!$P$3:$P$27,'09_Phase_Factors'!$P$4:$P$28)</f>
        <v/>
      </c>
      <c r="O11" s="80">
        <f>SUMPRODUCT(--(Scenarios!$C$3:$C$27=TRUE()),Scenarios!$P$3:$P$27,'09_Phase_Factors'!$Q$4:$Q$28)</f>
        <v/>
      </c>
      <c r="P11" s="80">
        <f>SUMPRODUCT(--(Scenarios!$C$3:$C$27=TRUE()),Scenarios!$P$3:$P$27,'09_Phase_Factors'!$R$4:$R$28)</f>
        <v/>
      </c>
      <c r="Q11" s="80">
        <f>SUMPRODUCT(--(Scenarios!$C$3:$C$27=TRUE()),Scenarios!$P$3:$P$27,'09_Phase_Factors'!$S$4:$S$28)</f>
        <v/>
      </c>
      <c r="R11" s="80">
        <f>SUMPRODUCT(--(Scenarios!$C$3:$C$27=TRUE()),Scenarios!$P$3:$P$27,'09_Phase_Factors'!$T$4:$T$28)</f>
        <v/>
      </c>
      <c r="S11" s="80">
        <f>SUMPRODUCT(--(Scenarios!$C$3:$C$27=TRUE()),Scenarios!$P$3:$P$27,'09_Phase_Factors'!$U$4:$U$28)</f>
        <v/>
      </c>
      <c r="T11" s="80">
        <f>SUMPRODUCT(--(Scenarios!$C$3:$C$27=TRUE()),Scenarios!$P$3:$P$27,'09_Phase_Factors'!$V$4:$V$28)</f>
        <v/>
      </c>
      <c r="U11" s="80">
        <f>SUMPRODUCT(--(Scenarios!$C$3:$C$27=TRUE()),Scenarios!$P$3:$P$27,'09_Phase_Factors'!$W$4:$W$28)</f>
        <v/>
      </c>
      <c r="V11" s="80">
        <f>SUMPRODUCT(--(Scenarios!$C$3:$C$27=TRUE()),Scenarios!$P$3:$P$27,'09_Phase_Factors'!$X$4:$X$28)</f>
        <v/>
      </c>
      <c r="W11" s="80">
        <f>SUMPRODUCT(--(Scenarios!$C$3:$C$27=TRUE()),Scenarios!$P$3:$P$27,'09_Phase_Factors'!$Y$4:$Y$28)</f>
        <v/>
      </c>
      <c r="X11" s="80">
        <f>SUMPRODUCT(--(Scenarios!$C$3:$C$27=TRUE()),Scenarios!$P$3:$P$27,'09_Phase_Factors'!$Z$4:$Z$28)</f>
        <v/>
      </c>
      <c r="Y11" s="80">
        <f>SUMPRODUCT(--(Scenarios!$C$3:$C$27=TRUE()),Scenarios!$P$3:$P$27,'09_Phase_Factors'!$AA$4:$AA$28)</f>
        <v/>
      </c>
      <c r="Z11" s="80">
        <f>SUMPRODUCT(--(Scenarios!$C$3:$C$27=TRUE()),Scenarios!$P$3:$P$27,'09_Phase_Factors'!$AB$4:$AB$28)</f>
        <v/>
      </c>
      <c r="AA11" s="80">
        <f>SUMPRODUCT(--(Scenarios!$C$3:$C$27=TRUE()),Scenarios!$P$3:$P$27,'09_Phase_Factors'!$AC$4:$AC$28)</f>
        <v/>
      </c>
      <c r="AB11" s="80">
        <f>SUMPRODUCT(--(Scenarios!$C$3:$C$27=TRUE()),Scenarios!$P$3:$P$27,'09_Phase_Factors'!$AD$4:$AD$28)</f>
        <v/>
      </c>
      <c r="AC11" s="80">
        <f>SUMPRODUCT(--(Scenarios!$C$3:$C$27=TRUE()),Scenarios!$P$3:$P$27,'09_Phase_Factors'!$AE$4:$AE$28)</f>
        <v/>
      </c>
      <c r="AD11" s="80">
        <f>SUMPRODUCT(--(Scenarios!$C$3:$C$27=TRUE()),Scenarios!$P$3:$P$27,'09_Phase_Factors'!$AF$4:$AF$28)</f>
        <v/>
      </c>
      <c r="AE11" s="80">
        <f>SUMPRODUCT(--(Scenarios!$C$3:$C$27=TRUE()),Scenarios!$P$3:$P$27,'09_Phase_Factors'!$AG$4:$AG$28)</f>
        <v/>
      </c>
    </row>
    <row r="12" ht="15" customHeight="1" s="106">
      <c r="A12" s="23" t="inlineStr">
        <is>
          <t>Project annual taxable sales (origin)</t>
        </is>
      </c>
      <c r="B12" s="80">
        <f>SUMPRODUCT(--(Scenarios!$C$3:$C$27=TRUE()),Scenarios!$S$3:$S$27,'09_Phase_Factors'!$D$4:$D$28)*((1+'00_Inputs_Dashboard'!$B$14)^(1-1))</f>
        <v/>
      </c>
      <c r="C12" s="80">
        <f>SUMPRODUCT(--(Scenarios!$C$3:$C$27=TRUE()),Scenarios!$S$3:$S$27,'09_Phase_Factors'!$E$4:$E$28)*((1+'00_Inputs_Dashboard'!$B$14)^(2-1))</f>
        <v/>
      </c>
      <c r="D12" s="80">
        <f>SUMPRODUCT(--(Scenarios!$C$3:$C$27=TRUE()),Scenarios!$S$3:$S$27,'09_Phase_Factors'!$F$4:$F$28)*((1+'00_Inputs_Dashboard'!$B$14)^(3-1))</f>
        <v/>
      </c>
      <c r="E12" s="80">
        <f>SUMPRODUCT(--(Scenarios!$C$3:$C$27=TRUE()),Scenarios!$S$3:$S$27,'09_Phase_Factors'!$G$4:$G$28)*((1+'00_Inputs_Dashboard'!$B$14)^(4-1))</f>
        <v/>
      </c>
      <c r="F12" s="80">
        <f>SUMPRODUCT(--(Scenarios!$C$3:$C$27=TRUE()),Scenarios!$S$3:$S$27,'09_Phase_Factors'!$H$4:$H$28)*((1+'00_Inputs_Dashboard'!$B$14)^(5-1))</f>
        <v/>
      </c>
      <c r="G12" s="80">
        <f>SUMPRODUCT(--(Scenarios!$C$3:$C$27=TRUE()),Scenarios!$S$3:$S$27,'09_Phase_Factors'!$I$4:$I$28)*((1+'00_Inputs_Dashboard'!$B$14)^(6-1))</f>
        <v/>
      </c>
      <c r="H12" s="80">
        <f>SUMPRODUCT(--(Scenarios!$C$3:$C$27=TRUE()),Scenarios!$S$3:$S$27,'09_Phase_Factors'!$J$4:$J$28)*((1+'00_Inputs_Dashboard'!$B$14)^(7-1))</f>
        <v/>
      </c>
      <c r="I12" s="80">
        <f>SUMPRODUCT(--(Scenarios!$C$3:$C$27=TRUE()),Scenarios!$S$3:$S$27,'09_Phase_Factors'!$K$4:$K$28)*((1+'00_Inputs_Dashboard'!$B$14)^(8-1))</f>
        <v/>
      </c>
      <c r="J12" s="80">
        <f>SUMPRODUCT(--(Scenarios!$C$3:$C$27=TRUE()),Scenarios!$S$3:$S$27,'09_Phase_Factors'!$L$4:$L$28)*((1+'00_Inputs_Dashboard'!$B$14)^(9-1))</f>
        <v/>
      </c>
      <c r="K12" s="80">
        <f>SUMPRODUCT(--(Scenarios!$C$3:$C$27=TRUE()),Scenarios!$S$3:$S$27,'09_Phase_Factors'!$M$4:$M$28)*((1+'00_Inputs_Dashboard'!$B$14)^(10-1))</f>
        <v/>
      </c>
      <c r="L12" s="80">
        <f>SUMPRODUCT(--(Scenarios!$C$3:$C$27=TRUE()),Scenarios!$S$3:$S$27,'09_Phase_Factors'!$N$4:$N$28)*((1+'00_Inputs_Dashboard'!$B$14)^(11-1))</f>
        <v/>
      </c>
      <c r="M12" s="80">
        <f>SUMPRODUCT(--(Scenarios!$C$3:$C$27=TRUE()),Scenarios!$S$3:$S$27,'09_Phase_Factors'!$O$4:$O$28)*((1+'00_Inputs_Dashboard'!$B$14)^(12-1))</f>
        <v/>
      </c>
      <c r="N12" s="80">
        <f>SUMPRODUCT(--(Scenarios!$C$3:$C$27=TRUE()),Scenarios!$S$3:$S$27,'09_Phase_Factors'!$P$4:$P$28)*((1+'00_Inputs_Dashboard'!$B$14)^(13-1))</f>
        <v/>
      </c>
      <c r="O12" s="80">
        <f>SUMPRODUCT(--(Scenarios!$C$3:$C$27=TRUE()),Scenarios!$S$3:$S$27,'09_Phase_Factors'!$Q$4:$Q$28)*((1+'00_Inputs_Dashboard'!$B$14)^(14-1))</f>
        <v/>
      </c>
      <c r="P12" s="80">
        <f>SUMPRODUCT(--(Scenarios!$C$3:$C$27=TRUE()),Scenarios!$S$3:$S$27,'09_Phase_Factors'!$R$4:$R$28)*((1+'00_Inputs_Dashboard'!$B$14)^(15-1))</f>
        <v/>
      </c>
      <c r="Q12" s="80">
        <f>SUMPRODUCT(--(Scenarios!$C$3:$C$27=TRUE()),Scenarios!$S$3:$S$27,'09_Phase_Factors'!$S$4:$S$28)*((1+'00_Inputs_Dashboard'!$B$14)^(16-1))</f>
        <v/>
      </c>
      <c r="R12" s="80">
        <f>SUMPRODUCT(--(Scenarios!$C$3:$C$27=TRUE()),Scenarios!$S$3:$S$27,'09_Phase_Factors'!$T$4:$T$28)*((1+'00_Inputs_Dashboard'!$B$14)^(17-1))</f>
        <v/>
      </c>
      <c r="S12" s="80">
        <f>SUMPRODUCT(--(Scenarios!$C$3:$C$27=TRUE()),Scenarios!$S$3:$S$27,'09_Phase_Factors'!$U$4:$U$28)*((1+'00_Inputs_Dashboard'!$B$14)^(18-1))</f>
        <v/>
      </c>
      <c r="T12" s="80">
        <f>SUMPRODUCT(--(Scenarios!$C$3:$C$27=TRUE()),Scenarios!$S$3:$S$27,'09_Phase_Factors'!$V$4:$V$28)*((1+'00_Inputs_Dashboard'!$B$14)^(19-1))</f>
        <v/>
      </c>
      <c r="U12" s="80">
        <f>SUMPRODUCT(--(Scenarios!$C$3:$C$27=TRUE()),Scenarios!$S$3:$S$27,'09_Phase_Factors'!$W$4:$W$28)*((1+'00_Inputs_Dashboard'!$B$14)^(20-1))</f>
        <v/>
      </c>
      <c r="V12" s="80">
        <f>SUMPRODUCT(--(Scenarios!$C$3:$C$27=TRUE()),Scenarios!$S$3:$S$27,'09_Phase_Factors'!$X$4:$X$28)*((1+'00_Inputs_Dashboard'!$B$14)^(21-1))</f>
        <v/>
      </c>
      <c r="W12" s="80">
        <f>SUMPRODUCT(--(Scenarios!$C$3:$C$27=TRUE()),Scenarios!$S$3:$S$27,'09_Phase_Factors'!$Y$4:$Y$28)*((1+'00_Inputs_Dashboard'!$B$14)^(22-1))</f>
        <v/>
      </c>
      <c r="X12" s="80">
        <f>SUMPRODUCT(--(Scenarios!$C$3:$C$27=TRUE()),Scenarios!$S$3:$S$27,'09_Phase_Factors'!$Z$4:$Z$28)*((1+'00_Inputs_Dashboard'!$B$14)^(23-1))</f>
        <v/>
      </c>
      <c r="Y12" s="80">
        <f>SUMPRODUCT(--(Scenarios!$C$3:$C$27=TRUE()),Scenarios!$S$3:$S$27,'09_Phase_Factors'!$AA$4:$AA$28)*((1+'00_Inputs_Dashboard'!$B$14)^(24-1))</f>
        <v/>
      </c>
      <c r="Z12" s="80">
        <f>SUMPRODUCT(--(Scenarios!$C$3:$C$27=TRUE()),Scenarios!$S$3:$S$27,'09_Phase_Factors'!$AB$4:$AB$28)*((1+'00_Inputs_Dashboard'!$B$14)^(25-1))</f>
        <v/>
      </c>
      <c r="AA12" s="80">
        <f>SUMPRODUCT(--(Scenarios!$C$3:$C$27=TRUE()),Scenarios!$S$3:$S$27,'09_Phase_Factors'!$AC$4:$AC$28)*((1+'00_Inputs_Dashboard'!$B$14)^(26-1))</f>
        <v/>
      </c>
      <c r="AB12" s="80">
        <f>SUMPRODUCT(--(Scenarios!$C$3:$C$27=TRUE()),Scenarios!$S$3:$S$27,'09_Phase_Factors'!$AD$4:$AD$28)*((1+'00_Inputs_Dashboard'!$B$14)^(27-1))</f>
        <v/>
      </c>
      <c r="AC12" s="80">
        <f>SUMPRODUCT(--(Scenarios!$C$3:$C$27=TRUE()),Scenarios!$S$3:$S$27,'09_Phase_Factors'!$AE$4:$AE$28)*((1+'00_Inputs_Dashboard'!$B$14)^(28-1))</f>
        <v/>
      </c>
      <c r="AD12" s="80">
        <f>SUMPRODUCT(--(Scenarios!$C$3:$C$27=TRUE()),Scenarios!$S$3:$S$27,'09_Phase_Factors'!$AF$4:$AF$28)*((1+'00_Inputs_Dashboard'!$B$14)^(29-1))</f>
        <v/>
      </c>
      <c r="AE12" s="80">
        <f>SUMPRODUCT(--(Scenarios!$C$3:$C$27=TRUE()),Scenarios!$S$3:$S$27,'09_Phase_Factors'!$AG$4:$AG$28)*((1+'00_Inputs_Dashboard'!$B$14)^(30-1))</f>
        <v/>
      </c>
    </row>
    <row r="13" ht="15" customHeight="1" s="106">
      <c r="A13" s="23" t="inlineStr">
        <is>
          <t xml:space="preserve">  └ Cumulative SFR units (present, residential-only)</t>
        </is>
      </c>
      <c r="B13" s="79">
        <f>SUMPRODUCT(--(Scenarios!$C$3:$C$27=TRUE()),--(((Scenarios!$D$3:$D$27="Single-Family Subdivision")+(Scenarios!$D$3:$D$27="Single-Family Urban / Patio")+(Scenarios!$D$3:$D$27="Townhome / Condo"))&gt;0),Scenarios!$U$3:$U$27,'09_Phase_Factors'!$D$4:$D$28)</f>
        <v/>
      </c>
      <c r="C13" s="79">
        <f>SUMPRODUCT(--(Scenarios!$C$3:$C$27=TRUE()),--(((Scenarios!$D$3:$D$27="Single-Family Subdivision")+(Scenarios!$D$3:$D$27="Single-Family Urban / Patio")+(Scenarios!$D$3:$D$27="Townhome / Condo"))&gt;0),Scenarios!$U$3:$U$27,'09_Phase_Factors'!$E$4:$E$28)</f>
        <v/>
      </c>
      <c r="D13" s="79">
        <f>SUMPRODUCT(--(Scenarios!$C$3:$C$27=TRUE()),--(((Scenarios!$D$3:$D$27="Single-Family Subdivision")+(Scenarios!$D$3:$D$27="Single-Family Urban / Patio")+(Scenarios!$D$3:$D$27="Townhome / Condo"))&gt;0),Scenarios!$U$3:$U$27,'09_Phase_Factors'!$F$4:$F$28)</f>
        <v/>
      </c>
      <c r="E13" s="79">
        <f>SUMPRODUCT(--(Scenarios!$C$3:$C$27=TRUE()),--(((Scenarios!$D$3:$D$27="Single-Family Subdivision")+(Scenarios!$D$3:$D$27="Single-Family Urban / Patio")+(Scenarios!$D$3:$D$27="Townhome / Condo"))&gt;0),Scenarios!$U$3:$U$27,'09_Phase_Factors'!$G$4:$G$28)</f>
        <v/>
      </c>
      <c r="F13" s="79">
        <f>SUMPRODUCT(--(Scenarios!$C$3:$C$27=TRUE()),--(((Scenarios!$D$3:$D$27="Single-Family Subdivision")+(Scenarios!$D$3:$D$27="Single-Family Urban / Patio")+(Scenarios!$D$3:$D$27="Townhome / Condo"))&gt;0),Scenarios!$U$3:$U$27,'09_Phase_Factors'!$H$4:$H$28)</f>
        <v/>
      </c>
      <c r="G13" s="79">
        <f>SUMPRODUCT(--(Scenarios!$C$3:$C$27=TRUE()),--(((Scenarios!$D$3:$D$27="Single-Family Subdivision")+(Scenarios!$D$3:$D$27="Single-Family Urban / Patio")+(Scenarios!$D$3:$D$27="Townhome / Condo"))&gt;0),Scenarios!$U$3:$U$27,'09_Phase_Factors'!$I$4:$I$28)</f>
        <v/>
      </c>
      <c r="H13" s="79">
        <f>SUMPRODUCT(--(Scenarios!$C$3:$C$27=TRUE()),--(((Scenarios!$D$3:$D$27="Single-Family Subdivision")+(Scenarios!$D$3:$D$27="Single-Family Urban / Patio")+(Scenarios!$D$3:$D$27="Townhome / Condo"))&gt;0),Scenarios!$U$3:$U$27,'09_Phase_Factors'!$J$4:$J$28)</f>
        <v/>
      </c>
      <c r="I13" s="79">
        <f>SUMPRODUCT(--(Scenarios!$C$3:$C$27=TRUE()),--(((Scenarios!$D$3:$D$27="Single-Family Subdivision")+(Scenarios!$D$3:$D$27="Single-Family Urban / Patio")+(Scenarios!$D$3:$D$27="Townhome / Condo"))&gt;0),Scenarios!$U$3:$U$27,'09_Phase_Factors'!$K$4:$K$28)</f>
        <v/>
      </c>
      <c r="J13" s="79">
        <f>SUMPRODUCT(--(Scenarios!$C$3:$C$27=TRUE()),--(((Scenarios!$D$3:$D$27="Single-Family Subdivision")+(Scenarios!$D$3:$D$27="Single-Family Urban / Patio")+(Scenarios!$D$3:$D$27="Townhome / Condo"))&gt;0),Scenarios!$U$3:$U$27,'09_Phase_Factors'!$L$4:$L$28)</f>
        <v/>
      </c>
      <c r="K13" s="79">
        <f>SUMPRODUCT(--(Scenarios!$C$3:$C$27=TRUE()),--(((Scenarios!$D$3:$D$27="Single-Family Subdivision")+(Scenarios!$D$3:$D$27="Single-Family Urban / Patio")+(Scenarios!$D$3:$D$27="Townhome / Condo"))&gt;0),Scenarios!$U$3:$U$27,'09_Phase_Factors'!$M$4:$M$28)</f>
        <v/>
      </c>
      <c r="L13" s="79">
        <f>SUMPRODUCT(--(Scenarios!$C$3:$C$27=TRUE()),--(((Scenarios!$D$3:$D$27="Single-Family Subdivision")+(Scenarios!$D$3:$D$27="Single-Family Urban / Patio")+(Scenarios!$D$3:$D$27="Townhome / Condo"))&gt;0),Scenarios!$U$3:$U$27,'09_Phase_Factors'!$N$4:$N$28)</f>
        <v/>
      </c>
      <c r="M13" s="79">
        <f>SUMPRODUCT(--(Scenarios!$C$3:$C$27=TRUE()),--(((Scenarios!$D$3:$D$27="Single-Family Subdivision")+(Scenarios!$D$3:$D$27="Single-Family Urban / Patio")+(Scenarios!$D$3:$D$27="Townhome / Condo"))&gt;0),Scenarios!$U$3:$U$27,'09_Phase_Factors'!$O$4:$O$28)</f>
        <v/>
      </c>
      <c r="N13" s="79">
        <f>SUMPRODUCT(--(Scenarios!$C$3:$C$27=TRUE()),--(((Scenarios!$D$3:$D$27="Single-Family Subdivision")+(Scenarios!$D$3:$D$27="Single-Family Urban / Patio")+(Scenarios!$D$3:$D$27="Townhome / Condo"))&gt;0),Scenarios!$U$3:$U$27,'09_Phase_Factors'!$P$4:$P$28)</f>
        <v/>
      </c>
      <c r="O13" s="79">
        <f>SUMPRODUCT(--(Scenarios!$C$3:$C$27=TRUE()),--(((Scenarios!$D$3:$D$27="Single-Family Subdivision")+(Scenarios!$D$3:$D$27="Single-Family Urban / Patio")+(Scenarios!$D$3:$D$27="Townhome / Condo"))&gt;0),Scenarios!$U$3:$U$27,'09_Phase_Factors'!$Q$4:$Q$28)</f>
        <v/>
      </c>
      <c r="P13" s="79">
        <f>SUMPRODUCT(--(Scenarios!$C$3:$C$27=TRUE()),--(((Scenarios!$D$3:$D$27="Single-Family Subdivision")+(Scenarios!$D$3:$D$27="Single-Family Urban / Patio")+(Scenarios!$D$3:$D$27="Townhome / Condo"))&gt;0),Scenarios!$U$3:$U$27,'09_Phase_Factors'!$R$4:$R$28)</f>
        <v/>
      </c>
      <c r="Q13" s="79">
        <f>SUMPRODUCT(--(Scenarios!$C$3:$C$27=TRUE()),--(((Scenarios!$D$3:$D$27="Single-Family Subdivision")+(Scenarios!$D$3:$D$27="Single-Family Urban / Patio")+(Scenarios!$D$3:$D$27="Townhome / Condo"))&gt;0),Scenarios!$U$3:$U$27,'09_Phase_Factors'!$S$4:$S$28)</f>
        <v/>
      </c>
      <c r="R13" s="79">
        <f>SUMPRODUCT(--(Scenarios!$C$3:$C$27=TRUE()),--(((Scenarios!$D$3:$D$27="Single-Family Subdivision")+(Scenarios!$D$3:$D$27="Single-Family Urban / Patio")+(Scenarios!$D$3:$D$27="Townhome / Condo"))&gt;0),Scenarios!$U$3:$U$27,'09_Phase_Factors'!$T$4:$T$28)</f>
        <v/>
      </c>
      <c r="S13" s="79">
        <f>SUMPRODUCT(--(Scenarios!$C$3:$C$27=TRUE()),--(((Scenarios!$D$3:$D$27="Single-Family Subdivision")+(Scenarios!$D$3:$D$27="Single-Family Urban / Patio")+(Scenarios!$D$3:$D$27="Townhome / Condo"))&gt;0),Scenarios!$U$3:$U$27,'09_Phase_Factors'!$U$4:$U$28)</f>
        <v/>
      </c>
      <c r="T13" s="79">
        <f>SUMPRODUCT(--(Scenarios!$C$3:$C$27=TRUE()),--(((Scenarios!$D$3:$D$27="Single-Family Subdivision")+(Scenarios!$D$3:$D$27="Single-Family Urban / Patio")+(Scenarios!$D$3:$D$27="Townhome / Condo"))&gt;0),Scenarios!$U$3:$U$27,'09_Phase_Factors'!$V$4:$V$28)</f>
        <v/>
      </c>
      <c r="U13" s="79">
        <f>SUMPRODUCT(--(Scenarios!$C$3:$C$27=TRUE()),--(((Scenarios!$D$3:$D$27="Single-Family Subdivision")+(Scenarios!$D$3:$D$27="Single-Family Urban / Patio")+(Scenarios!$D$3:$D$27="Townhome / Condo"))&gt;0),Scenarios!$U$3:$U$27,'09_Phase_Factors'!$W$4:$W$28)</f>
        <v/>
      </c>
      <c r="V13" s="79">
        <f>SUMPRODUCT(--(Scenarios!$C$3:$C$27=TRUE()),--(((Scenarios!$D$3:$D$27="Single-Family Subdivision")+(Scenarios!$D$3:$D$27="Single-Family Urban / Patio")+(Scenarios!$D$3:$D$27="Townhome / Condo"))&gt;0),Scenarios!$U$3:$U$27,'09_Phase_Factors'!$X$4:$X$28)</f>
        <v/>
      </c>
      <c r="W13" s="79">
        <f>SUMPRODUCT(--(Scenarios!$C$3:$C$27=TRUE()),--(((Scenarios!$D$3:$D$27="Single-Family Subdivision")+(Scenarios!$D$3:$D$27="Single-Family Urban / Patio")+(Scenarios!$D$3:$D$27="Townhome / Condo"))&gt;0),Scenarios!$U$3:$U$27,'09_Phase_Factors'!$Y$4:$Y$28)</f>
        <v/>
      </c>
      <c r="X13" s="79">
        <f>SUMPRODUCT(--(Scenarios!$C$3:$C$27=TRUE()),--(((Scenarios!$D$3:$D$27="Single-Family Subdivision")+(Scenarios!$D$3:$D$27="Single-Family Urban / Patio")+(Scenarios!$D$3:$D$27="Townhome / Condo"))&gt;0),Scenarios!$U$3:$U$27,'09_Phase_Factors'!$Z$4:$Z$28)</f>
        <v/>
      </c>
      <c r="Y13" s="79">
        <f>SUMPRODUCT(--(Scenarios!$C$3:$C$27=TRUE()),--(((Scenarios!$D$3:$D$27="Single-Family Subdivision")+(Scenarios!$D$3:$D$27="Single-Family Urban / Patio")+(Scenarios!$D$3:$D$27="Townhome / Condo"))&gt;0),Scenarios!$U$3:$U$27,'09_Phase_Factors'!$AA$4:$AA$28)</f>
        <v/>
      </c>
      <c r="Z13" s="79">
        <f>SUMPRODUCT(--(Scenarios!$C$3:$C$27=TRUE()),--(((Scenarios!$D$3:$D$27="Single-Family Subdivision")+(Scenarios!$D$3:$D$27="Single-Family Urban / Patio")+(Scenarios!$D$3:$D$27="Townhome / Condo"))&gt;0),Scenarios!$U$3:$U$27,'09_Phase_Factors'!$AB$4:$AB$28)</f>
        <v/>
      </c>
      <c r="AA13" s="79">
        <f>SUMPRODUCT(--(Scenarios!$C$3:$C$27=TRUE()),--(((Scenarios!$D$3:$D$27="Single-Family Subdivision")+(Scenarios!$D$3:$D$27="Single-Family Urban / Patio")+(Scenarios!$D$3:$D$27="Townhome / Condo"))&gt;0),Scenarios!$U$3:$U$27,'09_Phase_Factors'!$AC$4:$AC$28)</f>
        <v/>
      </c>
      <c r="AB13" s="79">
        <f>SUMPRODUCT(--(Scenarios!$C$3:$C$27=TRUE()),--(((Scenarios!$D$3:$D$27="Single-Family Subdivision")+(Scenarios!$D$3:$D$27="Single-Family Urban / Patio")+(Scenarios!$D$3:$D$27="Townhome / Condo"))&gt;0),Scenarios!$U$3:$U$27,'09_Phase_Factors'!$AD$4:$AD$28)</f>
        <v/>
      </c>
      <c r="AC13" s="79">
        <f>SUMPRODUCT(--(Scenarios!$C$3:$C$27=TRUE()),--(((Scenarios!$D$3:$D$27="Single-Family Subdivision")+(Scenarios!$D$3:$D$27="Single-Family Urban / Patio")+(Scenarios!$D$3:$D$27="Townhome / Condo"))&gt;0),Scenarios!$U$3:$U$27,'09_Phase_Factors'!$AE$4:$AE$28)</f>
        <v/>
      </c>
      <c r="AD13" s="79">
        <f>SUMPRODUCT(--(Scenarios!$C$3:$C$27=TRUE()),--(((Scenarios!$D$3:$D$27="Single-Family Subdivision")+(Scenarios!$D$3:$D$27="Single-Family Urban / Patio")+(Scenarios!$D$3:$D$27="Townhome / Condo"))&gt;0),Scenarios!$U$3:$U$27,'09_Phase_Factors'!$AF$4:$AF$28)</f>
        <v/>
      </c>
      <c r="AE13" s="79">
        <f>SUMPRODUCT(--(Scenarios!$C$3:$C$27=TRUE()),--(((Scenarios!$D$3:$D$27="Single-Family Subdivision")+(Scenarios!$D$3:$D$27="Single-Family Urban / Patio")+(Scenarios!$D$3:$D$27="Townhome / Condo"))&gt;0),Scenarios!$U$3:$U$27,'09_Phase_Factors'!$AG$4:$AG$28)</f>
        <v/>
      </c>
    </row>
    <row r="14" ht="15" customHeight="1" s="106">
      <c r="A14" s="23" t="inlineStr">
        <is>
          <t xml:space="preserve">  └ Cumulative MFR units (present, residential-only)</t>
        </is>
      </c>
      <c r="B14" s="79">
        <f>SUMPRODUCT(--(Scenarios!$C$3:$C$27=TRUE()),--(Scenarios!$D$3:$D$27="Multifamily Apartments"),Scenarios!$U$3:$U$27,'09_Phase_Factors'!$D$4:$D$28)</f>
        <v/>
      </c>
      <c r="C14" s="79">
        <f>SUMPRODUCT(--(Scenarios!$C$3:$C$27=TRUE()),--(Scenarios!$D$3:$D$27="Multifamily Apartments"),Scenarios!$U$3:$U$27,'09_Phase_Factors'!$E$4:$E$28)</f>
        <v/>
      </c>
      <c r="D14" s="79">
        <f>SUMPRODUCT(--(Scenarios!$C$3:$C$27=TRUE()),--(Scenarios!$D$3:$D$27="Multifamily Apartments"),Scenarios!$U$3:$U$27,'09_Phase_Factors'!$F$4:$F$28)</f>
        <v/>
      </c>
      <c r="E14" s="79">
        <f>SUMPRODUCT(--(Scenarios!$C$3:$C$27=TRUE()),--(Scenarios!$D$3:$D$27="Multifamily Apartments"),Scenarios!$U$3:$U$27,'09_Phase_Factors'!$G$4:$G$28)</f>
        <v/>
      </c>
      <c r="F14" s="79">
        <f>SUMPRODUCT(--(Scenarios!$C$3:$C$27=TRUE()),--(Scenarios!$D$3:$D$27="Multifamily Apartments"),Scenarios!$U$3:$U$27,'09_Phase_Factors'!$H$4:$H$28)</f>
        <v/>
      </c>
      <c r="G14" s="79">
        <f>SUMPRODUCT(--(Scenarios!$C$3:$C$27=TRUE()),--(Scenarios!$D$3:$D$27="Multifamily Apartments"),Scenarios!$U$3:$U$27,'09_Phase_Factors'!$I$4:$I$28)</f>
        <v/>
      </c>
      <c r="H14" s="79">
        <f>SUMPRODUCT(--(Scenarios!$C$3:$C$27=TRUE()),--(Scenarios!$D$3:$D$27="Multifamily Apartments"),Scenarios!$U$3:$U$27,'09_Phase_Factors'!$J$4:$J$28)</f>
        <v/>
      </c>
      <c r="I14" s="79">
        <f>SUMPRODUCT(--(Scenarios!$C$3:$C$27=TRUE()),--(Scenarios!$D$3:$D$27="Multifamily Apartments"),Scenarios!$U$3:$U$27,'09_Phase_Factors'!$K$4:$K$28)</f>
        <v/>
      </c>
      <c r="J14" s="79">
        <f>SUMPRODUCT(--(Scenarios!$C$3:$C$27=TRUE()),--(Scenarios!$D$3:$D$27="Multifamily Apartments"),Scenarios!$U$3:$U$27,'09_Phase_Factors'!$L$4:$L$28)</f>
        <v/>
      </c>
      <c r="K14" s="79">
        <f>SUMPRODUCT(--(Scenarios!$C$3:$C$27=TRUE()),--(Scenarios!$D$3:$D$27="Multifamily Apartments"),Scenarios!$U$3:$U$27,'09_Phase_Factors'!$M$4:$M$28)</f>
        <v/>
      </c>
      <c r="L14" s="79">
        <f>SUMPRODUCT(--(Scenarios!$C$3:$C$27=TRUE()),--(Scenarios!$D$3:$D$27="Multifamily Apartments"),Scenarios!$U$3:$U$27,'09_Phase_Factors'!$N$4:$N$28)</f>
        <v/>
      </c>
      <c r="M14" s="79">
        <f>SUMPRODUCT(--(Scenarios!$C$3:$C$27=TRUE()),--(Scenarios!$D$3:$D$27="Multifamily Apartments"),Scenarios!$U$3:$U$27,'09_Phase_Factors'!$O$4:$O$28)</f>
        <v/>
      </c>
      <c r="N14" s="79">
        <f>SUMPRODUCT(--(Scenarios!$C$3:$C$27=TRUE()),--(Scenarios!$D$3:$D$27="Multifamily Apartments"),Scenarios!$U$3:$U$27,'09_Phase_Factors'!$P$4:$P$28)</f>
        <v/>
      </c>
      <c r="O14" s="79">
        <f>SUMPRODUCT(--(Scenarios!$C$3:$C$27=TRUE()),--(Scenarios!$D$3:$D$27="Multifamily Apartments"),Scenarios!$U$3:$U$27,'09_Phase_Factors'!$Q$4:$Q$28)</f>
        <v/>
      </c>
      <c r="P14" s="79">
        <f>SUMPRODUCT(--(Scenarios!$C$3:$C$27=TRUE()),--(Scenarios!$D$3:$D$27="Multifamily Apartments"),Scenarios!$U$3:$U$27,'09_Phase_Factors'!$R$4:$R$28)</f>
        <v/>
      </c>
      <c r="Q14" s="79">
        <f>SUMPRODUCT(--(Scenarios!$C$3:$C$27=TRUE()),--(Scenarios!$D$3:$D$27="Multifamily Apartments"),Scenarios!$U$3:$U$27,'09_Phase_Factors'!$S$4:$S$28)</f>
        <v/>
      </c>
      <c r="R14" s="79">
        <f>SUMPRODUCT(--(Scenarios!$C$3:$C$27=TRUE()),--(Scenarios!$D$3:$D$27="Multifamily Apartments"),Scenarios!$U$3:$U$27,'09_Phase_Factors'!$T$4:$T$28)</f>
        <v/>
      </c>
      <c r="S14" s="79">
        <f>SUMPRODUCT(--(Scenarios!$C$3:$C$27=TRUE()),--(Scenarios!$D$3:$D$27="Multifamily Apartments"),Scenarios!$U$3:$U$27,'09_Phase_Factors'!$U$4:$U$28)</f>
        <v/>
      </c>
      <c r="T14" s="79">
        <f>SUMPRODUCT(--(Scenarios!$C$3:$C$27=TRUE()),--(Scenarios!$D$3:$D$27="Multifamily Apartments"),Scenarios!$U$3:$U$27,'09_Phase_Factors'!$V$4:$V$28)</f>
        <v/>
      </c>
      <c r="U14" s="79">
        <f>SUMPRODUCT(--(Scenarios!$C$3:$C$27=TRUE()),--(Scenarios!$D$3:$D$27="Multifamily Apartments"),Scenarios!$U$3:$U$27,'09_Phase_Factors'!$W$4:$W$28)</f>
        <v/>
      </c>
      <c r="V14" s="79">
        <f>SUMPRODUCT(--(Scenarios!$C$3:$C$27=TRUE()),--(Scenarios!$D$3:$D$27="Multifamily Apartments"),Scenarios!$U$3:$U$27,'09_Phase_Factors'!$X$4:$X$28)</f>
        <v/>
      </c>
      <c r="W14" s="79">
        <f>SUMPRODUCT(--(Scenarios!$C$3:$C$27=TRUE()),--(Scenarios!$D$3:$D$27="Multifamily Apartments"),Scenarios!$U$3:$U$27,'09_Phase_Factors'!$Y$4:$Y$28)</f>
        <v/>
      </c>
      <c r="X14" s="79">
        <f>SUMPRODUCT(--(Scenarios!$C$3:$C$27=TRUE()),--(Scenarios!$D$3:$D$27="Multifamily Apartments"),Scenarios!$U$3:$U$27,'09_Phase_Factors'!$Z$4:$Z$28)</f>
        <v/>
      </c>
      <c r="Y14" s="79">
        <f>SUMPRODUCT(--(Scenarios!$C$3:$C$27=TRUE()),--(Scenarios!$D$3:$D$27="Multifamily Apartments"),Scenarios!$U$3:$U$27,'09_Phase_Factors'!$AA$4:$AA$28)</f>
        <v/>
      </c>
      <c r="Z14" s="79">
        <f>SUMPRODUCT(--(Scenarios!$C$3:$C$27=TRUE()),--(Scenarios!$D$3:$D$27="Multifamily Apartments"),Scenarios!$U$3:$U$27,'09_Phase_Factors'!$AB$4:$AB$28)</f>
        <v/>
      </c>
      <c r="AA14" s="79">
        <f>SUMPRODUCT(--(Scenarios!$C$3:$C$27=TRUE()),--(Scenarios!$D$3:$D$27="Multifamily Apartments"),Scenarios!$U$3:$U$27,'09_Phase_Factors'!$AC$4:$AC$28)</f>
        <v/>
      </c>
      <c r="AB14" s="79">
        <f>SUMPRODUCT(--(Scenarios!$C$3:$C$27=TRUE()),--(Scenarios!$D$3:$D$27="Multifamily Apartments"),Scenarios!$U$3:$U$27,'09_Phase_Factors'!$AD$4:$AD$28)</f>
        <v/>
      </c>
      <c r="AC14" s="79">
        <f>SUMPRODUCT(--(Scenarios!$C$3:$C$27=TRUE()),--(Scenarios!$D$3:$D$27="Multifamily Apartments"),Scenarios!$U$3:$U$27,'09_Phase_Factors'!$AE$4:$AE$28)</f>
        <v/>
      </c>
      <c r="AD14" s="79">
        <f>SUMPRODUCT(--(Scenarios!$C$3:$C$27=TRUE()),--(Scenarios!$D$3:$D$27="Multifamily Apartments"),Scenarios!$U$3:$U$27,'09_Phase_Factors'!$AF$4:$AF$28)</f>
        <v/>
      </c>
      <c r="AE14" s="79">
        <f>SUMPRODUCT(--(Scenarios!$C$3:$C$27=TRUE()),--(Scenarios!$D$3:$D$27="Multifamily Apartments"),Scenarios!$U$3:$U$27,'09_Phase_Factors'!$AG$4:$AG$28)</f>
        <v/>
      </c>
    </row>
    <row r="15" ht="15" customHeight="1" s="106">
      <c r="A15" s="23" t="inlineStr">
        <is>
          <t>Resident online / delivery local taxable sales (present)</t>
        </is>
      </c>
      <c r="B15" s="80">
        <f>(B13*'00_Inputs_Dashboard'!$B$30+B14*'00_Inputs_Dashboard'!$B$31)*'00_Inputs_Dashboard'!$B$34*'00_Inputs_Dashboard'!$B$35*'00_Inputs_Dashboard'!$B$36*((1+'00_Inputs_Dashboard'!$B$37)^(1-1))*'00_Inputs_Dashboard'!$B$38</f>
        <v/>
      </c>
      <c r="C15" s="80">
        <f>(C13*'00_Inputs_Dashboard'!$B$30+C14*'00_Inputs_Dashboard'!$B$31)*'00_Inputs_Dashboard'!$B$34*'00_Inputs_Dashboard'!$B$35*'00_Inputs_Dashboard'!$B$36*((1+'00_Inputs_Dashboard'!$B$37)^(2-1))*'00_Inputs_Dashboard'!$B$38</f>
        <v/>
      </c>
      <c r="D15" s="80">
        <f>(D13*'00_Inputs_Dashboard'!$B$30+D14*'00_Inputs_Dashboard'!$B$31)*'00_Inputs_Dashboard'!$B$34*'00_Inputs_Dashboard'!$B$35*'00_Inputs_Dashboard'!$B$36*((1+'00_Inputs_Dashboard'!$B$37)^(3-1))*'00_Inputs_Dashboard'!$B$38</f>
        <v/>
      </c>
      <c r="E15" s="80">
        <f>(E13*'00_Inputs_Dashboard'!$B$30+E14*'00_Inputs_Dashboard'!$B$31)*'00_Inputs_Dashboard'!$B$34*'00_Inputs_Dashboard'!$B$35*'00_Inputs_Dashboard'!$B$36*((1+'00_Inputs_Dashboard'!$B$37)^(4-1))*'00_Inputs_Dashboard'!$B$38</f>
        <v/>
      </c>
      <c r="F15" s="80">
        <f>(F13*'00_Inputs_Dashboard'!$B$30+F14*'00_Inputs_Dashboard'!$B$31)*'00_Inputs_Dashboard'!$B$34*'00_Inputs_Dashboard'!$B$35*'00_Inputs_Dashboard'!$B$36*((1+'00_Inputs_Dashboard'!$B$37)^(5-1))*'00_Inputs_Dashboard'!$B$38</f>
        <v/>
      </c>
      <c r="G15" s="80">
        <f>(G13*'00_Inputs_Dashboard'!$B$30+G14*'00_Inputs_Dashboard'!$B$31)*'00_Inputs_Dashboard'!$B$34*'00_Inputs_Dashboard'!$B$35*'00_Inputs_Dashboard'!$B$36*((1+'00_Inputs_Dashboard'!$B$37)^(6-1))*'00_Inputs_Dashboard'!$B$38</f>
        <v/>
      </c>
      <c r="H15" s="80">
        <f>(H13*'00_Inputs_Dashboard'!$B$30+H14*'00_Inputs_Dashboard'!$B$31)*'00_Inputs_Dashboard'!$B$34*'00_Inputs_Dashboard'!$B$35*'00_Inputs_Dashboard'!$B$36*((1+'00_Inputs_Dashboard'!$B$37)^(7-1))*'00_Inputs_Dashboard'!$B$38</f>
        <v/>
      </c>
      <c r="I15" s="80">
        <f>(I13*'00_Inputs_Dashboard'!$B$30+I14*'00_Inputs_Dashboard'!$B$31)*'00_Inputs_Dashboard'!$B$34*'00_Inputs_Dashboard'!$B$35*'00_Inputs_Dashboard'!$B$36*((1+'00_Inputs_Dashboard'!$B$37)^(8-1))*'00_Inputs_Dashboard'!$B$38</f>
        <v/>
      </c>
      <c r="J15" s="80">
        <f>(J13*'00_Inputs_Dashboard'!$B$30+J14*'00_Inputs_Dashboard'!$B$31)*'00_Inputs_Dashboard'!$B$34*'00_Inputs_Dashboard'!$B$35*'00_Inputs_Dashboard'!$B$36*((1+'00_Inputs_Dashboard'!$B$37)^(9-1))*'00_Inputs_Dashboard'!$B$38</f>
        <v/>
      </c>
      <c r="K15" s="80">
        <f>(K13*'00_Inputs_Dashboard'!$B$30+K14*'00_Inputs_Dashboard'!$B$31)*'00_Inputs_Dashboard'!$B$34*'00_Inputs_Dashboard'!$B$35*'00_Inputs_Dashboard'!$B$36*((1+'00_Inputs_Dashboard'!$B$37)^(10-1))*'00_Inputs_Dashboard'!$B$38</f>
        <v/>
      </c>
      <c r="L15" s="80">
        <f>(L13*'00_Inputs_Dashboard'!$B$30+L14*'00_Inputs_Dashboard'!$B$31)*'00_Inputs_Dashboard'!$B$34*'00_Inputs_Dashboard'!$B$35*'00_Inputs_Dashboard'!$B$36*((1+'00_Inputs_Dashboard'!$B$37)^(11-1))*'00_Inputs_Dashboard'!$B$38</f>
        <v/>
      </c>
      <c r="M15" s="80">
        <f>(M13*'00_Inputs_Dashboard'!$B$30+M14*'00_Inputs_Dashboard'!$B$31)*'00_Inputs_Dashboard'!$B$34*'00_Inputs_Dashboard'!$B$35*'00_Inputs_Dashboard'!$B$36*((1+'00_Inputs_Dashboard'!$B$37)^(12-1))*'00_Inputs_Dashboard'!$B$38</f>
        <v/>
      </c>
      <c r="N15" s="80">
        <f>(N13*'00_Inputs_Dashboard'!$B$30+N14*'00_Inputs_Dashboard'!$B$31)*'00_Inputs_Dashboard'!$B$34*'00_Inputs_Dashboard'!$B$35*'00_Inputs_Dashboard'!$B$36*((1+'00_Inputs_Dashboard'!$B$37)^(13-1))*'00_Inputs_Dashboard'!$B$38</f>
        <v/>
      </c>
      <c r="O15" s="80">
        <f>(O13*'00_Inputs_Dashboard'!$B$30+O14*'00_Inputs_Dashboard'!$B$31)*'00_Inputs_Dashboard'!$B$34*'00_Inputs_Dashboard'!$B$35*'00_Inputs_Dashboard'!$B$36*((1+'00_Inputs_Dashboard'!$B$37)^(14-1))*'00_Inputs_Dashboard'!$B$38</f>
        <v/>
      </c>
      <c r="P15" s="80">
        <f>(P13*'00_Inputs_Dashboard'!$B$30+P14*'00_Inputs_Dashboard'!$B$31)*'00_Inputs_Dashboard'!$B$34*'00_Inputs_Dashboard'!$B$35*'00_Inputs_Dashboard'!$B$36*((1+'00_Inputs_Dashboard'!$B$37)^(15-1))*'00_Inputs_Dashboard'!$B$38</f>
        <v/>
      </c>
      <c r="Q15" s="80">
        <f>(Q13*'00_Inputs_Dashboard'!$B$30+Q14*'00_Inputs_Dashboard'!$B$31)*'00_Inputs_Dashboard'!$B$34*'00_Inputs_Dashboard'!$B$35*'00_Inputs_Dashboard'!$B$36*((1+'00_Inputs_Dashboard'!$B$37)^(16-1))*'00_Inputs_Dashboard'!$B$38</f>
        <v/>
      </c>
      <c r="R15" s="80">
        <f>(R13*'00_Inputs_Dashboard'!$B$30+R14*'00_Inputs_Dashboard'!$B$31)*'00_Inputs_Dashboard'!$B$34*'00_Inputs_Dashboard'!$B$35*'00_Inputs_Dashboard'!$B$36*((1+'00_Inputs_Dashboard'!$B$37)^(17-1))*'00_Inputs_Dashboard'!$B$38</f>
        <v/>
      </c>
      <c r="S15" s="80">
        <f>(S13*'00_Inputs_Dashboard'!$B$30+S14*'00_Inputs_Dashboard'!$B$31)*'00_Inputs_Dashboard'!$B$34*'00_Inputs_Dashboard'!$B$35*'00_Inputs_Dashboard'!$B$36*((1+'00_Inputs_Dashboard'!$B$37)^(18-1))*'00_Inputs_Dashboard'!$B$38</f>
        <v/>
      </c>
      <c r="T15" s="80">
        <f>(T13*'00_Inputs_Dashboard'!$B$30+T14*'00_Inputs_Dashboard'!$B$31)*'00_Inputs_Dashboard'!$B$34*'00_Inputs_Dashboard'!$B$35*'00_Inputs_Dashboard'!$B$36*((1+'00_Inputs_Dashboard'!$B$37)^(19-1))*'00_Inputs_Dashboard'!$B$38</f>
        <v/>
      </c>
      <c r="U15" s="80">
        <f>(U13*'00_Inputs_Dashboard'!$B$30+U14*'00_Inputs_Dashboard'!$B$31)*'00_Inputs_Dashboard'!$B$34*'00_Inputs_Dashboard'!$B$35*'00_Inputs_Dashboard'!$B$36*((1+'00_Inputs_Dashboard'!$B$37)^(20-1))*'00_Inputs_Dashboard'!$B$38</f>
        <v/>
      </c>
      <c r="V15" s="80">
        <f>(V13*'00_Inputs_Dashboard'!$B$30+V14*'00_Inputs_Dashboard'!$B$31)*'00_Inputs_Dashboard'!$B$34*'00_Inputs_Dashboard'!$B$35*'00_Inputs_Dashboard'!$B$36*((1+'00_Inputs_Dashboard'!$B$37)^(21-1))*'00_Inputs_Dashboard'!$B$38</f>
        <v/>
      </c>
      <c r="W15" s="80">
        <f>(W13*'00_Inputs_Dashboard'!$B$30+W14*'00_Inputs_Dashboard'!$B$31)*'00_Inputs_Dashboard'!$B$34*'00_Inputs_Dashboard'!$B$35*'00_Inputs_Dashboard'!$B$36*((1+'00_Inputs_Dashboard'!$B$37)^(22-1))*'00_Inputs_Dashboard'!$B$38</f>
        <v/>
      </c>
      <c r="X15" s="80">
        <f>(X13*'00_Inputs_Dashboard'!$B$30+X14*'00_Inputs_Dashboard'!$B$31)*'00_Inputs_Dashboard'!$B$34*'00_Inputs_Dashboard'!$B$35*'00_Inputs_Dashboard'!$B$36*((1+'00_Inputs_Dashboard'!$B$37)^(23-1))*'00_Inputs_Dashboard'!$B$38</f>
        <v/>
      </c>
      <c r="Y15" s="80">
        <f>(Y13*'00_Inputs_Dashboard'!$B$30+Y14*'00_Inputs_Dashboard'!$B$31)*'00_Inputs_Dashboard'!$B$34*'00_Inputs_Dashboard'!$B$35*'00_Inputs_Dashboard'!$B$36*((1+'00_Inputs_Dashboard'!$B$37)^(24-1))*'00_Inputs_Dashboard'!$B$38</f>
        <v/>
      </c>
      <c r="Z15" s="80">
        <f>(Z13*'00_Inputs_Dashboard'!$B$30+Z14*'00_Inputs_Dashboard'!$B$31)*'00_Inputs_Dashboard'!$B$34*'00_Inputs_Dashboard'!$B$35*'00_Inputs_Dashboard'!$B$36*((1+'00_Inputs_Dashboard'!$B$37)^(25-1))*'00_Inputs_Dashboard'!$B$38</f>
        <v/>
      </c>
      <c r="AA15" s="80">
        <f>(AA13*'00_Inputs_Dashboard'!$B$30+AA14*'00_Inputs_Dashboard'!$B$31)*'00_Inputs_Dashboard'!$B$34*'00_Inputs_Dashboard'!$B$35*'00_Inputs_Dashboard'!$B$36*((1+'00_Inputs_Dashboard'!$B$37)^(26-1))*'00_Inputs_Dashboard'!$B$38</f>
        <v/>
      </c>
      <c r="AB15" s="80">
        <f>(AB13*'00_Inputs_Dashboard'!$B$30+AB14*'00_Inputs_Dashboard'!$B$31)*'00_Inputs_Dashboard'!$B$34*'00_Inputs_Dashboard'!$B$35*'00_Inputs_Dashboard'!$B$36*((1+'00_Inputs_Dashboard'!$B$37)^(27-1))*'00_Inputs_Dashboard'!$B$38</f>
        <v/>
      </c>
      <c r="AC15" s="80">
        <f>(AC13*'00_Inputs_Dashboard'!$B$30+AC14*'00_Inputs_Dashboard'!$B$31)*'00_Inputs_Dashboard'!$B$34*'00_Inputs_Dashboard'!$B$35*'00_Inputs_Dashboard'!$B$36*((1+'00_Inputs_Dashboard'!$B$37)^(28-1))*'00_Inputs_Dashboard'!$B$38</f>
        <v/>
      </c>
      <c r="AD15" s="80">
        <f>(AD13*'00_Inputs_Dashboard'!$B$30+AD14*'00_Inputs_Dashboard'!$B$31)*'00_Inputs_Dashboard'!$B$34*'00_Inputs_Dashboard'!$B$35*'00_Inputs_Dashboard'!$B$36*((1+'00_Inputs_Dashboard'!$B$37)^(29-1))*'00_Inputs_Dashboard'!$B$38</f>
        <v/>
      </c>
      <c r="AE15" s="80">
        <f>(AE13*'00_Inputs_Dashboard'!$B$30+AE14*'00_Inputs_Dashboard'!$B$31)*'00_Inputs_Dashboard'!$B$34*'00_Inputs_Dashboard'!$B$35*'00_Inputs_Dashboard'!$B$36*((1+'00_Inputs_Dashboard'!$B$37)^(30-1))*'00_Inputs_Dashboard'!$B$38</f>
        <v/>
      </c>
    </row>
    <row r="16" ht="15" customHeight="1" s="106">
      <c r="A16" s="23" t="inlineStr">
        <is>
          <t>Total annual taxable sales (project + online)</t>
        </is>
      </c>
      <c r="B16" s="80">
        <f>B12+B15</f>
        <v/>
      </c>
      <c r="C16" s="80">
        <f>C12+C15</f>
        <v/>
      </c>
      <c r="D16" s="80">
        <f>D12+D15</f>
        <v/>
      </c>
      <c r="E16" s="80">
        <f>E12+E15</f>
        <v/>
      </c>
      <c r="F16" s="80">
        <f>F12+F15</f>
        <v/>
      </c>
      <c r="G16" s="80">
        <f>G12+G15</f>
        <v/>
      </c>
      <c r="H16" s="80">
        <f>H12+H15</f>
        <v/>
      </c>
      <c r="I16" s="80">
        <f>I12+I15</f>
        <v/>
      </c>
      <c r="J16" s="80">
        <f>J12+J15</f>
        <v/>
      </c>
      <c r="K16" s="80">
        <f>K12+K15</f>
        <v/>
      </c>
      <c r="L16" s="80">
        <f>L12+L15</f>
        <v/>
      </c>
      <c r="M16" s="80">
        <f>M12+M15</f>
        <v/>
      </c>
      <c r="N16" s="80">
        <f>N12+N15</f>
        <v/>
      </c>
      <c r="O16" s="80">
        <f>O12+O15</f>
        <v/>
      </c>
      <c r="P16" s="80">
        <f>P12+P15</f>
        <v/>
      </c>
      <c r="Q16" s="80">
        <f>Q12+Q15</f>
        <v/>
      </c>
      <c r="R16" s="80">
        <f>R12+R15</f>
        <v/>
      </c>
      <c r="S16" s="80">
        <f>S12+S15</f>
        <v/>
      </c>
      <c r="T16" s="80">
        <f>T12+T15</f>
        <v/>
      </c>
      <c r="U16" s="80">
        <f>U12+U15</f>
        <v/>
      </c>
      <c r="V16" s="80">
        <f>V12+V15</f>
        <v/>
      </c>
      <c r="W16" s="80">
        <f>W12+W15</f>
        <v/>
      </c>
      <c r="X16" s="80">
        <f>X12+X15</f>
        <v/>
      </c>
      <c r="Y16" s="80">
        <f>Y12+Y15</f>
        <v/>
      </c>
      <c r="Z16" s="80">
        <f>Z12+Z15</f>
        <v/>
      </c>
      <c r="AA16" s="80">
        <f>AA12+AA15</f>
        <v/>
      </c>
      <c r="AB16" s="80">
        <f>AB12+AB15</f>
        <v/>
      </c>
      <c r="AC16" s="80">
        <f>AC12+AC15</f>
        <v/>
      </c>
      <c r="AD16" s="80">
        <f>AD12+AD15</f>
        <v/>
      </c>
      <c r="AE16" s="80">
        <f>AE12+AE15</f>
        <v/>
      </c>
    </row>
    <row r="17" ht="15" customHeight="1" s="106">
      <c r="A17" s="23" t="inlineStr">
        <is>
          <t>Annual sales-tax pool (1.5% combined-area)</t>
        </is>
      </c>
      <c r="B17" s="80">
        <f>B16*'00_Inputs_Dashboard'!$B$20</f>
        <v/>
      </c>
      <c r="C17" s="80">
        <f>C16*'00_Inputs_Dashboard'!$B$20</f>
        <v/>
      </c>
      <c r="D17" s="80">
        <f>D16*'00_Inputs_Dashboard'!$B$20</f>
        <v/>
      </c>
      <c r="E17" s="80">
        <f>E16*'00_Inputs_Dashboard'!$B$20</f>
        <v/>
      </c>
      <c r="F17" s="80">
        <f>F16*'00_Inputs_Dashboard'!$B$20</f>
        <v/>
      </c>
      <c r="G17" s="80">
        <f>G16*'00_Inputs_Dashboard'!$B$20</f>
        <v/>
      </c>
      <c r="H17" s="80">
        <f>H16*'00_Inputs_Dashboard'!$B$20</f>
        <v/>
      </c>
      <c r="I17" s="80">
        <f>I16*'00_Inputs_Dashboard'!$B$20</f>
        <v/>
      </c>
      <c r="J17" s="80">
        <f>J16*'00_Inputs_Dashboard'!$B$20</f>
        <v/>
      </c>
      <c r="K17" s="80">
        <f>K16*'00_Inputs_Dashboard'!$B$20</f>
        <v/>
      </c>
      <c r="L17" s="80">
        <f>L16*'00_Inputs_Dashboard'!$B$20</f>
        <v/>
      </c>
      <c r="M17" s="80">
        <f>M16*'00_Inputs_Dashboard'!$B$20</f>
        <v/>
      </c>
      <c r="N17" s="80">
        <f>N16*'00_Inputs_Dashboard'!$B$20</f>
        <v/>
      </c>
      <c r="O17" s="80">
        <f>O16*'00_Inputs_Dashboard'!$B$20</f>
        <v/>
      </c>
      <c r="P17" s="80">
        <f>P16*'00_Inputs_Dashboard'!$B$20</f>
        <v/>
      </c>
      <c r="Q17" s="80">
        <f>Q16*'00_Inputs_Dashboard'!$B$20</f>
        <v/>
      </c>
      <c r="R17" s="80">
        <f>R16*'00_Inputs_Dashboard'!$B$20</f>
        <v/>
      </c>
      <c r="S17" s="80">
        <f>S16*'00_Inputs_Dashboard'!$B$20</f>
        <v/>
      </c>
      <c r="T17" s="80">
        <f>T16*'00_Inputs_Dashboard'!$B$20</f>
        <v/>
      </c>
      <c r="U17" s="80">
        <f>U16*'00_Inputs_Dashboard'!$B$20</f>
        <v/>
      </c>
      <c r="V17" s="80">
        <f>V16*'00_Inputs_Dashboard'!$B$20</f>
        <v/>
      </c>
      <c r="W17" s="80">
        <f>W16*'00_Inputs_Dashboard'!$B$20</f>
        <v/>
      </c>
      <c r="X17" s="80">
        <f>X16*'00_Inputs_Dashboard'!$B$20</f>
        <v/>
      </c>
      <c r="Y17" s="80">
        <f>Y16*'00_Inputs_Dashboard'!$B$20</f>
        <v/>
      </c>
      <c r="Z17" s="80">
        <f>Z16*'00_Inputs_Dashboard'!$B$20</f>
        <v/>
      </c>
      <c r="AA17" s="80">
        <f>AA16*'00_Inputs_Dashboard'!$B$20</f>
        <v/>
      </c>
      <c r="AB17" s="80">
        <f>AB16*'00_Inputs_Dashboard'!$B$20</f>
        <v/>
      </c>
      <c r="AC17" s="80">
        <f>AC16*'00_Inputs_Dashboard'!$B$20</f>
        <v/>
      </c>
      <c r="AD17" s="80">
        <f>AD16*'00_Inputs_Dashboard'!$B$20</f>
        <v/>
      </c>
      <c r="AE17" s="80">
        <f>AE16*'00_Inputs_Dashboard'!$B$20</f>
        <v/>
      </c>
    </row>
    <row r="18" ht="15" customHeight="1" s="106">
      <c r="A18" s="23" t="inlineStr">
        <is>
          <t>City gross sales-tax share</t>
        </is>
      </c>
      <c r="B18" s="80">
        <f>B17*'00_Inputs_Dashboard'!$B$5</f>
        <v/>
      </c>
      <c r="C18" s="80">
        <f>C17*'00_Inputs_Dashboard'!$B$5</f>
        <v/>
      </c>
      <c r="D18" s="80">
        <f>D17*'00_Inputs_Dashboard'!$B$5</f>
        <v/>
      </c>
      <c r="E18" s="80">
        <f>E17*'00_Inputs_Dashboard'!$B$5</f>
        <v/>
      </c>
      <c r="F18" s="80">
        <f>F17*'00_Inputs_Dashboard'!$B$5</f>
        <v/>
      </c>
      <c r="G18" s="80">
        <f>G17*'00_Inputs_Dashboard'!$B$5</f>
        <v/>
      </c>
      <c r="H18" s="80">
        <f>H17*'00_Inputs_Dashboard'!$B$5</f>
        <v/>
      </c>
      <c r="I18" s="80">
        <f>I17*'00_Inputs_Dashboard'!$B$5</f>
        <v/>
      </c>
      <c r="J18" s="80">
        <f>J17*'00_Inputs_Dashboard'!$B$5</f>
        <v/>
      </c>
      <c r="K18" s="80">
        <f>K17*'00_Inputs_Dashboard'!$B$5</f>
        <v/>
      </c>
      <c r="L18" s="80">
        <f>L17*'00_Inputs_Dashboard'!$B$5</f>
        <v/>
      </c>
      <c r="M18" s="80">
        <f>M17*'00_Inputs_Dashboard'!$B$5</f>
        <v/>
      </c>
      <c r="N18" s="80">
        <f>N17*'00_Inputs_Dashboard'!$B$5</f>
        <v/>
      </c>
      <c r="O18" s="80">
        <f>O17*'00_Inputs_Dashboard'!$B$5</f>
        <v/>
      </c>
      <c r="P18" s="80">
        <f>P17*'00_Inputs_Dashboard'!$B$5</f>
        <v/>
      </c>
      <c r="Q18" s="80">
        <f>Q17*'00_Inputs_Dashboard'!$B$5</f>
        <v/>
      </c>
      <c r="R18" s="80">
        <f>R17*'00_Inputs_Dashboard'!$B$5</f>
        <v/>
      </c>
      <c r="S18" s="80">
        <f>S17*'00_Inputs_Dashboard'!$B$5</f>
        <v/>
      </c>
      <c r="T18" s="80">
        <f>T17*'00_Inputs_Dashboard'!$B$5</f>
        <v/>
      </c>
      <c r="U18" s="80">
        <f>U17*'00_Inputs_Dashboard'!$B$5</f>
        <v/>
      </c>
      <c r="V18" s="80">
        <f>V17*'00_Inputs_Dashboard'!$B$5</f>
        <v/>
      </c>
      <c r="W18" s="80">
        <f>W17*'00_Inputs_Dashboard'!$B$5</f>
        <v/>
      </c>
      <c r="X18" s="80">
        <f>X17*'00_Inputs_Dashboard'!$B$5</f>
        <v/>
      </c>
      <c r="Y18" s="80">
        <f>Y17*'00_Inputs_Dashboard'!$B$5</f>
        <v/>
      </c>
      <c r="Z18" s="80">
        <f>Z17*'00_Inputs_Dashboard'!$B$5</f>
        <v/>
      </c>
      <c r="AA18" s="80">
        <f>AA17*'00_Inputs_Dashboard'!$B$5</f>
        <v/>
      </c>
      <c r="AB18" s="80">
        <f>AB17*'00_Inputs_Dashboard'!$B$5</f>
        <v/>
      </c>
      <c r="AC18" s="80">
        <f>AC17*'00_Inputs_Dashboard'!$B$5</f>
        <v/>
      </c>
      <c r="AD18" s="80">
        <f>AD17*'00_Inputs_Dashboard'!$B$5</f>
        <v/>
      </c>
      <c r="AE18" s="80">
        <f>AE17*'00_Inputs_Dashboard'!$B$5</f>
        <v/>
      </c>
    </row>
    <row r="19" ht="15" customHeight="1" s="106">
      <c r="A19" s="23" t="inlineStr">
        <is>
          <t>EDC carve-out (from City share)</t>
        </is>
      </c>
      <c r="B19" s="80">
        <f>B18*'00_Inputs_Dashboard'!$B$6</f>
        <v/>
      </c>
      <c r="C19" s="80">
        <f>C18*'00_Inputs_Dashboard'!$B$6</f>
        <v/>
      </c>
      <c r="D19" s="80">
        <f>D18*'00_Inputs_Dashboard'!$B$6</f>
        <v/>
      </c>
      <c r="E19" s="80">
        <f>E18*'00_Inputs_Dashboard'!$B$6</f>
        <v/>
      </c>
      <c r="F19" s="80">
        <f>F18*'00_Inputs_Dashboard'!$B$6</f>
        <v/>
      </c>
      <c r="G19" s="80">
        <f>G18*'00_Inputs_Dashboard'!$B$6</f>
        <v/>
      </c>
      <c r="H19" s="80">
        <f>H18*'00_Inputs_Dashboard'!$B$6</f>
        <v/>
      </c>
      <c r="I19" s="80">
        <f>I18*'00_Inputs_Dashboard'!$B$6</f>
        <v/>
      </c>
      <c r="J19" s="80">
        <f>J18*'00_Inputs_Dashboard'!$B$6</f>
        <v/>
      </c>
      <c r="K19" s="80">
        <f>K18*'00_Inputs_Dashboard'!$B$6</f>
        <v/>
      </c>
      <c r="L19" s="80">
        <f>L18*'00_Inputs_Dashboard'!$B$6</f>
        <v/>
      </c>
      <c r="M19" s="80">
        <f>M18*'00_Inputs_Dashboard'!$B$6</f>
        <v/>
      </c>
      <c r="N19" s="80">
        <f>N18*'00_Inputs_Dashboard'!$B$6</f>
        <v/>
      </c>
      <c r="O19" s="80">
        <f>O18*'00_Inputs_Dashboard'!$B$6</f>
        <v/>
      </c>
      <c r="P19" s="80">
        <f>P18*'00_Inputs_Dashboard'!$B$6</f>
        <v/>
      </c>
      <c r="Q19" s="80">
        <f>Q18*'00_Inputs_Dashboard'!$B$6</f>
        <v/>
      </c>
      <c r="R19" s="80">
        <f>R18*'00_Inputs_Dashboard'!$B$6</f>
        <v/>
      </c>
      <c r="S19" s="80">
        <f>S18*'00_Inputs_Dashboard'!$B$6</f>
        <v/>
      </c>
      <c r="T19" s="80">
        <f>T18*'00_Inputs_Dashboard'!$B$6</f>
        <v/>
      </c>
      <c r="U19" s="80">
        <f>U18*'00_Inputs_Dashboard'!$B$6</f>
        <v/>
      </c>
      <c r="V19" s="80">
        <f>V18*'00_Inputs_Dashboard'!$B$6</f>
        <v/>
      </c>
      <c r="W19" s="80">
        <f>W18*'00_Inputs_Dashboard'!$B$6</f>
        <v/>
      </c>
      <c r="X19" s="80">
        <f>X18*'00_Inputs_Dashboard'!$B$6</f>
        <v/>
      </c>
      <c r="Y19" s="80">
        <f>Y18*'00_Inputs_Dashboard'!$B$6</f>
        <v/>
      </c>
      <c r="Z19" s="80">
        <f>Z18*'00_Inputs_Dashboard'!$B$6</f>
        <v/>
      </c>
      <c r="AA19" s="80">
        <f>AA18*'00_Inputs_Dashboard'!$B$6</f>
        <v/>
      </c>
      <c r="AB19" s="80">
        <f>AB18*'00_Inputs_Dashboard'!$B$6</f>
        <v/>
      </c>
      <c r="AC19" s="80">
        <f>AC18*'00_Inputs_Dashboard'!$B$6</f>
        <v/>
      </c>
      <c r="AD19" s="80">
        <f>AD18*'00_Inputs_Dashboard'!$B$6</f>
        <v/>
      </c>
      <c r="AE19" s="80">
        <f>AE18*'00_Inputs_Dashboard'!$B$6</f>
        <v/>
      </c>
    </row>
    <row r="20" ht="15" customHeight="1" s="106">
      <c r="A20" s="23" t="inlineStr">
        <is>
          <t>Net City General Fund sales-tax share</t>
        </is>
      </c>
      <c r="B20" s="80">
        <f>B18*(1-'00_Inputs_Dashboard'!$B$6)</f>
        <v/>
      </c>
      <c r="C20" s="80">
        <f>C18*(1-'00_Inputs_Dashboard'!$B$6)</f>
        <v/>
      </c>
      <c r="D20" s="80">
        <f>D18*(1-'00_Inputs_Dashboard'!$B$6)</f>
        <v/>
      </c>
      <c r="E20" s="80">
        <f>E18*(1-'00_Inputs_Dashboard'!$B$6)</f>
        <v/>
      </c>
      <c r="F20" s="80">
        <f>F18*(1-'00_Inputs_Dashboard'!$B$6)</f>
        <v/>
      </c>
      <c r="G20" s="80">
        <f>G18*(1-'00_Inputs_Dashboard'!$B$6)</f>
        <v/>
      </c>
      <c r="H20" s="80">
        <f>H18*(1-'00_Inputs_Dashboard'!$B$6)</f>
        <v/>
      </c>
      <c r="I20" s="80">
        <f>I18*(1-'00_Inputs_Dashboard'!$B$6)</f>
        <v/>
      </c>
      <c r="J20" s="80">
        <f>J18*(1-'00_Inputs_Dashboard'!$B$6)</f>
        <v/>
      </c>
      <c r="K20" s="80">
        <f>K18*(1-'00_Inputs_Dashboard'!$B$6)</f>
        <v/>
      </c>
      <c r="L20" s="80">
        <f>L18*(1-'00_Inputs_Dashboard'!$B$6)</f>
        <v/>
      </c>
      <c r="M20" s="80">
        <f>M18*(1-'00_Inputs_Dashboard'!$B$6)</f>
        <v/>
      </c>
      <c r="N20" s="80">
        <f>N18*(1-'00_Inputs_Dashboard'!$B$6)</f>
        <v/>
      </c>
      <c r="O20" s="80">
        <f>O18*(1-'00_Inputs_Dashboard'!$B$6)</f>
        <v/>
      </c>
      <c r="P20" s="80">
        <f>P18*(1-'00_Inputs_Dashboard'!$B$6)</f>
        <v/>
      </c>
      <c r="Q20" s="80">
        <f>Q18*(1-'00_Inputs_Dashboard'!$B$6)</f>
        <v/>
      </c>
      <c r="R20" s="80">
        <f>R18*(1-'00_Inputs_Dashboard'!$B$6)</f>
        <v/>
      </c>
      <c r="S20" s="80">
        <f>S18*(1-'00_Inputs_Dashboard'!$B$6)</f>
        <v/>
      </c>
      <c r="T20" s="80">
        <f>T18*(1-'00_Inputs_Dashboard'!$B$6)</f>
        <v/>
      </c>
      <c r="U20" s="80">
        <f>U18*(1-'00_Inputs_Dashboard'!$B$6)</f>
        <v/>
      </c>
      <c r="V20" s="80">
        <f>V18*(1-'00_Inputs_Dashboard'!$B$6)</f>
        <v/>
      </c>
      <c r="W20" s="80">
        <f>W18*(1-'00_Inputs_Dashboard'!$B$6)</f>
        <v/>
      </c>
      <c r="X20" s="80">
        <f>X18*(1-'00_Inputs_Dashboard'!$B$6)</f>
        <v/>
      </c>
      <c r="Y20" s="80">
        <f>Y18*(1-'00_Inputs_Dashboard'!$B$6)</f>
        <v/>
      </c>
      <c r="Z20" s="80">
        <f>Z18*(1-'00_Inputs_Dashboard'!$B$6)</f>
        <v/>
      </c>
      <c r="AA20" s="80">
        <f>AA18*(1-'00_Inputs_Dashboard'!$B$6)</f>
        <v/>
      </c>
      <c r="AB20" s="80">
        <f>AB18*(1-'00_Inputs_Dashboard'!$B$6)</f>
        <v/>
      </c>
      <c r="AC20" s="80">
        <f>AC18*(1-'00_Inputs_Dashboard'!$B$6)</f>
        <v/>
      </c>
      <c r="AD20" s="80">
        <f>AD18*(1-'00_Inputs_Dashboard'!$B$6)</f>
        <v/>
      </c>
      <c r="AE20" s="80">
        <f>AE18*(1-'00_Inputs_Dashboard'!$B$6)</f>
        <v/>
      </c>
    </row>
    <row r="21" ht="15" customHeight="1" s="106">
      <c r="A21" s="23" t="inlineStr">
        <is>
          <t>ESD #2 sales-tax share</t>
        </is>
      </c>
      <c r="B21" s="80">
        <f>B17*'00_Inputs_Dashboard'!$B$7</f>
        <v/>
      </c>
      <c r="C21" s="80">
        <f>C17*'00_Inputs_Dashboard'!$B$7</f>
        <v/>
      </c>
      <c r="D21" s="80">
        <f>D17*'00_Inputs_Dashboard'!$B$7</f>
        <v/>
      </c>
      <c r="E21" s="80">
        <f>E17*'00_Inputs_Dashboard'!$B$7</f>
        <v/>
      </c>
      <c r="F21" s="80">
        <f>F17*'00_Inputs_Dashboard'!$B$7</f>
        <v/>
      </c>
      <c r="G21" s="80">
        <f>G17*'00_Inputs_Dashboard'!$B$7</f>
        <v/>
      </c>
      <c r="H21" s="80">
        <f>H17*'00_Inputs_Dashboard'!$B$7</f>
        <v/>
      </c>
      <c r="I21" s="80">
        <f>I17*'00_Inputs_Dashboard'!$B$7</f>
        <v/>
      </c>
      <c r="J21" s="80">
        <f>J17*'00_Inputs_Dashboard'!$B$7</f>
        <v/>
      </c>
      <c r="K21" s="80">
        <f>K17*'00_Inputs_Dashboard'!$B$7</f>
        <v/>
      </c>
      <c r="L21" s="80">
        <f>L17*'00_Inputs_Dashboard'!$B$7</f>
        <v/>
      </c>
      <c r="M21" s="80">
        <f>M17*'00_Inputs_Dashboard'!$B$7</f>
        <v/>
      </c>
      <c r="N21" s="80">
        <f>N17*'00_Inputs_Dashboard'!$B$7</f>
        <v/>
      </c>
      <c r="O21" s="80">
        <f>O17*'00_Inputs_Dashboard'!$B$7</f>
        <v/>
      </c>
      <c r="P21" s="80">
        <f>P17*'00_Inputs_Dashboard'!$B$7</f>
        <v/>
      </c>
      <c r="Q21" s="80">
        <f>Q17*'00_Inputs_Dashboard'!$B$7</f>
        <v/>
      </c>
      <c r="R21" s="80">
        <f>R17*'00_Inputs_Dashboard'!$B$7</f>
        <v/>
      </c>
      <c r="S21" s="80">
        <f>S17*'00_Inputs_Dashboard'!$B$7</f>
        <v/>
      </c>
      <c r="T21" s="80">
        <f>T17*'00_Inputs_Dashboard'!$B$7</f>
        <v/>
      </c>
      <c r="U21" s="80">
        <f>U17*'00_Inputs_Dashboard'!$B$7</f>
        <v/>
      </c>
      <c r="V21" s="80">
        <f>V17*'00_Inputs_Dashboard'!$B$7</f>
        <v/>
      </c>
      <c r="W21" s="80">
        <f>W17*'00_Inputs_Dashboard'!$B$7</f>
        <v/>
      </c>
      <c r="X21" s="80">
        <f>X17*'00_Inputs_Dashboard'!$B$7</f>
        <v/>
      </c>
      <c r="Y21" s="80">
        <f>Y17*'00_Inputs_Dashboard'!$B$7</f>
        <v/>
      </c>
      <c r="Z21" s="80">
        <f>Z17*'00_Inputs_Dashboard'!$B$7</f>
        <v/>
      </c>
      <c r="AA21" s="80">
        <f>AA17*'00_Inputs_Dashboard'!$B$7</f>
        <v/>
      </c>
      <c r="AB21" s="80">
        <f>AB17*'00_Inputs_Dashboard'!$B$7</f>
        <v/>
      </c>
      <c r="AC21" s="80">
        <f>AC17*'00_Inputs_Dashboard'!$B$7</f>
        <v/>
      </c>
      <c r="AD21" s="80">
        <f>AD17*'00_Inputs_Dashboard'!$B$7</f>
        <v/>
      </c>
      <c r="AE21" s="80">
        <f>AE17*'00_Inputs_Dashboard'!$B$7</f>
        <v/>
      </c>
    </row>
    <row r="22" ht="15" customHeight="1" s="106">
      <c r="A22" s="23" t="inlineStr">
        <is>
          <t>City property tax (annual)</t>
        </is>
      </c>
      <c r="B22" s="80">
        <f>(B34-B38*'00_Inputs_Dashboard'!$B$52*IF(1&lt;='00_Inputs_Dashboard'!$B$53,1,0))*((1+'00_Inputs_Dashboard'!$B$15)^(1-1))*'00_Inputs_Dashboard'!$B$21*'00_Inputs_Dashboard'!$B$50</f>
        <v/>
      </c>
      <c r="C22" s="80">
        <f>(C34-C38*'00_Inputs_Dashboard'!$B$52*IF(2&lt;='00_Inputs_Dashboard'!$B$53,1,0))*((1+'00_Inputs_Dashboard'!$B$15)^(2-1))*'00_Inputs_Dashboard'!$B$21*'00_Inputs_Dashboard'!$B$50</f>
        <v/>
      </c>
      <c r="D22" s="80">
        <f>(D34-D38*'00_Inputs_Dashboard'!$B$52*IF(3&lt;='00_Inputs_Dashboard'!$B$53,1,0))*((1+'00_Inputs_Dashboard'!$B$15)^(3-1))*'00_Inputs_Dashboard'!$B$21*'00_Inputs_Dashboard'!$B$50</f>
        <v/>
      </c>
      <c r="E22" s="80">
        <f>(E34-E38*'00_Inputs_Dashboard'!$B$52*IF(4&lt;='00_Inputs_Dashboard'!$B$53,1,0))*((1+'00_Inputs_Dashboard'!$B$15)^(4-1))*'00_Inputs_Dashboard'!$B$21*'00_Inputs_Dashboard'!$B$50</f>
        <v/>
      </c>
      <c r="F22" s="80">
        <f>(F34-F38*'00_Inputs_Dashboard'!$B$52*IF(5&lt;='00_Inputs_Dashboard'!$B$53,1,0))*((1+'00_Inputs_Dashboard'!$B$15)^(5-1))*'00_Inputs_Dashboard'!$B$21*'00_Inputs_Dashboard'!$B$50</f>
        <v/>
      </c>
      <c r="G22" s="80">
        <f>(G34-G38*'00_Inputs_Dashboard'!$B$52*IF(6&lt;='00_Inputs_Dashboard'!$B$53,1,0))*((1+'00_Inputs_Dashboard'!$B$15)^(6-1))*'00_Inputs_Dashboard'!$B$21*'00_Inputs_Dashboard'!$B$50</f>
        <v/>
      </c>
      <c r="H22" s="80">
        <f>(H34-H38*'00_Inputs_Dashboard'!$B$52*IF(7&lt;='00_Inputs_Dashboard'!$B$53,1,0))*((1+'00_Inputs_Dashboard'!$B$15)^(7-1))*'00_Inputs_Dashboard'!$B$21*'00_Inputs_Dashboard'!$B$50</f>
        <v/>
      </c>
      <c r="I22" s="80">
        <f>(I34-I38*'00_Inputs_Dashboard'!$B$52*IF(8&lt;='00_Inputs_Dashboard'!$B$53,1,0))*((1+'00_Inputs_Dashboard'!$B$15)^(8-1))*'00_Inputs_Dashboard'!$B$21*'00_Inputs_Dashboard'!$B$50</f>
        <v/>
      </c>
      <c r="J22" s="80">
        <f>(J34-J38*'00_Inputs_Dashboard'!$B$52*IF(9&lt;='00_Inputs_Dashboard'!$B$53,1,0))*((1+'00_Inputs_Dashboard'!$B$15)^(9-1))*'00_Inputs_Dashboard'!$B$21*'00_Inputs_Dashboard'!$B$50</f>
        <v/>
      </c>
      <c r="K22" s="80">
        <f>(K34-K38*'00_Inputs_Dashboard'!$B$52*IF(10&lt;='00_Inputs_Dashboard'!$B$53,1,0))*((1+'00_Inputs_Dashboard'!$B$15)^(10-1))*'00_Inputs_Dashboard'!$B$21*'00_Inputs_Dashboard'!$B$50</f>
        <v/>
      </c>
      <c r="L22" s="80">
        <f>(L34-L38*'00_Inputs_Dashboard'!$B$52*IF(11&lt;='00_Inputs_Dashboard'!$B$53,1,0))*((1+'00_Inputs_Dashboard'!$B$15)^(11-1))*'00_Inputs_Dashboard'!$B$21*'00_Inputs_Dashboard'!$B$50</f>
        <v/>
      </c>
      <c r="M22" s="80">
        <f>(M34-M38*'00_Inputs_Dashboard'!$B$52*IF(12&lt;='00_Inputs_Dashboard'!$B$53,1,0))*((1+'00_Inputs_Dashboard'!$B$15)^(12-1))*'00_Inputs_Dashboard'!$B$21*'00_Inputs_Dashboard'!$B$50</f>
        <v/>
      </c>
      <c r="N22" s="80">
        <f>(N34-N38*'00_Inputs_Dashboard'!$B$52*IF(13&lt;='00_Inputs_Dashboard'!$B$53,1,0))*((1+'00_Inputs_Dashboard'!$B$15)^(13-1))*'00_Inputs_Dashboard'!$B$21*'00_Inputs_Dashboard'!$B$50</f>
        <v/>
      </c>
      <c r="O22" s="80">
        <f>(O34-O38*'00_Inputs_Dashboard'!$B$52*IF(14&lt;='00_Inputs_Dashboard'!$B$53,1,0))*((1+'00_Inputs_Dashboard'!$B$15)^(14-1))*'00_Inputs_Dashboard'!$B$21*'00_Inputs_Dashboard'!$B$50</f>
        <v/>
      </c>
      <c r="P22" s="80">
        <f>(P34-P38*'00_Inputs_Dashboard'!$B$52*IF(15&lt;='00_Inputs_Dashboard'!$B$53,1,0))*((1+'00_Inputs_Dashboard'!$B$15)^(15-1))*'00_Inputs_Dashboard'!$B$21*'00_Inputs_Dashboard'!$B$50</f>
        <v/>
      </c>
      <c r="Q22" s="80">
        <f>(Q34-Q38*'00_Inputs_Dashboard'!$B$52*IF(16&lt;='00_Inputs_Dashboard'!$B$53,1,0))*((1+'00_Inputs_Dashboard'!$B$15)^(16-1))*'00_Inputs_Dashboard'!$B$21*'00_Inputs_Dashboard'!$B$50</f>
        <v/>
      </c>
      <c r="R22" s="80">
        <f>(R34-R38*'00_Inputs_Dashboard'!$B$52*IF(17&lt;='00_Inputs_Dashboard'!$B$53,1,0))*((1+'00_Inputs_Dashboard'!$B$15)^(17-1))*'00_Inputs_Dashboard'!$B$21*'00_Inputs_Dashboard'!$B$50</f>
        <v/>
      </c>
      <c r="S22" s="80">
        <f>(S34-S38*'00_Inputs_Dashboard'!$B$52*IF(18&lt;='00_Inputs_Dashboard'!$B$53,1,0))*((1+'00_Inputs_Dashboard'!$B$15)^(18-1))*'00_Inputs_Dashboard'!$B$21*'00_Inputs_Dashboard'!$B$50</f>
        <v/>
      </c>
      <c r="T22" s="80">
        <f>(T34-T38*'00_Inputs_Dashboard'!$B$52*IF(19&lt;='00_Inputs_Dashboard'!$B$53,1,0))*((1+'00_Inputs_Dashboard'!$B$15)^(19-1))*'00_Inputs_Dashboard'!$B$21*'00_Inputs_Dashboard'!$B$50</f>
        <v/>
      </c>
      <c r="U22" s="80">
        <f>(U34-U38*'00_Inputs_Dashboard'!$B$52*IF(20&lt;='00_Inputs_Dashboard'!$B$53,1,0))*((1+'00_Inputs_Dashboard'!$B$15)^(20-1))*'00_Inputs_Dashboard'!$B$21*'00_Inputs_Dashboard'!$B$50</f>
        <v/>
      </c>
      <c r="V22" s="80">
        <f>(V34-V38*'00_Inputs_Dashboard'!$B$52*IF(21&lt;='00_Inputs_Dashboard'!$B$53,1,0))*((1+'00_Inputs_Dashboard'!$B$15)^(21-1))*'00_Inputs_Dashboard'!$B$21*'00_Inputs_Dashboard'!$B$50</f>
        <v/>
      </c>
      <c r="W22" s="80">
        <f>(W34-W38*'00_Inputs_Dashboard'!$B$52*IF(22&lt;='00_Inputs_Dashboard'!$B$53,1,0))*((1+'00_Inputs_Dashboard'!$B$15)^(22-1))*'00_Inputs_Dashboard'!$B$21*'00_Inputs_Dashboard'!$B$50</f>
        <v/>
      </c>
      <c r="X22" s="80">
        <f>(X34-X38*'00_Inputs_Dashboard'!$B$52*IF(23&lt;='00_Inputs_Dashboard'!$B$53,1,0))*((1+'00_Inputs_Dashboard'!$B$15)^(23-1))*'00_Inputs_Dashboard'!$B$21*'00_Inputs_Dashboard'!$B$50</f>
        <v/>
      </c>
      <c r="Y22" s="80">
        <f>(Y34-Y38*'00_Inputs_Dashboard'!$B$52*IF(24&lt;='00_Inputs_Dashboard'!$B$53,1,0))*((1+'00_Inputs_Dashboard'!$B$15)^(24-1))*'00_Inputs_Dashboard'!$B$21*'00_Inputs_Dashboard'!$B$50</f>
        <v/>
      </c>
      <c r="Z22" s="80">
        <f>(Z34-Z38*'00_Inputs_Dashboard'!$B$52*IF(25&lt;='00_Inputs_Dashboard'!$B$53,1,0))*((1+'00_Inputs_Dashboard'!$B$15)^(25-1))*'00_Inputs_Dashboard'!$B$21*'00_Inputs_Dashboard'!$B$50</f>
        <v/>
      </c>
      <c r="AA22" s="80">
        <f>(AA34-AA38*'00_Inputs_Dashboard'!$B$52*IF(26&lt;='00_Inputs_Dashboard'!$B$53,1,0))*((1+'00_Inputs_Dashboard'!$B$15)^(26-1))*'00_Inputs_Dashboard'!$B$21*'00_Inputs_Dashboard'!$B$50</f>
        <v/>
      </c>
      <c r="AB22" s="80">
        <f>(AB34-AB38*'00_Inputs_Dashboard'!$B$52*IF(27&lt;='00_Inputs_Dashboard'!$B$53,1,0))*((1+'00_Inputs_Dashboard'!$B$15)^(27-1))*'00_Inputs_Dashboard'!$B$21*'00_Inputs_Dashboard'!$B$50</f>
        <v/>
      </c>
      <c r="AC22" s="80">
        <f>(AC34-AC38*'00_Inputs_Dashboard'!$B$52*IF(28&lt;='00_Inputs_Dashboard'!$B$53,1,0))*((1+'00_Inputs_Dashboard'!$B$15)^(28-1))*'00_Inputs_Dashboard'!$B$21*'00_Inputs_Dashboard'!$B$50</f>
        <v/>
      </c>
      <c r="AD22" s="80">
        <f>(AD34-AD38*'00_Inputs_Dashboard'!$B$52*IF(29&lt;='00_Inputs_Dashboard'!$B$53,1,0))*((1+'00_Inputs_Dashboard'!$B$15)^(29-1))*'00_Inputs_Dashboard'!$B$21*'00_Inputs_Dashboard'!$B$50</f>
        <v/>
      </c>
      <c r="AE22" s="80">
        <f>(AE34-AE38*'00_Inputs_Dashboard'!$B$52*IF(30&lt;='00_Inputs_Dashboard'!$B$53,1,0))*((1+'00_Inputs_Dashboard'!$B$15)^(30-1))*'00_Inputs_Dashboard'!$B$21*'00_Inputs_Dashboard'!$B$50</f>
        <v/>
      </c>
    </row>
    <row r="23" ht="15" customHeight="1" s="106">
      <c r="A23" s="23" t="inlineStr">
        <is>
          <t>ESD property tax (annual)</t>
        </is>
      </c>
      <c r="B23" s="80">
        <f>(B35-B39*'00_Inputs_Dashboard'!$B$52*IF(1&lt;='00_Inputs_Dashboard'!$B$53,1,0))*((1+'00_Inputs_Dashboard'!$B$15)^(1-1))*'00_Inputs_Dashboard'!$B$22*'00_Inputs_Dashboard'!$B$50</f>
        <v/>
      </c>
      <c r="C23" s="80">
        <f>(C35-C39*'00_Inputs_Dashboard'!$B$52*IF(2&lt;='00_Inputs_Dashboard'!$B$53,1,0))*((1+'00_Inputs_Dashboard'!$B$15)^(2-1))*'00_Inputs_Dashboard'!$B$22*'00_Inputs_Dashboard'!$B$50</f>
        <v/>
      </c>
      <c r="D23" s="80">
        <f>(D35-D39*'00_Inputs_Dashboard'!$B$52*IF(3&lt;='00_Inputs_Dashboard'!$B$53,1,0))*((1+'00_Inputs_Dashboard'!$B$15)^(3-1))*'00_Inputs_Dashboard'!$B$22*'00_Inputs_Dashboard'!$B$50</f>
        <v/>
      </c>
      <c r="E23" s="80">
        <f>(E35-E39*'00_Inputs_Dashboard'!$B$52*IF(4&lt;='00_Inputs_Dashboard'!$B$53,1,0))*((1+'00_Inputs_Dashboard'!$B$15)^(4-1))*'00_Inputs_Dashboard'!$B$22*'00_Inputs_Dashboard'!$B$50</f>
        <v/>
      </c>
      <c r="F23" s="80">
        <f>(F35-F39*'00_Inputs_Dashboard'!$B$52*IF(5&lt;='00_Inputs_Dashboard'!$B$53,1,0))*((1+'00_Inputs_Dashboard'!$B$15)^(5-1))*'00_Inputs_Dashboard'!$B$22*'00_Inputs_Dashboard'!$B$50</f>
        <v/>
      </c>
      <c r="G23" s="80">
        <f>(G35-G39*'00_Inputs_Dashboard'!$B$52*IF(6&lt;='00_Inputs_Dashboard'!$B$53,1,0))*((1+'00_Inputs_Dashboard'!$B$15)^(6-1))*'00_Inputs_Dashboard'!$B$22*'00_Inputs_Dashboard'!$B$50</f>
        <v/>
      </c>
      <c r="H23" s="80">
        <f>(H35-H39*'00_Inputs_Dashboard'!$B$52*IF(7&lt;='00_Inputs_Dashboard'!$B$53,1,0))*((1+'00_Inputs_Dashboard'!$B$15)^(7-1))*'00_Inputs_Dashboard'!$B$22*'00_Inputs_Dashboard'!$B$50</f>
        <v/>
      </c>
      <c r="I23" s="80">
        <f>(I35-I39*'00_Inputs_Dashboard'!$B$52*IF(8&lt;='00_Inputs_Dashboard'!$B$53,1,0))*((1+'00_Inputs_Dashboard'!$B$15)^(8-1))*'00_Inputs_Dashboard'!$B$22*'00_Inputs_Dashboard'!$B$50</f>
        <v/>
      </c>
      <c r="J23" s="80">
        <f>(J35-J39*'00_Inputs_Dashboard'!$B$52*IF(9&lt;='00_Inputs_Dashboard'!$B$53,1,0))*((1+'00_Inputs_Dashboard'!$B$15)^(9-1))*'00_Inputs_Dashboard'!$B$22*'00_Inputs_Dashboard'!$B$50</f>
        <v/>
      </c>
      <c r="K23" s="80">
        <f>(K35-K39*'00_Inputs_Dashboard'!$B$52*IF(10&lt;='00_Inputs_Dashboard'!$B$53,1,0))*((1+'00_Inputs_Dashboard'!$B$15)^(10-1))*'00_Inputs_Dashboard'!$B$22*'00_Inputs_Dashboard'!$B$50</f>
        <v/>
      </c>
      <c r="L23" s="80">
        <f>(L35-L39*'00_Inputs_Dashboard'!$B$52*IF(11&lt;='00_Inputs_Dashboard'!$B$53,1,0))*((1+'00_Inputs_Dashboard'!$B$15)^(11-1))*'00_Inputs_Dashboard'!$B$22*'00_Inputs_Dashboard'!$B$50</f>
        <v/>
      </c>
      <c r="M23" s="80">
        <f>(M35-M39*'00_Inputs_Dashboard'!$B$52*IF(12&lt;='00_Inputs_Dashboard'!$B$53,1,0))*((1+'00_Inputs_Dashboard'!$B$15)^(12-1))*'00_Inputs_Dashboard'!$B$22*'00_Inputs_Dashboard'!$B$50</f>
        <v/>
      </c>
      <c r="N23" s="80">
        <f>(N35-N39*'00_Inputs_Dashboard'!$B$52*IF(13&lt;='00_Inputs_Dashboard'!$B$53,1,0))*((1+'00_Inputs_Dashboard'!$B$15)^(13-1))*'00_Inputs_Dashboard'!$B$22*'00_Inputs_Dashboard'!$B$50</f>
        <v/>
      </c>
      <c r="O23" s="80">
        <f>(O35-O39*'00_Inputs_Dashboard'!$B$52*IF(14&lt;='00_Inputs_Dashboard'!$B$53,1,0))*((1+'00_Inputs_Dashboard'!$B$15)^(14-1))*'00_Inputs_Dashboard'!$B$22*'00_Inputs_Dashboard'!$B$50</f>
        <v/>
      </c>
      <c r="P23" s="80">
        <f>(P35-P39*'00_Inputs_Dashboard'!$B$52*IF(15&lt;='00_Inputs_Dashboard'!$B$53,1,0))*((1+'00_Inputs_Dashboard'!$B$15)^(15-1))*'00_Inputs_Dashboard'!$B$22*'00_Inputs_Dashboard'!$B$50</f>
        <v/>
      </c>
      <c r="Q23" s="80">
        <f>(Q35-Q39*'00_Inputs_Dashboard'!$B$52*IF(16&lt;='00_Inputs_Dashboard'!$B$53,1,0))*((1+'00_Inputs_Dashboard'!$B$15)^(16-1))*'00_Inputs_Dashboard'!$B$22*'00_Inputs_Dashboard'!$B$50</f>
        <v/>
      </c>
      <c r="R23" s="80">
        <f>(R35-R39*'00_Inputs_Dashboard'!$B$52*IF(17&lt;='00_Inputs_Dashboard'!$B$53,1,0))*((1+'00_Inputs_Dashboard'!$B$15)^(17-1))*'00_Inputs_Dashboard'!$B$22*'00_Inputs_Dashboard'!$B$50</f>
        <v/>
      </c>
      <c r="S23" s="80">
        <f>(S35-S39*'00_Inputs_Dashboard'!$B$52*IF(18&lt;='00_Inputs_Dashboard'!$B$53,1,0))*((1+'00_Inputs_Dashboard'!$B$15)^(18-1))*'00_Inputs_Dashboard'!$B$22*'00_Inputs_Dashboard'!$B$50</f>
        <v/>
      </c>
      <c r="T23" s="80">
        <f>(T35-T39*'00_Inputs_Dashboard'!$B$52*IF(19&lt;='00_Inputs_Dashboard'!$B$53,1,0))*((1+'00_Inputs_Dashboard'!$B$15)^(19-1))*'00_Inputs_Dashboard'!$B$22*'00_Inputs_Dashboard'!$B$50</f>
        <v/>
      </c>
      <c r="U23" s="80">
        <f>(U35-U39*'00_Inputs_Dashboard'!$B$52*IF(20&lt;='00_Inputs_Dashboard'!$B$53,1,0))*((1+'00_Inputs_Dashboard'!$B$15)^(20-1))*'00_Inputs_Dashboard'!$B$22*'00_Inputs_Dashboard'!$B$50</f>
        <v/>
      </c>
      <c r="V23" s="80">
        <f>(V35-V39*'00_Inputs_Dashboard'!$B$52*IF(21&lt;='00_Inputs_Dashboard'!$B$53,1,0))*((1+'00_Inputs_Dashboard'!$B$15)^(21-1))*'00_Inputs_Dashboard'!$B$22*'00_Inputs_Dashboard'!$B$50</f>
        <v/>
      </c>
      <c r="W23" s="80">
        <f>(W35-W39*'00_Inputs_Dashboard'!$B$52*IF(22&lt;='00_Inputs_Dashboard'!$B$53,1,0))*((1+'00_Inputs_Dashboard'!$B$15)^(22-1))*'00_Inputs_Dashboard'!$B$22*'00_Inputs_Dashboard'!$B$50</f>
        <v/>
      </c>
      <c r="X23" s="80">
        <f>(X35-X39*'00_Inputs_Dashboard'!$B$52*IF(23&lt;='00_Inputs_Dashboard'!$B$53,1,0))*((1+'00_Inputs_Dashboard'!$B$15)^(23-1))*'00_Inputs_Dashboard'!$B$22*'00_Inputs_Dashboard'!$B$50</f>
        <v/>
      </c>
      <c r="Y23" s="80">
        <f>(Y35-Y39*'00_Inputs_Dashboard'!$B$52*IF(24&lt;='00_Inputs_Dashboard'!$B$53,1,0))*((1+'00_Inputs_Dashboard'!$B$15)^(24-1))*'00_Inputs_Dashboard'!$B$22*'00_Inputs_Dashboard'!$B$50</f>
        <v/>
      </c>
      <c r="Z23" s="80">
        <f>(Z35-Z39*'00_Inputs_Dashboard'!$B$52*IF(25&lt;='00_Inputs_Dashboard'!$B$53,1,0))*((1+'00_Inputs_Dashboard'!$B$15)^(25-1))*'00_Inputs_Dashboard'!$B$22*'00_Inputs_Dashboard'!$B$50</f>
        <v/>
      </c>
      <c r="AA23" s="80">
        <f>(AA35-AA39*'00_Inputs_Dashboard'!$B$52*IF(26&lt;='00_Inputs_Dashboard'!$B$53,1,0))*((1+'00_Inputs_Dashboard'!$B$15)^(26-1))*'00_Inputs_Dashboard'!$B$22*'00_Inputs_Dashboard'!$B$50</f>
        <v/>
      </c>
      <c r="AB23" s="80">
        <f>(AB35-AB39*'00_Inputs_Dashboard'!$B$52*IF(27&lt;='00_Inputs_Dashboard'!$B$53,1,0))*((1+'00_Inputs_Dashboard'!$B$15)^(27-1))*'00_Inputs_Dashboard'!$B$22*'00_Inputs_Dashboard'!$B$50</f>
        <v/>
      </c>
      <c r="AC23" s="80">
        <f>(AC35-AC39*'00_Inputs_Dashboard'!$B$52*IF(28&lt;='00_Inputs_Dashboard'!$B$53,1,0))*((1+'00_Inputs_Dashboard'!$B$15)^(28-1))*'00_Inputs_Dashboard'!$B$22*'00_Inputs_Dashboard'!$B$50</f>
        <v/>
      </c>
      <c r="AD23" s="80">
        <f>(AD35-AD39*'00_Inputs_Dashboard'!$B$52*IF(29&lt;='00_Inputs_Dashboard'!$B$53,1,0))*((1+'00_Inputs_Dashboard'!$B$15)^(29-1))*'00_Inputs_Dashboard'!$B$22*'00_Inputs_Dashboard'!$B$50</f>
        <v/>
      </c>
      <c r="AE23" s="80">
        <f>(AE35-AE39*'00_Inputs_Dashboard'!$B$52*IF(30&lt;='00_Inputs_Dashboard'!$B$53,1,0))*((1+'00_Inputs_Dashboard'!$B$15)^(30-1))*'00_Inputs_Dashboard'!$B$22*'00_Inputs_Dashboard'!$B$50</f>
        <v/>
      </c>
    </row>
    <row r="24" ht="15" customHeight="1" s="106">
      <c r="A24" s="23" t="inlineStr">
        <is>
          <t>Impact fees (annual, one-time × APF)</t>
        </is>
      </c>
      <c r="B24" s="80">
        <f>SUMPRODUCT(--(Scenarios!$C$3:$C$27=TRUE()),Scenarios!$Z$3:$Z$27,'09_Phase_Factors'!$D$30:$D$54)</f>
        <v/>
      </c>
      <c r="C24" s="80">
        <f>SUMPRODUCT(--(Scenarios!$C$3:$C$27=TRUE()),Scenarios!$Z$3:$Z$27,'09_Phase_Factors'!$E$30:$E$54)</f>
        <v/>
      </c>
      <c r="D24" s="80">
        <f>SUMPRODUCT(--(Scenarios!$C$3:$C$27=TRUE()),Scenarios!$Z$3:$Z$27,'09_Phase_Factors'!$F$30:$F$54)</f>
        <v/>
      </c>
      <c r="E24" s="80">
        <f>SUMPRODUCT(--(Scenarios!$C$3:$C$27=TRUE()),Scenarios!$Z$3:$Z$27,'09_Phase_Factors'!$G$30:$G$54)</f>
        <v/>
      </c>
      <c r="F24" s="80">
        <f>SUMPRODUCT(--(Scenarios!$C$3:$C$27=TRUE()),Scenarios!$Z$3:$Z$27,'09_Phase_Factors'!$H$30:$H$54)</f>
        <v/>
      </c>
      <c r="G24" s="80">
        <f>SUMPRODUCT(--(Scenarios!$C$3:$C$27=TRUE()),Scenarios!$Z$3:$Z$27,'09_Phase_Factors'!$I$30:$I$54)</f>
        <v/>
      </c>
      <c r="H24" s="80">
        <f>SUMPRODUCT(--(Scenarios!$C$3:$C$27=TRUE()),Scenarios!$Z$3:$Z$27,'09_Phase_Factors'!$J$30:$J$54)</f>
        <v/>
      </c>
      <c r="I24" s="80">
        <f>SUMPRODUCT(--(Scenarios!$C$3:$C$27=TRUE()),Scenarios!$Z$3:$Z$27,'09_Phase_Factors'!$K$30:$K$54)</f>
        <v/>
      </c>
      <c r="J24" s="80">
        <f>SUMPRODUCT(--(Scenarios!$C$3:$C$27=TRUE()),Scenarios!$Z$3:$Z$27,'09_Phase_Factors'!$L$30:$L$54)</f>
        <v/>
      </c>
      <c r="K24" s="80">
        <f>SUMPRODUCT(--(Scenarios!$C$3:$C$27=TRUE()),Scenarios!$Z$3:$Z$27,'09_Phase_Factors'!$M$30:$M$54)</f>
        <v/>
      </c>
      <c r="L24" s="80">
        <f>SUMPRODUCT(--(Scenarios!$C$3:$C$27=TRUE()),Scenarios!$Z$3:$Z$27,'09_Phase_Factors'!$N$30:$N$54)</f>
        <v/>
      </c>
      <c r="M24" s="80">
        <f>SUMPRODUCT(--(Scenarios!$C$3:$C$27=TRUE()),Scenarios!$Z$3:$Z$27,'09_Phase_Factors'!$O$30:$O$54)</f>
        <v/>
      </c>
      <c r="N24" s="80">
        <f>SUMPRODUCT(--(Scenarios!$C$3:$C$27=TRUE()),Scenarios!$Z$3:$Z$27,'09_Phase_Factors'!$P$30:$P$54)</f>
        <v/>
      </c>
      <c r="O24" s="80">
        <f>SUMPRODUCT(--(Scenarios!$C$3:$C$27=TRUE()),Scenarios!$Z$3:$Z$27,'09_Phase_Factors'!$Q$30:$Q$54)</f>
        <v/>
      </c>
      <c r="P24" s="80">
        <f>SUMPRODUCT(--(Scenarios!$C$3:$C$27=TRUE()),Scenarios!$Z$3:$Z$27,'09_Phase_Factors'!$R$30:$R$54)</f>
        <v/>
      </c>
      <c r="Q24" s="80">
        <f>SUMPRODUCT(--(Scenarios!$C$3:$C$27=TRUE()),Scenarios!$Z$3:$Z$27,'09_Phase_Factors'!$S$30:$S$54)</f>
        <v/>
      </c>
      <c r="R24" s="80">
        <f>SUMPRODUCT(--(Scenarios!$C$3:$C$27=TRUE()),Scenarios!$Z$3:$Z$27,'09_Phase_Factors'!$T$30:$T$54)</f>
        <v/>
      </c>
      <c r="S24" s="80">
        <f>SUMPRODUCT(--(Scenarios!$C$3:$C$27=TRUE()),Scenarios!$Z$3:$Z$27,'09_Phase_Factors'!$U$30:$U$54)</f>
        <v/>
      </c>
      <c r="T24" s="80">
        <f>SUMPRODUCT(--(Scenarios!$C$3:$C$27=TRUE()),Scenarios!$Z$3:$Z$27,'09_Phase_Factors'!$V$30:$V$54)</f>
        <v/>
      </c>
      <c r="U24" s="80">
        <f>SUMPRODUCT(--(Scenarios!$C$3:$C$27=TRUE()),Scenarios!$Z$3:$Z$27,'09_Phase_Factors'!$W$30:$W$54)</f>
        <v/>
      </c>
      <c r="V24" s="80">
        <f>SUMPRODUCT(--(Scenarios!$C$3:$C$27=TRUE()),Scenarios!$Z$3:$Z$27,'09_Phase_Factors'!$X$30:$X$54)</f>
        <v/>
      </c>
      <c r="W24" s="80">
        <f>SUMPRODUCT(--(Scenarios!$C$3:$C$27=TRUE()),Scenarios!$Z$3:$Z$27,'09_Phase_Factors'!$Y$30:$Y$54)</f>
        <v/>
      </c>
      <c r="X24" s="80">
        <f>SUMPRODUCT(--(Scenarios!$C$3:$C$27=TRUE()),Scenarios!$Z$3:$Z$27,'09_Phase_Factors'!$Z$30:$Z$54)</f>
        <v/>
      </c>
      <c r="Y24" s="80">
        <f>SUMPRODUCT(--(Scenarios!$C$3:$C$27=TRUE()),Scenarios!$Z$3:$Z$27,'09_Phase_Factors'!$AA$30:$AA$54)</f>
        <v/>
      </c>
      <c r="Z24" s="80">
        <f>SUMPRODUCT(--(Scenarios!$C$3:$C$27=TRUE()),Scenarios!$Z$3:$Z$27,'09_Phase_Factors'!$AB$30:$AB$54)</f>
        <v/>
      </c>
      <c r="AA24" s="80">
        <f>SUMPRODUCT(--(Scenarios!$C$3:$C$27=TRUE()),Scenarios!$Z$3:$Z$27,'09_Phase_Factors'!$AC$30:$AC$54)</f>
        <v/>
      </c>
      <c r="AB24" s="80">
        <f>SUMPRODUCT(--(Scenarios!$C$3:$C$27=TRUE()),Scenarios!$Z$3:$Z$27,'09_Phase_Factors'!$AD$30:$AD$54)</f>
        <v/>
      </c>
      <c r="AC24" s="80">
        <f>SUMPRODUCT(--(Scenarios!$C$3:$C$27=TRUE()),Scenarios!$Z$3:$Z$27,'09_Phase_Factors'!$AE$30:$AE$54)</f>
        <v/>
      </c>
      <c r="AD24" s="80">
        <f>SUMPRODUCT(--(Scenarios!$C$3:$C$27=TRUE()),Scenarios!$Z$3:$Z$27,'09_Phase_Factors'!$AF$30:$AF$54)</f>
        <v/>
      </c>
      <c r="AE24" s="80">
        <f>SUMPRODUCT(--(Scenarios!$C$3:$C$27=TRUE()),Scenarios!$Z$3:$Z$27,'09_Phase_Factors'!$AG$30:$AG$54)</f>
        <v/>
      </c>
    </row>
    <row r="25" ht="15" customHeight="1" s="106">
      <c r="A25" s="23" t="inlineStr">
        <is>
          <t>City operating cost (annual, multi-driver)</t>
        </is>
      </c>
      <c r="B25" s="80">
        <f>(SUMPRODUCT(--(Scenarios!$C$3:$C$27=TRUE()),--(Scenarios!$AA$3:$AA$27&lt;&gt;""),Scenarios!$AA$3:$AA$27,'09_Phase_Factors'!$D$4:$D$28)+SUMPRODUCT(--(Scenarios!$C$3:$C$27=TRUE()),--(Scenarios!$AA$3:$AA$27=""),(Scenarios!$M$3:$M$27*'09_Phase_Factors'!$AH$4:$AH$28+Scenarios!$V$3:$V$27*'09_Phase_Factors'!$AI$4:$AI$28+Scenarios!$T$3:$T$27*'09_Phase_Factors'!$AJ$4:$AJ$28+Scenarios!$U$3:$U$27*'09_Phase_Factors'!$AK$4:$AK$28),'09_Phase_Factors'!$D$4:$D$28))*((1+'00_Inputs_Dashboard'!$B$23)^(1-1))</f>
        <v/>
      </c>
      <c r="C25" s="80">
        <f>(SUMPRODUCT(--(Scenarios!$C$3:$C$27=TRUE()),--(Scenarios!$AA$3:$AA$27&lt;&gt;""),Scenarios!$AA$3:$AA$27,'09_Phase_Factors'!$E$4:$E$28)+SUMPRODUCT(--(Scenarios!$C$3:$C$27=TRUE()),--(Scenarios!$AA$3:$AA$27=""),(Scenarios!$M$3:$M$27*'09_Phase_Factors'!$AH$4:$AH$28+Scenarios!$V$3:$V$27*'09_Phase_Factors'!$AI$4:$AI$28+Scenarios!$T$3:$T$27*'09_Phase_Factors'!$AJ$4:$AJ$28+Scenarios!$U$3:$U$27*'09_Phase_Factors'!$AK$4:$AK$28),'09_Phase_Factors'!$E$4:$E$28))*((1+'00_Inputs_Dashboard'!$B$23)^(2-1))</f>
        <v/>
      </c>
      <c r="D25" s="80">
        <f>(SUMPRODUCT(--(Scenarios!$C$3:$C$27=TRUE()),--(Scenarios!$AA$3:$AA$27&lt;&gt;""),Scenarios!$AA$3:$AA$27,'09_Phase_Factors'!$F$4:$F$28)+SUMPRODUCT(--(Scenarios!$C$3:$C$27=TRUE()),--(Scenarios!$AA$3:$AA$27=""),(Scenarios!$M$3:$M$27*'09_Phase_Factors'!$AH$4:$AH$28+Scenarios!$V$3:$V$27*'09_Phase_Factors'!$AI$4:$AI$28+Scenarios!$T$3:$T$27*'09_Phase_Factors'!$AJ$4:$AJ$28+Scenarios!$U$3:$U$27*'09_Phase_Factors'!$AK$4:$AK$28),'09_Phase_Factors'!$F$4:$F$28))*((1+'00_Inputs_Dashboard'!$B$23)^(3-1))</f>
        <v/>
      </c>
      <c r="E25" s="80">
        <f>(SUMPRODUCT(--(Scenarios!$C$3:$C$27=TRUE()),--(Scenarios!$AA$3:$AA$27&lt;&gt;""),Scenarios!$AA$3:$AA$27,'09_Phase_Factors'!$G$4:$G$28)+SUMPRODUCT(--(Scenarios!$C$3:$C$27=TRUE()),--(Scenarios!$AA$3:$AA$27=""),(Scenarios!$M$3:$M$27*'09_Phase_Factors'!$AH$4:$AH$28+Scenarios!$V$3:$V$27*'09_Phase_Factors'!$AI$4:$AI$28+Scenarios!$T$3:$T$27*'09_Phase_Factors'!$AJ$4:$AJ$28+Scenarios!$U$3:$U$27*'09_Phase_Factors'!$AK$4:$AK$28),'09_Phase_Factors'!$G$4:$G$28))*((1+'00_Inputs_Dashboard'!$B$23)^(4-1))</f>
        <v/>
      </c>
      <c r="F25" s="80">
        <f>(SUMPRODUCT(--(Scenarios!$C$3:$C$27=TRUE()),--(Scenarios!$AA$3:$AA$27&lt;&gt;""),Scenarios!$AA$3:$AA$27,'09_Phase_Factors'!$H$4:$H$28)+SUMPRODUCT(--(Scenarios!$C$3:$C$27=TRUE()),--(Scenarios!$AA$3:$AA$27=""),(Scenarios!$M$3:$M$27*'09_Phase_Factors'!$AH$4:$AH$28+Scenarios!$V$3:$V$27*'09_Phase_Factors'!$AI$4:$AI$28+Scenarios!$T$3:$T$27*'09_Phase_Factors'!$AJ$4:$AJ$28+Scenarios!$U$3:$U$27*'09_Phase_Factors'!$AK$4:$AK$28),'09_Phase_Factors'!$H$4:$H$28))*((1+'00_Inputs_Dashboard'!$B$23)^(5-1))</f>
        <v/>
      </c>
      <c r="G25" s="80">
        <f>(SUMPRODUCT(--(Scenarios!$C$3:$C$27=TRUE()),--(Scenarios!$AA$3:$AA$27&lt;&gt;""),Scenarios!$AA$3:$AA$27,'09_Phase_Factors'!$I$4:$I$28)+SUMPRODUCT(--(Scenarios!$C$3:$C$27=TRUE()),--(Scenarios!$AA$3:$AA$27=""),(Scenarios!$M$3:$M$27*'09_Phase_Factors'!$AH$4:$AH$28+Scenarios!$V$3:$V$27*'09_Phase_Factors'!$AI$4:$AI$28+Scenarios!$T$3:$T$27*'09_Phase_Factors'!$AJ$4:$AJ$28+Scenarios!$U$3:$U$27*'09_Phase_Factors'!$AK$4:$AK$28),'09_Phase_Factors'!$I$4:$I$28))*((1+'00_Inputs_Dashboard'!$B$23)^(6-1))</f>
        <v/>
      </c>
      <c r="H25" s="80">
        <f>(SUMPRODUCT(--(Scenarios!$C$3:$C$27=TRUE()),--(Scenarios!$AA$3:$AA$27&lt;&gt;""),Scenarios!$AA$3:$AA$27,'09_Phase_Factors'!$J$4:$J$28)+SUMPRODUCT(--(Scenarios!$C$3:$C$27=TRUE()),--(Scenarios!$AA$3:$AA$27=""),(Scenarios!$M$3:$M$27*'09_Phase_Factors'!$AH$4:$AH$28+Scenarios!$V$3:$V$27*'09_Phase_Factors'!$AI$4:$AI$28+Scenarios!$T$3:$T$27*'09_Phase_Factors'!$AJ$4:$AJ$28+Scenarios!$U$3:$U$27*'09_Phase_Factors'!$AK$4:$AK$28),'09_Phase_Factors'!$J$4:$J$28))*((1+'00_Inputs_Dashboard'!$B$23)^(7-1))</f>
        <v/>
      </c>
      <c r="I25" s="80">
        <f>(SUMPRODUCT(--(Scenarios!$C$3:$C$27=TRUE()),--(Scenarios!$AA$3:$AA$27&lt;&gt;""),Scenarios!$AA$3:$AA$27,'09_Phase_Factors'!$K$4:$K$28)+SUMPRODUCT(--(Scenarios!$C$3:$C$27=TRUE()),--(Scenarios!$AA$3:$AA$27=""),(Scenarios!$M$3:$M$27*'09_Phase_Factors'!$AH$4:$AH$28+Scenarios!$V$3:$V$27*'09_Phase_Factors'!$AI$4:$AI$28+Scenarios!$T$3:$T$27*'09_Phase_Factors'!$AJ$4:$AJ$28+Scenarios!$U$3:$U$27*'09_Phase_Factors'!$AK$4:$AK$28),'09_Phase_Factors'!$K$4:$K$28))*((1+'00_Inputs_Dashboard'!$B$23)^(8-1))</f>
        <v/>
      </c>
      <c r="J25" s="80">
        <f>(SUMPRODUCT(--(Scenarios!$C$3:$C$27=TRUE()),--(Scenarios!$AA$3:$AA$27&lt;&gt;""),Scenarios!$AA$3:$AA$27,'09_Phase_Factors'!$L$4:$L$28)+SUMPRODUCT(--(Scenarios!$C$3:$C$27=TRUE()),--(Scenarios!$AA$3:$AA$27=""),(Scenarios!$M$3:$M$27*'09_Phase_Factors'!$AH$4:$AH$28+Scenarios!$V$3:$V$27*'09_Phase_Factors'!$AI$4:$AI$28+Scenarios!$T$3:$T$27*'09_Phase_Factors'!$AJ$4:$AJ$28+Scenarios!$U$3:$U$27*'09_Phase_Factors'!$AK$4:$AK$28),'09_Phase_Factors'!$L$4:$L$28))*((1+'00_Inputs_Dashboard'!$B$23)^(9-1))</f>
        <v/>
      </c>
      <c r="K25" s="80">
        <f>(SUMPRODUCT(--(Scenarios!$C$3:$C$27=TRUE()),--(Scenarios!$AA$3:$AA$27&lt;&gt;""),Scenarios!$AA$3:$AA$27,'09_Phase_Factors'!$M$4:$M$28)+SUMPRODUCT(--(Scenarios!$C$3:$C$27=TRUE()),--(Scenarios!$AA$3:$AA$27=""),(Scenarios!$M$3:$M$27*'09_Phase_Factors'!$AH$4:$AH$28+Scenarios!$V$3:$V$27*'09_Phase_Factors'!$AI$4:$AI$28+Scenarios!$T$3:$T$27*'09_Phase_Factors'!$AJ$4:$AJ$28+Scenarios!$U$3:$U$27*'09_Phase_Factors'!$AK$4:$AK$28),'09_Phase_Factors'!$M$4:$M$28))*((1+'00_Inputs_Dashboard'!$B$23)^(10-1))</f>
        <v/>
      </c>
      <c r="L25" s="80">
        <f>(SUMPRODUCT(--(Scenarios!$C$3:$C$27=TRUE()),--(Scenarios!$AA$3:$AA$27&lt;&gt;""),Scenarios!$AA$3:$AA$27,'09_Phase_Factors'!$N$4:$N$28)+SUMPRODUCT(--(Scenarios!$C$3:$C$27=TRUE()),--(Scenarios!$AA$3:$AA$27=""),(Scenarios!$M$3:$M$27*'09_Phase_Factors'!$AH$4:$AH$28+Scenarios!$V$3:$V$27*'09_Phase_Factors'!$AI$4:$AI$28+Scenarios!$T$3:$T$27*'09_Phase_Factors'!$AJ$4:$AJ$28+Scenarios!$U$3:$U$27*'09_Phase_Factors'!$AK$4:$AK$28),'09_Phase_Factors'!$N$4:$N$28))*((1+'00_Inputs_Dashboard'!$B$23)^(11-1))</f>
        <v/>
      </c>
      <c r="M25" s="80">
        <f>(SUMPRODUCT(--(Scenarios!$C$3:$C$27=TRUE()),--(Scenarios!$AA$3:$AA$27&lt;&gt;""),Scenarios!$AA$3:$AA$27,'09_Phase_Factors'!$O$4:$O$28)+SUMPRODUCT(--(Scenarios!$C$3:$C$27=TRUE()),--(Scenarios!$AA$3:$AA$27=""),(Scenarios!$M$3:$M$27*'09_Phase_Factors'!$AH$4:$AH$28+Scenarios!$V$3:$V$27*'09_Phase_Factors'!$AI$4:$AI$28+Scenarios!$T$3:$T$27*'09_Phase_Factors'!$AJ$4:$AJ$28+Scenarios!$U$3:$U$27*'09_Phase_Factors'!$AK$4:$AK$28),'09_Phase_Factors'!$O$4:$O$28))*((1+'00_Inputs_Dashboard'!$B$23)^(12-1))</f>
        <v/>
      </c>
      <c r="N25" s="80">
        <f>(SUMPRODUCT(--(Scenarios!$C$3:$C$27=TRUE()),--(Scenarios!$AA$3:$AA$27&lt;&gt;""),Scenarios!$AA$3:$AA$27,'09_Phase_Factors'!$P$4:$P$28)+SUMPRODUCT(--(Scenarios!$C$3:$C$27=TRUE()),--(Scenarios!$AA$3:$AA$27=""),(Scenarios!$M$3:$M$27*'09_Phase_Factors'!$AH$4:$AH$28+Scenarios!$V$3:$V$27*'09_Phase_Factors'!$AI$4:$AI$28+Scenarios!$T$3:$T$27*'09_Phase_Factors'!$AJ$4:$AJ$28+Scenarios!$U$3:$U$27*'09_Phase_Factors'!$AK$4:$AK$28),'09_Phase_Factors'!$P$4:$P$28))*((1+'00_Inputs_Dashboard'!$B$23)^(13-1))</f>
        <v/>
      </c>
      <c r="O25" s="80">
        <f>(SUMPRODUCT(--(Scenarios!$C$3:$C$27=TRUE()),--(Scenarios!$AA$3:$AA$27&lt;&gt;""),Scenarios!$AA$3:$AA$27,'09_Phase_Factors'!$Q$4:$Q$28)+SUMPRODUCT(--(Scenarios!$C$3:$C$27=TRUE()),--(Scenarios!$AA$3:$AA$27=""),(Scenarios!$M$3:$M$27*'09_Phase_Factors'!$AH$4:$AH$28+Scenarios!$V$3:$V$27*'09_Phase_Factors'!$AI$4:$AI$28+Scenarios!$T$3:$T$27*'09_Phase_Factors'!$AJ$4:$AJ$28+Scenarios!$U$3:$U$27*'09_Phase_Factors'!$AK$4:$AK$28),'09_Phase_Factors'!$Q$4:$Q$28))*((1+'00_Inputs_Dashboard'!$B$23)^(14-1))</f>
        <v/>
      </c>
      <c r="P25" s="80">
        <f>(SUMPRODUCT(--(Scenarios!$C$3:$C$27=TRUE()),--(Scenarios!$AA$3:$AA$27&lt;&gt;""),Scenarios!$AA$3:$AA$27,'09_Phase_Factors'!$R$4:$R$28)+SUMPRODUCT(--(Scenarios!$C$3:$C$27=TRUE()),--(Scenarios!$AA$3:$AA$27=""),(Scenarios!$M$3:$M$27*'09_Phase_Factors'!$AH$4:$AH$28+Scenarios!$V$3:$V$27*'09_Phase_Factors'!$AI$4:$AI$28+Scenarios!$T$3:$T$27*'09_Phase_Factors'!$AJ$4:$AJ$28+Scenarios!$U$3:$U$27*'09_Phase_Factors'!$AK$4:$AK$28),'09_Phase_Factors'!$R$4:$R$28))*((1+'00_Inputs_Dashboard'!$B$23)^(15-1))</f>
        <v/>
      </c>
      <c r="Q25" s="80">
        <f>(SUMPRODUCT(--(Scenarios!$C$3:$C$27=TRUE()),--(Scenarios!$AA$3:$AA$27&lt;&gt;""),Scenarios!$AA$3:$AA$27,'09_Phase_Factors'!$S$4:$S$28)+SUMPRODUCT(--(Scenarios!$C$3:$C$27=TRUE()),--(Scenarios!$AA$3:$AA$27=""),(Scenarios!$M$3:$M$27*'09_Phase_Factors'!$AH$4:$AH$28+Scenarios!$V$3:$V$27*'09_Phase_Factors'!$AI$4:$AI$28+Scenarios!$T$3:$T$27*'09_Phase_Factors'!$AJ$4:$AJ$28+Scenarios!$U$3:$U$27*'09_Phase_Factors'!$AK$4:$AK$28),'09_Phase_Factors'!$S$4:$S$28))*((1+'00_Inputs_Dashboard'!$B$23)^(16-1))</f>
        <v/>
      </c>
      <c r="R25" s="80">
        <f>(SUMPRODUCT(--(Scenarios!$C$3:$C$27=TRUE()),--(Scenarios!$AA$3:$AA$27&lt;&gt;""),Scenarios!$AA$3:$AA$27,'09_Phase_Factors'!$T$4:$T$28)+SUMPRODUCT(--(Scenarios!$C$3:$C$27=TRUE()),--(Scenarios!$AA$3:$AA$27=""),(Scenarios!$M$3:$M$27*'09_Phase_Factors'!$AH$4:$AH$28+Scenarios!$V$3:$V$27*'09_Phase_Factors'!$AI$4:$AI$28+Scenarios!$T$3:$T$27*'09_Phase_Factors'!$AJ$4:$AJ$28+Scenarios!$U$3:$U$27*'09_Phase_Factors'!$AK$4:$AK$28),'09_Phase_Factors'!$T$4:$T$28))*((1+'00_Inputs_Dashboard'!$B$23)^(17-1))</f>
        <v/>
      </c>
      <c r="S25" s="80">
        <f>(SUMPRODUCT(--(Scenarios!$C$3:$C$27=TRUE()),--(Scenarios!$AA$3:$AA$27&lt;&gt;""),Scenarios!$AA$3:$AA$27,'09_Phase_Factors'!$U$4:$U$28)+SUMPRODUCT(--(Scenarios!$C$3:$C$27=TRUE()),--(Scenarios!$AA$3:$AA$27=""),(Scenarios!$M$3:$M$27*'09_Phase_Factors'!$AH$4:$AH$28+Scenarios!$V$3:$V$27*'09_Phase_Factors'!$AI$4:$AI$28+Scenarios!$T$3:$T$27*'09_Phase_Factors'!$AJ$4:$AJ$28+Scenarios!$U$3:$U$27*'09_Phase_Factors'!$AK$4:$AK$28),'09_Phase_Factors'!$U$4:$U$28))*((1+'00_Inputs_Dashboard'!$B$23)^(18-1))</f>
        <v/>
      </c>
      <c r="T25" s="80">
        <f>(SUMPRODUCT(--(Scenarios!$C$3:$C$27=TRUE()),--(Scenarios!$AA$3:$AA$27&lt;&gt;""),Scenarios!$AA$3:$AA$27,'09_Phase_Factors'!$V$4:$V$28)+SUMPRODUCT(--(Scenarios!$C$3:$C$27=TRUE()),--(Scenarios!$AA$3:$AA$27=""),(Scenarios!$M$3:$M$27*'09_Phase_Factors'!$AH$4:$AH$28+Scenarios!$V$3:$V$27*'09_Phase_Factors'!$AI$4:$AI$28+Scenarios!$T$3:$T$27*'09_Phase_Factors'!$AJ$4:$AJ$28+Scenarios!$U$3:$U$27*'09_Phase_Factors'!$AK$4:$AK$28),'09_Phase_Factors'!$V$4:$V$28))*((1+'00_Inputs_Dashboard'!$B$23)^(19-1))</f>
        <v/>
      </c>
      <c r="U25" s="80">
        <f>(SUMPRODUCT(--(Scenarios!$C$3:$C$27=TRUE()),--(Scenarios!$AA$3:$AA$27&lt;&gt;""),Scenarios!$AA$3:$AA$27,'09_Phase_Factors'!$W$4:$W$28)+SUMPRODUCT(--(Scenarios!$C$3:$C$27=TRUE()),--(Scenarios!$AA$3:$AA$27=""),(Scenarios!$M$3:$M$27*'09_Phase_Factors'!$AH$4:$AH$28+Scenarios!$V$3:$V$27*'09_Phase_Factors'!$AI$4:$AI$28+Scenarios!$T$3:$T$27*'09_Phase_Factors'!$AJ$4:$AJ$28+Scenarios!$U$3:$U$27*'09_Phase_Factors'!$AK$4:$AK$28),'09_Phase_Factors'!$W$4:$W$28))*((1+'00_Inputs_Dashboard'!$B$23)^(20-1))</f>
        <v/>
      </c>
      <c r="V25" s="80">
        <f>(SUMPRODUCT(--(Scenarios!$C$3:$C$27=TRUE()),--(Scenarios!$AA$3:$AA$27&lt;&gt;""),Scenarios!$AA$3:$AA$27,'09_Phase_Factors'!$X$4:$X$28)+SUMPRODUCT(--(Scenarios!$C$3:$C$27=TRUE()),--(Scenarios!$AA$3:$AA$27=""),(Scenarios!$M$3:$M$27*'09_Phase_Factors'!$AH$4:$AH$28+Scenarios!$V$3:$V$27*'09_Phase_Factors'!$AI$4:$AI$28+Scenarios!$T$3:$T$27*'09_Phase_Factors'!$AJ$4:$AJ$28+Scenarios!$U$3:$U$27*'09_Phase_Factors'!$AK$4:$AK$28),'09_Phase_Factors'!$X$4:$X$28))*((1+'00_Inputs_Dashboard'!$B$23)^(21-1))</f>
        <v/>
      </c>
      <c r="W25" s="80">
        <f>(SUMPRODUCT(--(Scenarios!$C$3:$C$27=TRUE()),--(Scenarios!$AA$3:$AA$27&lt;&gt;""),Scenarios!$AA$3:$AA$27,'09_Phase_Factors'!$Y$4:$Y$28)+SUMPRODUCT(--(Scenarios!$C$3:$C$27=TRUE()),--(Scenarios!$AA$3:$AA$27=""),(Scenarios!$M$3:$M$27*'09_Phase_Factors'!$AH$4:$AH$28+Scenarios!$V$3:$V$27*'09_Phase_Factors'!$AI$4:$AI$28+Scenarios!$T$3:$T$27*'09_Phase_Factors'!$AJ$4:$AJ$28+Scenarios!$U$3:$U$27*'09_Phase_Factors'!$AK$4:$AK$28),'09_Phase_Factors'!$Y$4:$Y$28))*((1+'00_Inputs_Dashboard'!$B$23)^(22-1))</f>
        <v/>
      </c>
      <c r="X25" s="80">
        <f>(SUMPRODUCT(--(Scenarios!$C$3:$C$27=TRUE()),--(Scenarios!$AA$3:$AA$27&lt;&gt;""),Scenarios!$AA$3:$AA$27,'09_Phase_Factors'!$Z$4:$Z$28)+SUMPRODUCT(--(Scenarios!$C$3:$C$27=TRUE()),--(Scenarios!$AA$3:$AA$27=""),(Scenarios!$M$3:$M$27*'09_Phase_Factors'!$AH$4:$AH$28+Scenarios!$V$3:$V$27*'09_Phase_Factors'!$AI$4:$AI$28+Scenarios!$T$3:$T$27*'09_Phase_Factors'!$AJ$4:$AJ$28+Scenarios!$U$3:$U$27*'09_Phase_Factors'!$AK$4:$AK$28),'09_Phase_Factors'!$Z$4:$Z$28))*((1+'00_Inputs_Dashboard'!$B$23)^(23-1))</f>
        <v/>
      </c>
      <c r="Y25" s="80">
        <f>(SUMPRODUCT(--(Scenarios!$C$3:$C$27=TRUE()),--(Scenarios!$AA$3:$AA$27&lt;&gt;""),Scenarios!$AA$3:$AA$27,'09_Phase_Factors'!$AA$4:$AA$28)+SUMPRODUCT(--(Scenarios!$C$3:$C$27=TRUE()),--(Scenarios!$AA$3:$AA$27=""),(Scenarios!$M$3:$M$27*'09_Phase_Factors'!$AH$4:$AH$28+Scenarios!$V$3:$V$27*'09_Phase_Factors'!$AI$4:$AI$28+Scenarios!$T$3:$T$27*'09_Phase_Factors'!$AJ$4:$AJ$28+Scenarios!$U$3:$U$27*'09_Phase_Factors'!$AK$4:$AK$28),'09_Phase_Factors'!$AA$4:$AA$28))*((1+'00_Inputs_Dashboard'!$B$23)^(24-1))</f>
        <v/>
      </c>
      <c r="Z25" s="80">
        <f>(SUMPRODUCT(--(Scenarios!$C$3:$C$27=TRUE()),--(Scenarios!$AA$3:$AA$27&lt;&gt;""),Scenarios!$AA$3:$AA$27,'09_Phase_Factors'!$AB$4:$AB$28)+SUMPRODUCT(--(Scenarios!$C$3:$C$27=TRUE()),--(Scenarios!$AA$3:$AA$27=""),(Scenarios!$M$3:$M$27*'09_Phase_Factors'!$AH$4:$AH$28+Scenarios!$V$3:$V$27*'09_Phase_Factors'!$AI$4:$AI$28+Scenarios!$T$3:$T$27*'09_Phase_Factors'!$AJ$4:$AJ$28+Scenarios!$U$3:$U$27*'09_Phase_Factors'!$AK$4:$AK$28),'09_Phase_Factors'!$AB$4:$AB$28))*((1+'00_Inputs_Dashboard'!$B$23)^(25-1))</f>
        <v/>
      </c>
      <c r="AA25" s="80">
        <f>(SUMPRODUCT(--(Scenarios!$C$3:$C$27=TRUE()),--(Scenarios!$AA$3:$AA$27&lt;&gt;""),Scenarios!$AA$3:$AA$27,'09_Phase_Factors'!$AC$4:$AC$28)+SUMPRODUCT(--(Scenarios!$C$3:$C$27=TRUE()),--(Scenarios!$AA$3:$AA$27=""),(Scenarios!$M$3:$M$27*'09_Phase_Factors'!$AH$4:$AH$28+Scenarios!$V$3:$V$27*'09_Phase_Factors'!$AI$4:$AI$28+Scenarios!$T$3:$T$27*'09_Phase_Factors'!$AJ$4:$AJ$28+Scenarios!$U$3:$U$27*'09_Phase_Factors'!$AK$4:$AK$28),'09_Phase_Factors'!$AC$4:$AC$28))*((1+'00_Inputs_Dashboard'!$B$23)^(26-1))</f>
        <v/>
      </c>
      <c r="AB25" s="80">
        <f>(SUMPRODUCT(--(Scenarios!$C$3:$C$27=TRUE()),--(Scenarios!$AA$3:$AA$27&lt;&gt;""),Scenarios!$AA$3:$AA$27,'09_Phase_Factors'!$AD$4:$AD$28)+SUMPRODUCT(--(Scenarios!$C$3:$C$27=TRUE()),--(Scenarios!$AA$3:$AA$27=""),(Scenarios!$M$3:$M$27*'09_Phase_Factors'!$AH$4:$AH$28+Scenarios!$V$3:$V$27*'09_Phase_Factors'!$AI$4:$AI$28+Scenarios!$T$3:$T$27*'09_Phase_Factors'!$AJ$4:$AJ$28+Scenarios!$U$3:$U$27*'09_Phase_Factors'!$AK$4:$AK$28),'09_Phase_Factors'!$AD$4:$AD$28))*((1+'00_Inputs_Dashboard'!$B$23)^(27-1))</f>
        <v/>
      </c>
      <c r="AC25" s="80">
        <f>(SUMPRODUCT(--(Scenarios!$C$3:$C$27=TRUE()),--(Scenarios!$AA$3:$AA$27&lt;&gt;""),Scenarios!$AA$3:$AA$27,'09_Phase_Factors'!$AE$4:$AE$28)+SUMPRODUCT(--(Scenarios!$C$3:$C$27=TRUE()),--(Scenarios!$AA$3:$AA$27=""),(Scenarios!$M$3:$M$27*'09_Phase_Factors'!$AH$4:$AH$28+Scenarios!$V$3:$V$27*'09_Phase_Factors'!$AI$4:$AI$28+Scenarios!$T$3:$T$27*'09_Phase_Factors'!$AJ$4:$AJ$28+Scenarios!$U$3:$U$27*'09_Phase_Factors'!$AK$4:$AK$28),'09_Phase_Factors'!$AE$4:$AE$28))*((1+'00_Inputs_Dashboard'!$B$23)^(28-1))</f>
        <v/>
      </c>
      <c r="AD25" s="80">
        <f>(SUMPRODUCT(--(Scenarios!$C$3:$C$27=TRUE()),--(Scenarios!$AA$3:$AA$27&lt;&gt;""),Scenarios!$AA$3:$AA$27,'09_Phase_Factors'!$AF$4:$AF$28)+SUMPRODUCT(--(Scenarios!$C$3:$C$27=TRUE()),--(Scenarios!$AA$3:$AA$27=""),(Scenarios!$M$3:$M$27*'09_Phase_Factors'!$AH$4:$AH$28+Scenarios!$V$3:$V$27*'09_Phase_Factors'!$AI$4:$AI$28+Scenarios!$T$3:$T$27*'09_Phase_Factors'!$AJ$4:$AJ$28+Scenarios!$U$3:$U$27*'09_Phase_Factors'!$AK$4:$AK$28),'09_Phase_Factors'!$AF$4:$AF$28))*((1+'00_Inputs_Dashboard'!$B$23)^(29-1))</f>
        <v/>
      </c>
      <c r="AE25" s="80">
        <f>(SUMPRODUCT(--(Scenarios!$C$3:$C$27=TRUE()),--(Scenarios!$AA$3:$AA$27&lt;&gt;""),Scenarios!$AA$3:$AA$27,'09_Phase_Factors'!$AG$4:$AG$28)+SUMPRODUCT(--(Scenarios!$C$3:$C$27=TRUE()),--(Scenarios!$AA$3:$AA$27=""),(Scenarios!$M$3:$M$27*'09_Phase_Factors'!$AH$4:$AH$28+Scenarios!$V$3:$V$27*'09_Phase_Factors'!$AI$4:$AI$28+Scenarios!$T$3:$T$27*'09_Phase_Factors'!$AJ$4:$AJ$28+Scenarios!$U$3:$U$27*'09_Phase_Factors'!$AK$4:$AK$28),'09_Phase_Factors'!$AG$4:$AG$28))*((1+'00_Inputs_Dashboard'!$B$23)^(30-1))</f>
        <v/>
      </c>
    </row>
    <row r="26" ht="15" customHeight="1" s="106">
      <c r="A26" s="23" t="inlineStr">
        <is>
          <t>ESD operating cost (annual, multi-driver)</t>
        </is>
      </c>
      <c r="B26" s="80">
        <f>(SUMPRODUCT(--(Scenarios!$C$3:$C$27=TRUE()),--(Scenarios!$AB$3:$AB$27&lt;&gt;""),Scenarios!$AB$3:$AB$27,'09_Phase_Factors'!$D$4:$D$28)+SUMPRODUCT(--(Scenarios!$C$3:$C$27=TRUE()),--(Scenarios!$AB$3:$AB$27=""),(Scenarios!$M$3:$M$27*'09_Phase_Factors'!$AL$4:$AL$28+Scenarios!$V$3:$V$27*'09_Phase_Factors'!$AM$4:$AM$28+Scenarios!$T$3:$T$27*'09_Phase_Factors'!$AN$4:$AN$28+Scenarios!$U$3:$U$27*'09_Phase_Factors'!$AO$4:$AO$28),'09_Phase_Factors'!$D$4:$D$28))*((1+'00_Inputs_Dashboard'!$B$23)^(1-1))</f>
        <v/>
      </c>
      <c r="C26" s="80">
        <f>(SUMPRODUCT(--(Scenarios!$C$3:$C$27=TRUE()),--(Scenarios!$AB$3:$AB$27&lt;&gt;""),Scenarios!$AB$3:$AB$27,'09_Phase_Factors'!$E$4:$E$28)+SUMPRODUCT(--(Scenarios!$C$3:$C$27=TRUE()),--(Scenarios!$AB$3:$AB$27=""),(Scenarios!$M$3:$M$27*'09_Phase_Factors'!$AL$4:$AL$28+Scenarios!$V$3:$V$27*'09_Phase_Factors'!$AM$4:$AM$28+Scenarios!$T$3:$T$27*'09_Phase_Factors'!$AN$4:$AN$28+Scenarios!$U$3:$U$27*'09_Phase_Factors'!$AO$4:$AO$28),'09_Phase_Factors'!$E$4:$E$28))*((1+'00_Inputs_Dashboard'!$B$23)^(2-1))</f>
        <v/>
      </c>
      <c r="D26" s="80">
        <f>(SUMPRODUCT(--(Scenarios!$C$3:$C$27=TRUE()),--(Scenarios!$AB$3:$AB$27&lt;&gt;""),Scenarios!$AB$3:$AB$27,'09_Phase_Factors'!$F$4:$F$28)+SUMPRODUCT(--(Scenarios!$C$3:$C$27=TRUE()),--(Scenarios!$AB$3:$AB$27=""),(Scenarios!$M$3:$M$27*'09_Phase_Factors'!$AL$4:$AL$28+Scenarios!$V$3:$V$27*'09_Phase_Factors'!$AM$4:$AM$28+Scenarios!$T$3:$T$27*'09_Phase_Factors'!$AN$4:$AN$28+Scenarios!$U$3:$U$27*'09_Phase_Factors'!$AO$4:$AO$28),'09_Phase_Factors'!$F$4:$F$28))*((1+'00_Inputs_Dashboard'!$B$23)^(3-1))</f>
        <v/>
      </c>
      <c r="E26" s="80">
        <f>(SUMPRODUCT(--(Scenarios!$C$3:$C$27=TRUE()),--(Scenarios!$AB$3:$AB$27&lt;&gt;""),Scenarios!$AB$3:$AB$27,'09_Phase_Factors'!$G$4:$G$28)+SUMPRODUCT(--(Scenarios!$C$3:$C$27=TRUE()),--(Scenarios!$AB$3:$AB$27=""),(Scenarios!$M$3:$M$27*'09_Phase_Factors'!$AL$4:$AL$28+Scenarios!$V$3:$V$27*'09_Phase_Factors'!$AM$4:$AM$28+Scenarios!$T$3:$T$27*'09_Phase_Factors'!$AN$4:$AN$28+Scenarios!$U$3:$U$27*'09_Phase_Factors'!$AO$4:$AO$28),'09_Phase_Factors'!$G$4:$G$28))*((1+'00_Inputs_Dashboard'!$B$23)^(4-1))</f>
        <v/>
      </c>
      <c r="F26" s="80">
        <f>(SUMPRODUCT(--(Scenarios!$C$3:$C$27=TRUE()),--(Scenarios!$AB$3:$AB$27&lt;&gt;""),Scenarios!$AB$3:$AB$27,'09_Phase_Factors'!$H$4:$H$28)+SUMPRODUCT(--(Scenarios!$C$3:$C$27=TRUE()),--(Scenarios!$AB$3:$AB$27=""),(Scenarios!$M$3:$M$27*'09_Phase_Factors'!$AL$4:$AL$28+Scenarios!$V$3:$V$27*'09_Phase_Factors'!$AM$4:$AM$28+Scenarios!$T$3:$T$27*'09_Phase_Factors'!$AN$4:$AN$28+Scenarios!$U$3:$U$27*'09_Phase_Factors'!$AO$4:$AO$28),'09_Phase_Factors'!$H$4:$H$28))*((1+'00_Inputs_Dashboard'!$B$23)^(5-1))</f>
        <v/>
      </c>
      <c r="G26" s="80">
        <f>(SUMPRODUCT(--(Scenarios!$C$3:$C$27=TRUE()),--(Scenarios!$AB$3:$AB$27&lt;&gt;""),Scenarios!$AB$3:$AB$27,'09_Phase_Factors'!$I$4:$I$28)+SUMPRODUCT(--(Scenarios!$C$3:$C$27=TRUE()),--(Scenarios!$AB$3:$AB$27=""),(Scenarios!$M$3:$M$27*'09_Phase_Factors'!$AL$4:$AL$28+Scenarios!$V$3:$V$27*'09_Phase_Factors'!$AM$4:$AM$28+Scenarios!$T$3:$T$27*'09_Phase_Factors'!$AN$4:$AN$28+Scenarios!$U$3:$U$27*'09_Phase_Factors'!$AO$4:$AO$28),'09_Phase_Factors'!$I$4:$I$28))*((1+'00_Inputs_Dashboard'!$B$23)^(6-1))</f>
        <v/>
      </c>
      <c r="H26" s="80">
        <f>(SUMPRODUCT(--(Scenarios!$C$3:$C$27=TRUE()),--(Scenarios!$AB$3:$AB$27&lt;&gt;""),Scenarios!$AB$3:$AB$27,'09_Phase_Factors'!$J$4:$J$28)+SUMPRODUCT(--(Scenarios!$C$3:$C$27=TRUE()),--(Scenarios!$AB$3:$AB$27=""),(Scenarios!$M$3:$M$27*'09_Phase_Factors'!$AL$4:$AL$28+Scenarios!$V$3:$V$27*'09_Phase_Factors'!$AM$4:$AM$28+Scenarios!$T$3:$T$27*'09_Phase_Factors'!$AN$4:$AN$28+Scenarios!$U$3:$U$27*'09_Phase_Factors'!$AO$4:$AO$28),'09_Phase_Factors'!$J$4:$J$28))*((1+'00_Inputs_Dashboard'!$B$23)^(7-1))</f>
        <v/>
      </c>
      <c r="I26" s="80">
        <f>(SUMPRODUCT(--(Scenarios!$C$3:$C$27=TRUE()),--(Scenarios!$AB$3:$AB$27&lt;&gt;""),Scenarios!$AB$3:$AB$27,'09_Phase_Factors'!$K$4:$K$28)+SUMPRODUCT(--(Scenarios!$C$3:$C$27=TRUE()),--(Scenarios!$AB$3:$AB$27=""),(Scenarios!$M$3:$M$27*'09_Phase_Factors'!$AL$4:$AL$28+Scenarios!$V$3:$V$27*'09_Phase_Factors'!$AM$4:$AM$28+Scenarios!$T$3:$T$27*'09_Phase_Factors'!$AN$4:$AN$28+Scenarios!$U$3:$U$27*'09_Phase_Factors'!$AO$4:$AO$28),'09_Phase_Factors'!$K$4:$K$28))*((1+'00_Inputs_Dashboard'!$B$23)^(8-1))</f>
        <v/>
      </c>
      <c r="J26" s="80">
        <f>(SUMPRODUCT(--(Scenarios!$C$3:$C$27=TRUE()),--(Scenarios!$AB$3:$AB$27&lt;&gt;""),Scenarios!$AB$3:$AB$27,'09_Phase_Factors'!$L$4:$L$28)+SUMPRODUCT(--(Scenarios!$C$3:$C$27=TRUE()),--(Scenarios!$AB$3:$AB$27=""),(Scenarios!$M$3:$M$27*'09_Phase_Factors'!$AL$4:$AL$28+Scenarios!$V$3:$V$27*'09_Phase_Factors'!$AM$4:$AM$28+Scenarios!$T$3:$T$27*'09_Phase_Factors'!$AN$4:$AN$28+Scenarios!$U$3:$U$27*'09_Phase_Factors'!$AO$4:$AO$28),'09_Phase_Factors'!$L$4:$L$28))*((1+'00_Inputs_Dashboard'!$B$23)^(9-1))</f>
        <v/>
      </c>
      <c r="K26" s="80">
        <f>(SUMPRODUCT(--(Scenarios!$C$3:$C$27=TRUE()),--(Scenarios!$AB$3:$AB$27&lt;&gt;""),Scenarios!$AB$3:$AB$27,'09_Phase_Factors'!$M$4:$M$28)+SUMPRODUCT(--(Scenarios!$C$3:$C$27=TRUE()),--(Scenarios!$AB$3:$AB$27=""),(Scenarios!$M$3:$M$27*'09_Phase_Factors'!$AL$4:$AL$28+Scenarios!$V$3:$V$27*'09_Phase_Factors'!$AM$4:$AM$28+Scenarios!$T$3:$T$27*'09_Phase_Factors'!$AN$4:$AN$28+Scenarios!$U$3:$U$27*'09_Phase_Factors'!$AO$4:$AO$28),'09_Phase_Factors'!$M$4:$M$28))*((1+'00_Inputs_Dashboard'!$B$23)^(10-1))</f>
        <v/>
      </c>
      <c r="L26" s="80">
        <f>(SUMPRODUCT(--(Scenarios!$C$3:$C$27=TRUE()),--(Scenarios!$AB$3:$AB$27&lt;&gt;""),Scenarios!$AB$3:$AB$27,'09_Phase_Factors'!$N$4:$N$28)+SUMPRODUCT(--(Scenarios!$C$3:$C$27=TRUE()),--(Scenarios!$AB$3:$AB$27=""),(Scenarios!$M$3:$M$27*'09_Phase_Factors'!$AL$4:$AL$28+Scenarios!$V$3:$V$27*'09_Phase_Factors'!$AM$4:$AM$28+Scenarios!$T$3:$T$27*'09_Phase_Factors'!$AN$4:$AN$28+Scenarios!$U$3:$U$27*'09_Phase_Factors'!$AO$4:$AO$28),'09_Phase_Factors'!$N$4:$N$28))*((1+'00_Inputs_Dashboard'!$B$23)^(11-1))</f>
        <v/>
      </c>
      <c r="M26" s="80">
        <f>(SUMPRODUCT(--(Scenarios!$C$3:$C$27=TRUE()),--(Scenarios!$AB$3:$AB$27&lt;&gt;""),Scenarios!$AB$3:$AB$27,'09_Phase_Factors'!$O$4:$O$28)+SUMPRODUCT(--(Scenarios!$C$3:$C$27=TRUE()),--(Scenarios!$AB$3:$AB$27=""),(Scenarios!$M$3:$M$27*'09_Phase_Factors'!$AL$4:$AL$28+Scenarios!$V$3:$V$27*'09_Phase_Factors'!$AM$4:$AM$28+Scenarios!$T$3:$T$27*'09_Phase_Factors'!$AN$4:$AN$28+Scenarios!$U$3:$U$27*'09_Phase_Factors'!$AO$4:$AO$28),'09_Phase_Factors'!$O$4:$O$28))*((1+'00_Inputs_Dashboard'!$B$23)^(12-1))</f>
        <v/>
      </c>
      <c r="N26" s="80">
        <f>(SUMPRODUCT(--(Scenarios!$C$3:$C$27=TRUE()),--(Scenarios!$AB$3:$AB$27&lt;&gt;""),Scenarios!$AB$3:$AB$27,'09_Phase_Factors'!$P$4:$P$28)+SUMPRODUCT(--(Scenarios!$C$3:$C$27=TRUE()),--(Scenarios!$AB$3:$AB$27=""),(Scenarios!$M$3:$M$27*'09_Phase_Factors'!$AL$4:$AL$28+Scenarios!$V$3:$V$27*'09_Phase_Factors'!$AM$4:$AM$28+Scenarios!$T$3:$T$27*'09_Phase_Factors'!$AN$4:$AN$28+Scenarios!$U$3:$U$27*'09_Phase_Factors'!$AO$4:$AO$28),'09_Phase_Factors'!$P$4:$P$28))*((1+'00_Inputs_Dashboard'!$B$23)^(13-1))</f>
        <v/>
      </c>
      <c r="O26" s="80">
        <f>(SUMPRODUCT(--(Scenarios!$C$3:$C$27=TRUE()),--(Scenarios!$AB$3:$AB$27&lt;&gt;""),Scenarios!$AB$3:$AB$27,'09_Phase_Factors'!$Q$4:$Q$28)+SUMPRODUCT(--(Scenarios!$C$3:$C$27=TRUE()),--(Scenarios!$AB$3:$AB$27=""),(Scenarios!$M$3:$M$27*'09_Phase_Factors'!$AL$4:$AL$28+Scenarios!$V$3:$V$27*'09_Phase_Factors'!$AM$4:$AM$28+Scenarios!$T$3:$T$27*'09_Phase_Factors'!$AN$4:$AN$28+Scenarios!$U$3:$U$27*'09_Phase_Factors'!$AO$4:$AO$28),'09_Phase_Factors'!$Q$4:$Q$28))*((1+'00_Inputs_Dashboard'!$B$23)^(14-1))</f>
        <v/>
      </c>
      <c r="P26" s="80">
        <f>(SUMPRODUCT(--(Scenarios!$C$3:$C$27=TRUE()),--(Scenarios!$AB$3:$AB$27&lt;&gt;""),Scenarios!$AB$3:$AB$27,'09_Phase_Factors'!$R$4:$R$28)+SUMPRODUCT(--(Scenarios!$C$3:$C$27=TRUE()),--(Scenarios!$AB$3:$AB$27=""),(Scenarios!$M$3:$M$27*'09_Phase_Factors'!$AL$4:$AL$28+Scenarios!$V$3:$V$27*'09_Phase_Factors'!$AM$4:$AM$28+Scenarios!$T$3:$T$27*'09_Phase_Factors'!$AN$4:$AN$28+Scenarios!$U$3:$U$27*'09_Phase_Factors'!$AO$4:$AO$28),'09_Phase_Factors'!$R$4:$R$28))*((1+'00_Inputs_Dashboard'!$B$23)^(15-1))</f>
        <v/>
      </c>
      <c r="Q26" s="80">
        <f>(SUMPRODUCT(--(Scenarios!$C$3:$C$27=TRUE()),--(Scenarios!$AB$3:$AB$27&lt;&gt;""),Scenarios!$AB$3:$AB$27,'09_Phase_Factors'!$S$4:$S$28)+SUMPRODUCT(--(Scenarios!$C$3:$C$27=TRUE()),--(Scenarios!$AB$3:$AB$27=""),(Scenarios!$M$3:$M$27*'09_Phase_Factors'!$AL$4:$AL$28+Scenarios!$V$3:$V$27*'09_Phase_Factors'!$AM$4:$AM$28+Scenarios!$T$3:$T$27*'09_Phase_Factors'!$AN$4:$AN$28+Scenarios!$U$3:$U$27*'09_Phase_Factors'!$AO$4:$AO$28),'09_Phase_Factors'!$S$4:$S$28))*((1+'00_Inputs_Dashboard'!$B$23)^(16-1))</f>
        <v/>
      </c>
      <c r="R26" s="80">
        <f>(SUMPRODUCT(--(Scenarios!$C$3:$C$27=TRUE()),--(Scenarios!$AB$3:$AB$27&lt;&gt;""),Scenarios!$AB$3:$AB$27,'09_Phase_Factors'!$T$4:$T$28)+SUMPRODUCT(--(Scenarios!$C$3:$C$27=TRUE()),--(Scenarios!$AB$3:$AB$27=""),(Scenarios!$M$3:$M$27*'09_Phase_Factors'!$AL$4:$AL$28+Scenarios!$V$3:$V$27*'09_Phase_Factors'!$AM$4:$AM$28+Scenarios!$T$3:$T$27*'09_Phase_Factors'!$AN$4:$AN$28+Scenarios!$U$3:$U$27*'09_Phase_Factors'!$AO$4:$AO$28),'09_Phase_Factors'!$T$4:$T$28))*((1+'00_Inputs_Dashboard'!$B$23)^(17-1))</f>
        <v/>
      </c>
      <c r="S26" s="80">
        <f>(SUMPRODUCT(--(Scenarios!$C$3:$C$27=TRUE()),--(Scenarios!$AB$3:$AB$27&lt;&gt;""),Scenarios!$AB$3:$AB$27,'09_Phase_Factors'!$U$4:$U$28)+SUMPRODUCT(--(Scenarios!$C$3:$C$27=TRUE()),--(Scenarios!$AB$3:$AB$27=""),(Scenarios!$M$3:$M$27*'09_Phase_Factors'!$AL$4:$AL$28+Scenarios!$V$3:$V$27*'09_Phase_Factors'!$AM$4:$AM$28+Scenarios!$T$3:$T$27*'09_Phase_Factors'!$AN$4:$AN$28+Scenarios!$U$3:$U$27*'09_Phase_Factors'!$AO$4:$AO$28),'09_Phase_Factors'!$U$4:$U$28))*((1+'00_Inputs_Dashboard'!$B$23)^(18-1))</f>
        <v/>
      </c>
      <c r="T26" s="80">
        <f>(SUMPRODUCT(--(Scenarios!$C$3:$C$27=TRUE()),--(Scenarios!$AB$3:$AB$27&lt;&gt;""),Scenarios!$AB$3:$AB$27,'09_Phase_Factors'!$V$4:$V$28)+SUMPRODUCT(--(Scenarios!$C$3:$C$27=TRUE()),--(Scenarios!$AB$3:$AB$27=""),(Scenarios!$M$3:$M$27*'09_Phase_Factors'!$AL$4:$AL$28+Scenarios!$V$3:$V$27*'09_Phase_Factors'!$AM$4:$AM$28+Scenarios!$T$3:$T$27*'09_Phase_Factors'!$AN$4:$AN$28+Scenarios!$U$3:$U$27*'09_Phase_Factors'!$AO$4:$AO$28),'09_Phase_Factors'!$V$4:$V$28))*((1+'00_Inputs_Dashboard'!$B$23)^(19-1))</f>
        <v/>
      </c>
      <c r="U26" s="80">
        <f>(SUMPRODUCT(--(Scenarios!$C$3:$C$27=TRUE()),--(Scenarios!$AB$3:$AB$27&lt;&gt;""),Scenarios!$AB$3:$AB$27,'09_Phase_Factors'!$W$4:$W$28)+SUMPRODUCT(--(Scenarios!$C$3:$C$27=TRUE()),--(Scenarios!$AB$3:$AB$27=""),(Scenarios!$M$3:$M$27*'09_Phase_Factors'!$AL$4:$AL$28+Scenarios!$V$3:$V$27*'09_Phase_Factors'!$AM$4:$AM$28+Scenarios!$T$3:$T$27*'09_Phase_Factors'!$AN$4:$AN$28+Scenarios!$U$3:$U$27*'09_Phase_Factors'!$AO$4:$AO$28),'09_Phase_Factors'!$W$4:$W$28))*((1+'00_Inputs_Dashboard'!$B$23)^(20-1))</f>
        <v/>
      </c>
      <c r="V26" s="80">
        <f>(SUMPRODUCT(--(Scenarios!$C$3:$C$27=TRUE()),--(Scenarios!$AB$3:$AB$27&lt;&gt;""),Scenarios!$AB$3:$AB$27,'09_Phase_Factors'!$X$4:$X$28)+SUMPRODUCT(--(Scenarios!$C$3:$C$27=TRUE()),--(Scenarios!$AB$3:$AB$27=""),(Scenarios!$M$3:$M$27*'09_Phase_Factors'!$AL$4:$AL$28+Scenarios!$V$3:$V$27*'09_Phase_Factors'!$AM$4:$AM$28+Scenarios!$T$3:$T$27*'09_Phase_Factors'!$AN$4:$AN$28+Scenarios!$U$3:$U$27*'09_Phase_Factors'!$AO$4:$AO$28),'09_Phase_Factors'!$X$4:$X$28))*((1+'00_Inputs_Dashboard'!$B$23)^(21-1))</f>
        <v/>
      </c>
      <c r="W26" s="80">
        <f>(SUMPRODUCT(--(Scenarios!$C$3:$C$27=TRUE()),--(Scenarios!$AB$3:$AB$27&lt;&gt;""),Scenarios!$AB$3:$AB$27,'09_Phase_Factors'!$Y$4:$Y$28)+SUMPRODUCT(--(Scenarios!$C$3:$C$27=TRUE()),--(Scenarios!$AB$3:$AB$27=""),(Scenarios!$M$3:$M$27*'09_Phase_Factors'!$AL$4:$AL$28+Scenarios!$V$3:$V$27*'09_Phase_Factors'!$AM$4:$AM$28+Scenarios!$T$3:$T$27*'09_Phase_Factors'!$AN$4:$AN$28+Scenarios!$U$3:$U$27*'09_Phase_Factors'!$AO$4:$AO$28),'09_Phase_Factors'!$Y$4:$Y$28))*((1+'00_Inputs_Dashboard'!$B$23)^(22-1))</f>
        <v/>
      </c>
      <c r="X26" s="80">
        <f>(SUMPRODUCT(--(Scenarios!$C$3:$C$27=TRUE()),--(Scenarios!$AB$3:$AB$27&lt;&gt;""),Scenarios!$AB$3:$AB$27,'09_Phase_Factors'!$Z$4:$Z$28)+SUMPRODUCT(--(Scenarios!$C$3:$C$27=TRUE()),--(Scenarios!$AB$3:$AB$27=""),(Scenarios!$M$3:$M$27*'09_Phase_Factors'!$AL$4:$AL$28+Scenarios!$V$3:$V$27*'09_Phase_Factors'!$AM$4:$AM$28+Scenarios!$T$3:$T$27*'09_Phase_Factors'!$AN$4:$AN$28+Scenarios!$U$3:$U$27*'09_Phase_Factors'!$AO$4:$AO$28),'09_Phase_Factors'!$Z$4:$Z$28))*((1+'00_Inputs_Dashboard'!$B$23)^(23-1))</f>
        <v/>
      </c>
      <c r="Y26" s="80">
        <f>(SUMPRODUCT(--(Scenarios!$C$3:$C$27=TRUE()),--(Scenarios!$AB$3:$AB$27&lt;&gt;""),Scenarios!$AB$3:$AB$27,'09_Phase_Factors'!$AA$4:$AA$28)+SUMPRODUCT(--(Scenarios!$C$3:$C$27=TRUE()),--(Scenarios!$AB$3:$AB$27=""),(Scenarios!$M$3:$M$27*'09_Phase_Factors'!$AL$4:$AL$28+Scenarios!$V$3:$V$27*'09_Phase_Factors'!$AM$4:$AM$28+Scenarios!$T$3:$T$27*'09_Phase_Factors'!$AN$4:$AN$28+Scenarios!$U$3:$U$27*'09_Phase_Factors'!$AO$4:$AO$28),'09_Phase_Factors'!$AA$4:$AA$28))*((1+'00_Inputs_Dashboard'!$B$23)^(24-1))</f>
        <v/>
      </c>
      <c r="Z26" s="80">
        <f>(SUMPRODUCT(--(Scenarios!$C$3:$C$27=TRUE()),--(Scenarios!$AB$3:$AB$27&lt;&gt;""),Scenarios!$AB$3:$AB$27,'09_Phase_Factors'!$AB$4:$AB$28)+SUMPRODUCT(--(Scenarios!$C$3:$C$27=TRUE()),--(Scenarios!$AB$3:$AB$27=""),(Scenarios!$M$3:$M$27*'09_Phase_Factors'!$AL$4:$AL$28+Scenarios!$V$3:$V$27*'09_Phase_Factors'!$AM$4:$AM$28+Scenarios!$T$3:$T$27*'09_Phase_Factors'!$AN$4:$AN$28+Scenarios!$U$3:$U$27*'09_Phase_Factors'!$AO$4:$AO$28),'09_Phase_Factors'!$AB$4:$AB$28))*((1+'00_Inputs_Dashboard'!$B$23)^(25-1))</f>
        <v/>
      </c>
      <c r="AA26" s="80">
        <f>(SUMPRODUCT(--(Scenarios!$C$3:$C$27=TRUE()),--(Scenarios!$AB$3:$AB$27&lt;&gt;""),Scenarios!$AB$3:$AB$27,'09_Phase_Factors'!$AC$4:$AC$28)+SUMPRODUCT(--(Scenarios!$C$3:$C$27=TRUE()),--(Scenarios!$AB$3:$AB$27=""),(Scenarios!$M$3:$M$27*'09_Phase_Factors'!$AL$4:$AL$28+Scenarios!$V$3:$V$27*'09_Phase_Factors'!$AM$4:$AM$28+Scenarios!$T$3:$T$27*'09_Phase_Factors'!$AN$4:$AN$28+Scenarios!$U$3:$U$27*'09_Phase_Factors'!$AO$4:$AO$28),'09_Phase_Factors'!$AC$4:$AC$28))*((1+'00_Inputs_Dashboard'!$B$23)^(26-1))</f>
        <v/>
      </c>
      <c r="AB26" s="80">
        <f>(SUMPRODUCT(--(Scenarios!$C$3:$C$27=TRUE()),--(Scenarios!$AB$3:$AB$27&lt;&gt;""),Scenarios!$AB$3:$AB$27,'09_Phase_Factors'!$AD$4:$AD$28)+SUMPRODUCT(--(Scenarios!$C$3:$C$27=TRUE()),--(Scenarios!$AB$3:$AB$27=""),(Scenarios!$M$3:$M$27*'09_Phase_Factors'!$AL$4:$AL$28+Scenarios!$V$3:$V$27*'09_Phase_Factors'!$AM$4:$AM$28+Scenarios!$T$3:$T$27*'09_Phase_Factors'!$AN$4:$AN$28+Scenarios!$U$3:$U$27*'09_Phase_Factors'!$AO$4:$AO$28),'09_Phase_Factors'!$AD$4:$AD$28))*((1+'00_Inputs_Dashboard'!$B$23)^(27-1))</f>
        <v/>
      </c>
      <c r="AC26" s="80">
        <f>(SUMPRODUCT(--(Scenarios!$C$3:$C$27=TRUE()),--(Scenarios!$AB$3:$AB$27&lt;&gt;""),Scenarios!$AB$3:$AB$27,'09_Phase_Factors'!$AE$4:$AE$28)+SUMPRODUCT(--(Scenarios!$C$3:$C$27=TRUE()),--(Scenarios!$AB$3:$AB$27=""),(Scenarios!$M$3:$M$27*'09_Phase_Factors'!$AL$4:$AL$28+Scenarios!$V$3:$V$27*'09_Phase_Factors'!$AM$4:$AM$28+Scenarios!$T$3:$T$27*'09_Phase_Factors'!$AN$4:$AN$28+Scenarios!$U$3:$U$27*'09_Phase_Factors'!$AO$4:$AO$28),'09_Phase_Factors'!$AE$4:$AE$28))*((1+'00_Inputs_Dashboard'!$B$23)^(28-1))</f>
        <v/>
      </c>
      <c r="AD26" s="80">
        <f>(SUMPRODUCT(--(Scenarios!$C$3:$C$27=TRUE()),--(Scenarios!$AB$3:$AB$27&lt;&gt;""),Scenarios!$AB$3:$AB$27,'09_Phase_Factors'!$AF$4:$AF$28)+SUMPRODUCT(--(Scenarios!$C$3:$C$27=TRUE()),--(Scenarios!$AB$3:$AB$27=""),(Scenarios!$M$3:$M$27*'09_Phase_Factors'!$AL$4:$AL$28+Scenarios!$V$3:$V$27*'09_Phase_Factors'!$AM$4:$AM$28+Scenarios!$T$3:$T$27*'09_Phase_Factors'!$AN$4:$AN$28+Scenarios!$U$3:$U$27*'09_Phase_Factors'!$AO$4:$AO$28),'09_Phase_Factors'!$AF$4:$AF$28))*((1+'00_Inputs_Dashboard'!$B$23)^(29-1))</f>
        <v/>
      </c>
      <c r="AE26" s="80">
        <f>(SUMPRODUCT(--(Scenarios!$C$3:$C$27=TRUE()),--(Scenarios!$AB$3:$AB$27&lt;&gt;""),Scenarios!$AB$3:$AB$27,'09_Phase_Factors'!$AG$4:$AG$28)+SUMPRODUCT(--(Scenarios!$C$3:$C$27=TRUE()),--(Scenarios!$AB$3:$AB$27=""),(Scenarios!$M$3:$M$27*'09_Phase_Factors'!$AL$4:$AL$28+Scenarios!$V$3:$V$27*'09_Phase_Factors'!$AM$4:$AM$28+Scenarios!$T$3:$T$27*'09_Phase_Factors'!$AN$4:$AN$28+Scenarios!$U$3:$U$27*'09_Phase_Factors'!$AO$4:$AO$28),'09_Phase_Factors'!$AG$4:$AG$28))*((1+'00_Inputs_Dashboard'!$B$23)^(30-1))</f>
        <v/>
      </c>
    </row>
    <row r="27" ht="15" customHeight="1" s="106">
      <c r="A27" s="23" t="inlineStr">
        <is>
          <t>City capital cost / debt service (annual)</t>
        </is>
      </c>
      <c r="B27" s="80">
        <f>'05_Capital_Triggers'!B31</f>
        <v/>
      </c>
      <c r="C27" s="80">
        <f>'05_Capital_Triggers'!B32</f>
        <v/>
      </c>
      <c r="D27" s="80">
        <f>'05_Capital_Triggers'!B33</f>
        <v/>
      </c>
      <c r="E27" s="80">
        <f>'05_Capital_Triggers'!B34</f>
        <v/>
      </c>
      <c r="F27" s="80">
        <f>'05_Capital_Triggers'!B35</f>
        <v/>
      </c>
      <c r="G27" s="80">
        <f>'05_Capital_Triggers'!B36</f>
        <v/>
      </c>
      <c r="H27" s="80">
        <f>'05_Capital_Triggers'!B37</f>
        <v/>
      </c>
      <c r="I27" s="80">
        <f>'05_Capital_Triggers'!B38</f>
        <v/>
      </c>
      <c r="J27" s="80">
        <f>'05_Capital_Triggers'!B39</f>
        <v/>
      </c>
      <c r="K27" s="80">
        <f>'05_Capital_Triggers'!B40</f>
        <v/>
      </c>
      <c r="L27" s="80">
        <f>'05_Capital_Triggers'!B41</f>
        <v/>
      </c>
      <c r="M27" s="80">
        <f>'05_Capital_Triggers'!B42</f>
        <v/>
      </c>
      <c r="N27" s="80">
        <f>'05_Capital_Triggers'!B43</f>
        <v/>
      </c>
      <c r="O27" s="80">
        <f>'05_Capital_Triggers'!B44</f>
        <v/>
      </c>
      <c r="P27" s="80">
        <f>'05_Capital_Triggers'!B45</f>
        <v/>
      </c>
      <c r="Q27" s="80">
        <f>'05_Capital_Triggers'!B46</f>
        <v/>
      </c>
      <c r="R27" s="80">
        <f>'05_Capital_Triggers'!B47</f>
        <v/>
      </c>
      <c r="S27" s="80">
        <f>'05_Capital_Triggers'!B48</f>
        <v/>
      </c>
      <c r="T27" s="80">
        <f>'05_Capital_Triggers'!B49</f>
        <v/>
      </c>
      <c r="U27" s="80">
        <f>'05_Capital_Triggers'!B50</f>
        <v/>
      </c>
      <c r="V27" s="80">
        <f>'05_Capital_Triggers'!B51</f>
        <v/>
      </c>
      <c r="W27" s="80">
        <f>'05_Capital_Triggers'!B52</f>
        <v/>
      </c>
      <c r="X27" s="80">
        <f>'05_Capital_Triggers'!B53</f>
        <v/>
      </c>
      <c r="Y27" s="80">
        <f>'05_Capital_Triggers'!B54</f>
        <v/>
      </c>
      <c r="Z27" s="80">
        <f>'05_Capital_Triggers'!B55</f>
        <v/>
      </c>
      <c r="AA27" s="80">
        <f>'05_Capital_Triggers'!B56</f>
        <v/>
      </c>
      <c r="AB27" s="80">
        <f>'05_Capital_Triggers'!B57</f>
        <v/>
      </c>
      <c r="AC27" s="80">
        <f>'05_Capital_Triggers'!B58</f>
        <v/>
      </c>
      <c r="AD27" s="80">
        <f>'05_Capital_Triggers'!B59</f>
        <v/>
      </c>
      <c r="AE27" s="80">
        <f>'05_Capital_Triggers'!B60</f>
        <v/>
      </c>
    </row>
    <row r="28" ht="15" customHeight="1" s="106">
      <c r="A28" s="23" t="inlineStr">
        <is>
          <t>ESD capital cost / debt service (annual)</t>
        </is>
      </c>
      <c r="B28" s="80">
        <f>'05_Capital_Triggers'!C31</f>
        <v/>
      </c>
      <c r="C28" s="80">
        <f>'05_Capital_Triggers'!C32</f>
        <v/>
      </c>
      <c r="D28" s="80">
        <f>'05_Capital_Triggers'!C33</f>
        <v/>
      </c>
      <c r="E28" s="80">
        <f>'05_Capital_Triggers'!C34</f>
        <v/>
      </c>
      <c r="F28" s="80">
        <f>'05_Capital_Triggers'!C35</f>
        <v/>
      </c>
      <c r="G28" s="80">
        <f>'05_Capital_Triggers'!C36</f>
        <v/>
      </c>
      <c r="H28" s="80">
        <f>'05_Capital_Triggers'!C37</f>
        <v/>
      </c>
      <c r="I28" s="80">
        <f>'05_Capital_Triggers'!C38</f>
        <v/>
      </c>
      <c r="J28" s="80">
        <f>'05_Capital_Triggers'!C39</f>
        <v/>
      </c>
      <c r="K28" s="80">
        <f>'05_Capital_Triggers'!C40</f>
        <v/>
      </c>
      <c r="L28" s="80">
        <f>'05_Capital_Triggers'!C41</f>
        <v/>
      </c>
      <c r="M28" s="80">
        <f>'05_Capital_Triggers'!C42</f>
        <v/>
      </c>
      <c r="N28" s="80">
        <f>'05_Capital_Triggers'!C43</f>
        <v/>
      </c>
      <c r="O28" s="80">
        <f>'05_Capital_Triggers'!C44</f>
        <v/>
      </c>
      <c r="P28" s="80">
        <f>'05_Capital_Triggers'!C45</f>
        <v/>
      </c>
      <c r="Q28" s="80">
        <f>'05_Capital_Triggers'!C46</f>
        <v/>
      </c>
      <c r="R28" s="80">
        <f>'05_Capital_Triggers'!C47</f>
        <v/>
      </c>
      <c r="S28" s="80">
        <f>'05_Capital_Triggers'!C48</f>
        <v/>
      </c>
      <c r="T28" s="80">
        <f>'05_Capital_Triggers'!C49</f>
        <v/>
      </c>
      <c r="U28" s="80">
        <f>'05_Capital_Triggers'!C50</f>
        <v/>
      </c>
      <c r="V28" s="80">
        <f>'05_Capital_Triggers'!C51</f>
        <v/>
      </c>
      <c r="W28" s="80">
        <f>'05_Capital_Triggers'!C52</f>
        <v/>
      </c>
      <c r="X28" s="80">
        <f>'05_Capital_Triggers'!C53</f>
        <v/>
      </c>
      <c r="Y28" s="80">
        <f>'05_Capital_Triggers'!C54</f>
        <v/>
      </c>
      <c r="Z28" s="80">
        <f>'05_Capital_Triggers'!C55</f>
        <v/>
      </c>
      <c r="AA28" s="80">
        <f>'05_Capital_Triggers'!C56</f>
        <v/>
      </c>
      <c r="AB28" s="80">
        <f>'05_Capital_Triggers'!C57</f>
        <v/>
      </c>
      <c r="AC28" s="80">
        <f>'05_Capital_Triggers'!C58</f>
        <v/>
      </c>
      <c r="AD28" s="80">
        <f>'05_Capital_Triggers'!C59</f>
        <v/>
      </c>
      <c r="AE28" s="80">
        <f>'05_Capital_Triggers'!C60</f>
        <v/>
      </c>
    </row>
    <row r="29" ht="15" customHeight="1" s="106">
      <c r="A29" s="23" t="inlineStr">
        <is>
          <t>City reserve (annual)</t>
        </is>
      </c>
      <c r="B29" s="80">
        <f>(B25+IF('00_Inputs_Dashboard'!$B$27=1,B27,0))*'00_Inputs_Dashboard'!$B$25</f>
        <v/>
      </c>
      <c r="C29" s="80">
        <f>(C25+IF('00_Inputs_Dashboard'!$B$27=1,C27,0))*'00_Inputs_Dashboard'!$B$25</f>
        <v/>
      </c>
      <c r="D29" s="80">
        <f>(D25+IF('00_Inputs_Dashboard'!$B$27=1,D27,0))*'00_Inputs_Dashboard'!$B$25</f>
        <v/>
      </c>
      <c r="E29" s="80">
        <f>(E25+IF('00_Inputs_Dashboard'!$B$27=1,E27,0))*'00_Inputs_Dashboard'!$B$25</f>
        <v/>
      </c>
      <c r="F29" s="80">
        <f>(F25+IF('00_Inputs_Dashboard'!$B$27=1,F27,0))*'00_Inputs_Dashboard'!$B$25</f>
        <v/>
      </c>
      <c r="G29" s="80">
        <f>(G25+IF('00_Inputs_Dashboard'!$B$27=1,G27,0))*'00_Inputs_Dashboard'!$B$25</f>
        <v/>
      </c>
      <c r="H29" s="80">
        <f>(H25+IF('00_Inputs_Dashboard'!$B$27=1,H27,0))*'00_Inputs_Dashboard'!$B$25</f>
        <v/>
      </c>
      <c r="I29" s="80">
        <f>(I25+IF('00_Inputs_Dashboard'!$B$27=1,I27,0))*'00_Inputs_Dashboard'!$B$25</f>
        <v/>
      </c>
      <c r="J29" s="80">
        <f>(J25+IF('00_Inputs_Dashboard'!$B$27=1,J27,0))*'00_Inputs_Dashboard'!$B$25</f>
        <v/>
      </c>
      <c r="K29" s="80">
        <f>(K25+IF('00_Inputs_Dashboard'!$B$27=1,K27,0))*'00_Inputs_Dashboard'!$B$25</f>
        <v/>
      </c>
      <c r="L29" s="80">
        <f>(L25+IF('00_Inputs_Dashboard'!$B$27=1,L27,0))*'00_Inputs_Dashboard'!$B$25</f>
        <v/>
      </c>
      <c r="M29" s="80">
        <f>(M25+IF('00_Inputs_Dashboard'!$B$27=1,M27,0))*'00_Inputs_Dashboard'!$B$25</f>
        <v/>
      </c>
      <c r="N29" s="80">
        <f>(N25+IF('00_Inputs_Dashboard'!$B$27=1,N27,0))*'00_Inputs_Dashboard'!$B$25</f>
        <v/>
      </c>
      <c r="O29" s="80">
        <f>(O25+IF('00_Inputs_Dashboard'!$B$27=1,O27,0))*'00_Inputs_Dashboard'!$B$25</f>
        <v/>
      </c>
      <c r="P29" s="80">
        <f>(P25+IF('00_Inputs_Dashboard'!$B$27=1,P27,0))*'00_Inputs_Dashboard'!$B$25</f>
        <v/>
      </c>
      <c r="Q29" s="80">
        <f>(Q25+IF('00_Inputs_Dashboard'!$B$27=1,Q27,0))*'00_Inputs_Dashboard'!$B$25</f>
        <v/>
      </c>
      <c r="R29" s="80">
        <f>(R25+IF('00_Inputs_Dashboard'!$B$27=1,R27,0))*'00_Inputs_Dashboard'!$B$25</f>
        <v/>
      </c>
      <c r="S29" s="80">
        <f>(S25+IF('00_Inputs_Dashboard'!$B$27=1,S27,0))*'00_Inputs_Dashboard'!$B$25</f>
        <v/>
      </c>
      <c r="T29" s="80">
        <f>(T25+IF('00_Inputs_Dashboard'!$B$27=1,T27,0))*'00_Inputs_Dashboard'!$B$25</f>
        <v/>
      </c>
      <c r="U29" s="80">
        <f>(U25+IF('00_Inputs_Dashboard'!$B$27=1,U27,0))*'00_Inputs_Dashboard'!$B$25</f>
        <v/>
      </c>
      <c r="V29" s="80">
        <f>(V25+IF('00_Inputs_Dashboard'!$B$27=1,V27,0))*'00_Inputs_Dashboard'!$B$25</f>
        <v/>
      </c>
      <c r="W29" s="80">
        <f>(W25+IF('00_Inputs_Dashboard'!$B$27=1,W27,0))*'00_Inputs_Dashboard'!$B$25</f>
        <v/>
      </c>
      <c r="X29" s="80">
        <f>(X25+IF('00_Inputs_Dashboard'!$B$27=1,X27,0))*'00_Inputs_Dashboard'!$B$25</f>
        <v/>
      </c>
      <c r="Y29" s="80">
        <f>(Y25+IF('00_Inputs_Dashboard'!$B$27=1,Y27,0))*'00_Inputs_Dashboard'!$B$25</f>
        <v/>
      </c>
      <c r="Z29" s="80">
        <f>(Z25+IF('00_Inputs_Dashboard'!$B$27=1,Z27,0))*'00_Inputs_Dashboard'!$B$25</f>
        <v/>
      </c>
      <c r="AA29" s="80">
        <f>(AA25+IF('00_Inputs_Dashboard'!$B$27=1,AA27,0))*'00_Inputs_Dashboard'!$B$25</f>
        <v/>
      </c>
      <c r="AB29" s="80">
        <f>(AB25+IF('00_Inputs_Dashboard'!$B$27=1,AB27,0))*'00_Inputs_Dashboard'!$B$25</f>
        <v/>
      </c>
      <c r="AC29" s="80">
        <f>(AC25+IF('00_Inputs_Dashboard'!$B$27=1,AC27,0))*'00_Inputs_Dashboard'!$B$25</f>
        <v/>
      </c>
      <c r="AD29" s="80">
        <f>(AD25+IF('00_Inputs_Dashboard'!$B$27=1,AD27,0))*'00_Inputs_Dashboard'!$B$25</f>
        <v/>
      </c>
      <c r="AE29" s="80">
        <f>(AE25+IF('00_Inputs_Dashboard'!$B$27=1,AE27,0))*'00_Inputs_Dashboard'!$B$25</f>
        <v/>
      </c>
    </row>
    <row r="30" ht="15" customHeight="1" s="106">
      <c r="A30" s="23" t="inlineStr">
        <is>
          <t>ESD reserve (annual)</t>
        </is>
      </c>
      <c r="B30" s="80">
        <f>(B26+IF('00_Inputs_Dashboard'!$B$27=1,B28,0))*'00_Inputs_Dashboard'!$B$26</f>
        <v/>
      </c>
      <c r="C30" s="80">
        <f>(C26+IF('00_Inputs_Dashboard'!$B$27=1,C28,0))*'00_Inputs_Dashboard'!$B$26</f>
        <v/>
      </c>
      <c r="D30" s="80">
        <f>(D26+IF('00_Inputs_Dashboard'!$B$27=1,D28,0))*'00_Inputs_Dashboard'!$B$26</f>
        <v/>
      </c>
      <c r="E30" s="80">
        <f>(E26+IF('00_Inputs_Dashboard'!$B$27=1,E28,0))*'00_Inputs_Dashboard'!$B$26</f>
        <v/>
      </c>
      <c r="F30" s="80">
        <f>(F26+IF('00_Inputs_Dashboard'!$B$27=1,F28,0))*'00_Inputs_Dashboard'!$B$26</f>
        <v/>
      </c>
      <c r="G30" s="80">
        <f>(G26+IF('00_Inputs_Dashboard'!$B$27=1,G28,0))*'00_Inputs_Dashboard'!$B$26</f>
        <v/>
      </c>
      <c r="H30" s="80">
        <f>(H26+IF('00_Inputs_Dashboard'!$B$27=1,H28,0))*'00_Inputs_Dashboard'!$B$26</f>
        <v/>
      </c>
      <c r="I30" s="80">
        <f>(I26+IF('00_Inputs_Dashboard'!$B$27=1,I28,0))*'00_Inputs_Dashboard'!$B$26</f>
        <v/>
      </c>
      <c r="J30" s="80">
        <f>(J26+IF('00_Inputs_Dashboard'!$B$27=1,J28,0))*'00_Inputs_Dashboard'!$B$26</f>
        <v/>
      </c>
      <c r="K30" s="80">
        <f>(K26+IF('00_Inputs_Dashboard'!$B$27=1,K28,0))*'00_Inputs_Dashboard'!$B$26</f>
        <v/>
      </c>
      <c r="L30" s="80">
        <f>(L26+IF('00_Inputs_Dashboard'!$B$27=1,L28,0))*'00_Inputs_Dashboard'!$B$26</f>
        <v/>
      </c>
      <c r="M30" s="80">
        <f>(M26+IF('00_Inputs_Dashboard'!$B$27=1,M28,0))*'00_Inputs_Dashboard'!$B$26</f>
        <v/>
      </c>
      <c r="N30" s="80">
        <f>(N26+IF('00_Inputs_Dashboard'!$B$27=1,N28,0))*'00_Inputs_Dashboard'!$B$26</f>
        <v/>
      </c>
      <c r="O30" s="80">
        <f>(O26+IF('00_Inputs_Dashboard'!$B$27=1,O28,0))*'00_Inputs_Dashboard'!$B$26</f>
        <v/>
      </c>
      <c r="P30" s="80">
        <f>(P26+IF('00_Inputs_Dashboard'!$B$27=1,P28,0))*'00_Inputs_Dashboard'!$B$26</f>
        <v/>
      </c>
      <c r="Q30" s="80">
        <f>(Q26+IF('00_Inputs_Dashboard'!$B$27=1,Q28,0))*'00_Inputs_Dashboard'!$B$26</f>
        <v/>
      </c>
      <c r="R30" s="80">
        <f>(R26+IF('00_Inputs_Dashboard'!$B$27=1,R28,0))*'00_Inputs_Dashboard'!$B$26</f>
        <v/>
      </c>
      <c r="S30" s="80">
        <f>(S26+IF('00_Inputs_Dashboard'!$B$27=1,S28,0))*'00_Inputs_Dashboard'!$B$26</f>
        <v/>
      </c>
      <c r="T30" s="80">
        <f>(T26+IF('00_Inputs_Dashboard'!$B$27=1,T28,0))*'00_Inputs_Dashboard'!$B$26</f>
        <v/>
      </c>
      <c r="U30" s="80">
        <f>(U26+IF('00_Inputs_Dashboard'!$B$27=1,U28,0))*'00_Inputs_Dashboard'!$B$26</f>
        <v/>
      </c>
      <c r="V30" s="80">
        <f>(V26+IF('00_Inputs_Dashboard'!$B$27=1,V28,0))*'00_Inputs_Dashboard'!$B$26</f>
        <v/>
      </c>
      <c r="W30" s="80">
        <f>(W26+IF('00_Inputs_Dashboard'!$B$27=1,W28,0))*'00_Inputs_Dashboard'!$B$26</f>
        <v/>
      </c>
      <c r="X30" s="80">
        <f>(X26+IF('00_Inputs_Dashboard'!$B$27=1,X28,0))*'00_Inputs_Dashboard'!$B$26</f>
        <v/>
      </c>
      <c r="Y30" s="80">
        <f>(Y26+IF('00_Inputs_Dashboard'!$B$27=1,Y28,0))*'00_Inputs_Dashboard'!$B$26</f>
        <v/>
      </c>
      <c r="Z30" s="80">
        <f>(Z26+IF('00_Inputs_Dashboard'!$B$27=1,Z28,0))*'00_Inputs_Dashboard'!$B$26</f>
        <v/>
      </c>
      <c r="AA30" s="80">
        <f>(AA26+IF('00_Inputs_Dashboard'!$B$27=1,AA28,0))*'00_Inputs_Dashboard'!$B$26</f>
        <v/>
      </c>
      <c r="AB30" s="80">
        <f>(AB26+IF('00_Inputs_Dashboard'!$B$27=1,AB28,0))*'00_Inputs_Dashboard'!$B$26</f>
        <v/>
      </c>
      <c r="AC30" s="80">
        <f>(AC26+IF('00_Inputs_Dashboard'!$B$27=1,AC28,0))*'00_Inputs_Dashboard'!$B$26</f>
        <v/>
      </c>
      <c r="AD30" s="80">
        <f>(AD26+IF('00_Inputs_Dashboard'!$B$27=1,AD28,0))*'00_Inputs_Dashboard'!$B$26</f>
        <v/>
      </c>
      <c r="AE30" s="80">
        <f>(AE26+IF('00_Inputs_Dashboard'!$B$27=1,AE28,0))*'00_Inputs_Dashboard'!$B$26</f>
        <v/>
      </c>
    </row>
    <row r="31" ht="15" customHeight="1" s="106">
      <c r="A31" s="23" t="inlineStr">
        <is>
          <t>City annual NET</t>
        </is>
      </c>
      <c r="B31" s="80">
        <f>B20+B22+B24-B25-B27-B29</f>
        <v/>
      </c>
      <c r="C31" s="80">
        <f>C20+C22+C24-C25-C27-C29</f>
        <v/>
      </c>
      <c r="D31" s="80">
        <f>D20+D22+D24-D25-D27-D29</f>
        <v/>
      </c>
      <c r="E31" s="80">
        <f>E20+E22+E24-E25-E27-E29</f>
        <v/>
      </c>
      <c r="F31" s="80">
        <f>F20+F22+F24-F25-F27-F29</f>
        <v/>
      </c>
      <c r="G31" s="80">
        <f>G20+G22+G24-G25-G27-G29</f>
        <v/>
      </c>
      <c r="H31" s="80">
        <f>H20+H22+H24-H25-H27-H29</f>
        <v/>
      </c>
      <c r="I31" s="80">
        <f>I20+I22+I24-I25-I27-I29</f>
        <v/>
      </c>
      <c r="J31" s="80">
        <f>J20+J22+J24-J25-J27-J29</f>
        <v/>
      </c>
      <c r="K31" s="80">
        <f>K20+K22+K24-K25-K27-K29</f>
        <v/>
      </c>
      <c r="L31" s="80">
        <f>L20+L22+L24-L25-L27-L29</f>
        <v/>
      </c>
      <c r="M31" s="80">
        <f>M20+M22+M24-M25-M27-M29</f>
        <v/>
      </c>
      <c r="N31" s="80">
        <f>N20+N22+N24-N25-N27-N29</f>
        <v/>
      </c>
      <c r="O31" s="80">
        <f>O20+O22+O24-O25-O27-O29</f>
        <v/>
      </c>
      <c r="P31" s="80">
        <f>P20+P22+P24-P25-P27-P29</f>
        <v/>
      </c>
      <c r="Q31" s="80">
        <f>Q20+Q22+Q24-Q25-Q27-Q29</f>
        <v/>
      </c>
      <c r="R31" s="80">
        <f>R20+R22+R24-R25-R27-R29</f>
        <v/>
      </c>
      <c r="S31" s="80">
        <f>S20+S22+S24-S25-S27-S29</f>
        <v/>
      </c>
      <c r="T31" s="80">
        <f>T20+T22+T24-T25-T27-T29</f>
        <v/>
      </c>
      <c r="U31" s="80">
        <f>U20+U22+U24-U25-U27-U29</f>
        <v/>
      </c>
      <c r="V31" s="80">
        <f>V20+V22+V24-V25-V27-V29</f>
        <v/>
      </c>
      <c r="W31" s="80">
        <f>W20+W22+W24-W25-W27-W29</f>
        <v/>
      </c>
      <c r="X31" s="80">
        <f>X20+X22+X24-X25-X27-X29</f>
        <v/>
      </c>
      <c r="Y31" s="80">
        <f>Y20+Y22+Y24-Y25-Y27-Y29</f>
        <v/>
      </c>
      <c r="Z31" s="80">
        <f>Z20+Z22+Z24-Z25-Z27-Z29</f>
        <v/>
      </c>
      <c r="AA31" s="80">
        <f>AA20+AA22+AA24-AA25-AA27-AA29</f>
        <v/>
      </c>
      <c r="AB31" s="80">
        <f>AB20+AB22+AB24-AB25-AB27-AB29</f>
        <v/>
      </c>
      <c r="AC31" s="80">
        <f>AC20+AC22+AC24-AC25-AC27-AC29</f>
        <v/>
      </c>
      <c r="AD31" s="80">
        <f>AD20+AD22+AD24-AD25-AD27-AD29</f>
        <v/>
      </c>
      <c r="AE31" s="80">
        <f>AE20+AE22+AE24-AE25-AE27-AE29</f>
        <v/>
      </c>
    </row>
    <row r="32" ht="15" customHeight="1" s="106">
      <c r="A32" s="23" t="inlineStr">
        <is>
          <t>ESD annual NET</t>
        </is>
      </c>
      <c r="B32" s="80">
        <f>B21+B23-B26-B28-B30</f>
        <v/>
      </c>
      <c r="C32" s="80">
        <f>C21+C23-C26-C28-C30</f>
        <v/>
      </c>
      <c r="D32" s="80">
        <f>D21+D23-D26-D28-D30</f>
        <v/>
      </c>
      <c r="E32" s="80">
        <f>E21+E23-E26-E28-E30</f>
        <v/>
      </c>
      <c r="F32" s="80">
        <f>F21+F23-F26-F28-F30</f>
        <v/>
      </c>
      <c r="G32" s="80">
        <f>G21+G23-G26-G28-G30</f>
        <v/>
      </c>
      <c r="H32" s="80">
        <f>H21+H23-H26-H28-H30</f>
        <v/>
      </c>
      <c r="I32" s="80">
        <f>I21+I23-I26-I28-I30</f>
        <v/>
      </c>
      <c r="J32" s="80">
        <f>J21+J23-J26-J28-J30</f>
        <v/>
      </c>
      <c r="K32" s="80">
        <f>K21+K23-K26-K28-K30</f>
        <v/>
      </c>
      <c r="L32" s="80">
        <f>L21+L23-L26-L28-L30</f>
        <v/>
      </c>
      <c r="M32" s="80">
        <f>M21+M23-M26-M28-M30</f>
        <v/>
      </c>
      <c r="N32" s="80">
        <f>N21+N23-N26-N28-N30</f>
        <v/>
      </c>
      <c r="O32" s="80">
        <f>O21+O23-O26-O28-O30</f>
        <v/>
      </c>
      <c r="P32" s="80">
        <f>P21+P23-P26-P28-P30</f>
        <v/>
      </c>
      <c r="Q32" s="80">
        <f>Q21+Q23-Q26-Q28-Q30</f>
        <v/>
      </c>
      <c r="R32" s="80">
        <f>R21+R23-R26-R28-R30</f>
        <v/>
      </c>
      <c r="S32" s="80">
        <f>S21+S23-S26-S28-S30</f>
        <v/>
      </c>
      <c r="T32" s="80">
        <f>T21+T23-T26-T28-T30</f>
        <v/>
      </c>
      <c r="U32" s="80">
        <f>U21+U23-U26-U28-U30</f>
        <v/>
      </c>
      <c r="V32" s="80">
        <f>V21+V23-V26-V28-V30</f>
        <v/>
      </c>
      <c r="W32" s="80">
        <f>W21+W23-W26-W28-W30</f>
        <v/>
      </c>
      <c r="X32" s="80">
        <f>X21+X23-X26-X28-X30</f>
        <v/>
      </c>
      <c r="Y32" s="80">
        <f>Y21+Y23-Y26-Y28-Y30</f>
        <v/>
      </c>
      <c r="Z32" s="80">
        <f>Z21+Z23-Z26-Z28-Z30</f>
        <v/>
      </c>
      <c r="AA32" s="80">
        <f>AA21+AA23-AA26-AA28-AA30</f>
        <v/>
      </c>
      <c r="AB32" s="80">
        <f>AB21+AB23-AB26-AB28-AB30</f>
        <v/>
      </c>
      <c r="AC32" s="80">
        <f>AC21+AC23-AC26-AC28-AC30</f>
        <v/>
      </c>
      <c r="AD32" s="80">
        <f>AD21+AD23-AD26-AD28-AD30</f>
        <v/>
      </c>
      <c r="AE32" s="80">
        <f>AE21+AE23-AE26-AE28-AE30</f>
        <v/>
      </c>
    </row>
    <row r="33" ht="15" customHeight="1" s="106">
      <c r="A33" s="23" t="inlineStr">
        <is>
          <t>Combined annual NET</t>
        </is>
      </c>
      <c r="B33" s="80">
        <f>B31+B32</f>
        <v/>
      </c>
      <c r="C33" s="80">
        <f>C31+C32</f>
        <v/>
      </c>
      <c r="D33" s="80">
        <f>D31+D32</f>
        <v/>
      </c>
      <c r="E33" s="80">
        <f>E31+E32</f>
        <v/>
      </c>
      <c r="F33" s="80">
        <f>F31+F32</f>
        <v/>
      </c>
      <c r="G33" s="80">
        <f>G31+G32</f>
        <v/>
      </c>
      <c r="H33" s="80">
        <f>H31+H32</f>
        <v/>
      </c>
      <c r="I33" s="80">
        <f>I31+I32</f>
        <v/>
      </c>
      <c r="J33" s="80">
        <f>J31+J32</f>
        <v/>
      </c>
      <c r="K33" s="80">
        <f>K31+K32</f>
        <v/>
      </c>
      <c r="L33" s="80">
        <f>L31+L32</f>
        <v/>
      </c>
      <c r="M33" s="80">
        <f>M31+M32</f>
        <v/>
      </c>
      <c r="N33" s="80">
        <f>N31+N32</f>
        <v/>
      </c>
      <c r="O33" s="80">
        <f>O31+O32</f>
        <v/>
      </c>
      <c r="P33" s="80">
        <f>P31+P32</f>
        <v/>
      </c>
      <c r="Q33" s="80">
        <f>Q31+Q32</f>
        <v/>
      </c>
      <c r="R33" s="80">
        <f>R31+R32</f>
        <v/>
      </c>
      <c r="S33" s="80">
        <f>S31+S32</f>
        <v/>
      </c>
      <c r="T33" s="80">
        <f>T31+T32</f>
        <v/>
      </c>
      <c r="U33" s="80">
        <f>U31+U32</f>
        <v/>
      </c>
      <c r="V33" s="80">
        <f>V31+V32</f>
        <v/>
      </c>
      <c r="W33" s="80">
        <f>W31+W32</f>
        <v/>
      </c>
      <c r="X33" s="80">
        <f>X31+X32</f>
        <v/>
      </c>
      <c r="Y33" s="80">
        <f>Y31+Y32</f>
        <v/>
      </c>
      <c r="Z33" s="80">
        <f>Z31+Z32</f>
        <v/>
      </c>
      <c r="AA33" s="80">
        <f>AA31+AA32</f>
        <v/>
      </c>
      <c r="AB33" s="80">
        <f>AB31+AB32</f>
        <v/>
      </c>
      <c r="AC33" s="80">
        <f>AC31+AC32</f>
        <v/>
      </c>
      <c r="AD33" s="80">
        <f>AD31+AD32</f>
        <v/>
      </c>
      <c r="AE33" s="80">
        <f>AE31+AE32</f>
        <v/>
      </c>
    </row>
    <row r="34" ht="12.75" customHeight="1" s="106">
      <c r="A34" s="2" t="inlineStr">
        <is>
          <t>Cumulative City-taxable AV (present, after exemptions)</t>
        </is>
      </c>
      <c r="B34">
        <f>SUMPRODUCT(--(Scenarios!$C$3:$C$27=TRUE()),Scenarios!$AD$3:$AD$27,'09_Phase_Factors'!$D$4:$D$28)</f>
        <v/>
      </c>
      <c r="C34">
        <f>SUMPRODUCT(--(Scenarios!$C$3:$C$27=TRUE()),Scenarios!$AD$3:$AD$27,'09_Phase_Factors'!$E$4:$E$28)</f>
        <v/>
      </c>
      <c r="D34">
        <f>SUMPRODUCT(--(Scenarios!$C$3:$C$27=TRUE()),Scenarios!$AD$3:$AD$27,'09_Phase_Factors'!$F$4:$F$28)</f>
        <v/>
      </c>
      <c r="E34">
        <f>SUMPRODUCT(--(Scenarios!$C$3:$C$27=TRUE()),Scenarios!$AD$3:$AD$27,'09_Phase_Factors'!$G$4:$G$28)</f>
        <v/>
      </c>
      <c r="F34">
        <f>SUMPRODUCT(--(Scenarios!$C$3:$C$27=TRUE()),Scenarios!$AD$3:$AD$27,'09_Phase_Factors'!$H$4:$H$28)</f>
        <v/>
      </c>
      <c r="G34">
        <f>SUMPRODUCT(--(Scenarios!$C$3:$C$27=TRUE()),Scenarios!$AD$3:$AD$27,'09_Phase_Factors'!$I$4:$I$28)</f>
        <v/>
      </c>
      <c r="H34">
        <f>SUMPRODUCT(--(Scenarios!$C$3:$C$27=TRUE()),Scenarios!$AD$3:$AD$27,'09_Phase_Factors'!$J$4:$J$28)</f>
        <v/>
      </c>
      <c r="I34">
        <f>SUMPRODUCT(--(Scenarios!$C$3:$C$27=TRUE()),Scenarios!$AD$3:$AD$27,'09_Phase_Factors'!$K$4:$K$28)</f>
        <v/>
      </c>
      <c r="J34">
        <f>SUMPRODUCT(--(Scenarios!$C$3:$C$27=TRUE()),Scenarios!$AD$3:$AD$27,'09_Phase_Factors'!$L$4:$L$28)</f>
        <v/>
      </c>
      <c r="K34">
        <f>SUMPRODUCT(--(Scenarios!$C$3:$C$27=TRUE()),Scenarios!$AD$3:$AD$27,'09_Phase_Factors'!$M$4:$M$28)</f>
        <v/>
      </c>
      <c r="L34">
        <f>SUMPRODUCT(--(Scenarios!$C$3:$C$27=TRUE()),Scenarios!$AD$3:$AD$27,'09_Phase_Factors'!$N$4:$N$28)</f>
        <v/>
      </c>
      <c r="M34">
        <f>SUMPRODUCT(--(Scenarios!$C$3:$C$27=TRUE()),Scenarios!$AD$3:$AD$27,'09_Phase_Factors'!$O$4:$O$28)</f>
        <v/>
      </c>
      <c r="N34">
        <f>SUMPRODUCT(--(Scenarios!$C$3:$C$27=TRUE()),Scenarios!$AD$3:$AD$27,'09_Phase_Factors'!$P$4:$P$28)</f>
        <v/>
      </c>
      <c r="O34">
        <f>SUMPRODUCT(--(Scenarios!$C$3:$C$27=TRUE()),Scenarios!$AD$3:$AD$27,'09_Phase_Factors'!$Q$4:$Q$28)</f>
        <v/>
      </c>
      <c r="P34">
        <f>SUMPRODUCT(--(Scenarios!$C$3:$C$27=TRUE()),Scenarios!$AD$3:$AD$27,'09_Phase_Factors'!$R$4:$R$28)</f>
        <v/>
      </c>
      <c r="Q34">
        <f>SUMPRODUCT(--(Scenarios!$C$3:$C$27=TRUE()),Scenarios!$AD$3:$AD$27,'09_Phase_Factors'!$S$4:$S$28)</f>
        <v/>
      </c>
      <c r="R34">
        <f>SUMPRODUCT(--(Scenarios!$C$3:$C$27=TRUE()),Scenarios!$AD$3:$AD$27,'09_Phase_Factors'!$T$4:$T$28)</f>
        <v/>
      </c>
      <c r="S34">
        <f>SUMPRODUCT(--(Scenarios!$C$3:$C$27=TRUE()),Scenarios!$AD$3:$AD$27,'09_Phase_Factors'!$U$4:$U$28)</f>
        <v/>
      </c>
      <c r="T34">
        <f>SUMPRODUCT(--(Scenarios!$C$3:$C$27=TRUE()),Scenarios!$AD$3:$AD$27,'09_Phase_Factors'!$V$4:$V$28)</f>
        <v/>
      </c>
      <c r="U34">
        <f>SUMPRODUCT(--(Scenarios!$C$3:$C$27=TRUE()),Scenarios!$AD$3:$AD$27,'09_Phase_Factors'!$W$4:$W$28)</f>
        <v/>
      </c>
      <c r="V34">
        <f>SUMPRODUCT(--(Scenarios!$C$3:$C$27=TRUE()),Scenarios!$AD$3:$AD$27,'09_Phase_Factors'!$X$4:$X$28)</f>
        <v/>
      </c>
      <c r="W34">
        <f>SUMPRODUCT(--(Scenarios!$C$3:$C$27=TRUE()),Scenarios!$AD$3:$AD$27,'09_Phase_Factors'!$Y$4:$Y$28)</f>
        <v/>
      </c>
      <c r="X34">
        <f>SUMPRODUCT(--(Scenarios!$C$3:$C$27=TRUE()),Scenarios!$AD$3:$AD$27,'09_Phase_Factors'!$Z$4:$Z$28)</f>
        <v/>
      </c>
      <c r="Y34">
        <f>SUMPRODUCT(--(Scenarios!$C$3:$C$27=TRUE()),Scenarios!$AD$3:$AD$27,'09_Phase_Factors'!$AA$4:$AA$28)</f>
        <v/>
      </c>
      <c r="Z34">
        <f>SUMPRODUCT(--(Scenarios!$C$3:$C$27=TRUE()),Scenarios!$AD$3:$AD$27,'09_Phase_Factors'!$AB$4:$AB$28)</f>
        <v/>
      </c>
      <c r="AA34">
        <f>SUMPRODUCT(--(Scenarios!$C$3:$C$27=TRUE()),Scenarios!$AD$3:$AD$27,'09_Phase_Factors'!$AC$4:$AC$28)</f>
        <v/>
      </c>
      <c r="AB34">
        <f>SUMPRODUCT(--(Scenarios!$C$3:$C$27=TRUE()),Scenarios!$AD$3:$AD$27,'09_Phase_Factors'!$AD$4:$AD$28)</f>
        <v/>
      </c>
      <c r="AC34">
        <f>SUMPRODUCT(--(Scenarios!$C$3:$C$27=TRUE()),Scenarios!$AD$3:$AD$27,'09_Phase_Factors'!$AE$4:$AE$28)</f>
        <v/>
      </c>
      <c r="AD34">
        <f>SUMPRODUCT(--(Scenarios!$C$3:$C$27=TRUE()),Scenarios!$AD$3:$AD$27,'09_Phase_Factors'!$AF$4:$AF$28)</f>
        <v/>
      </c>
      <c r="AE34">
        <f>SUMPRODUCT(--(Scenarios!$C$3:$C$27=TRUE()),Scenarios!$AD$3:$AD$27,'09_Phase_Factors'!$AG$4:$AG$28)</f>
        <v/>
      </c>
    </row>
    <row r="35" ht="12.75" customHeight="1" s="106">
      <c r="A35" s="2" t="inlineStr">
        <is>
          <t>Cumulative ESD-taxable AV (present, after exemptions)</t>
        </is>
      </c>
      <c r="B35">
        <f>SUMPRODUCT(--(Scenarios!$C$3:$C$27=TRUE()),Scenarios!$AE$3:$AE$27,'09_Phase_Factors'!$D$4:$D$28)</f>
        <v/>
      </c>
      <c r="C35">
        <f>SUMPRODUCT(--(Scenarios!$C$3:$C$27=TRUE()),Scenarios!$AE$3:$AE$27,'09_Phase_Factors'!$E$4:$E$28)</f>
        <v/>
      </c>
      <c r="D35">
        <f>SUMPRODUCT(--(Scenarios!$C$3:$C$27=TRUE()),Scenarios!$AE$3:$AE$27,'09_Phase_Factors'!$F$4:$F$28)</f>
        <v/>
      </c>
      <c r="E35">
        <f>SUMPRODUCT(--(Scenarios!$C$3:$C$27=TRUE()),Scenarios!$AE$3:$AE$27,'09_Phase_Factors'!$G$4:$G$28)</f>
        <v/>
      </c>
      <c r="F35">
        <f>SUMPRODUCT(--(Scenarios!$C$3:$C$27=TRUE()),Scenarios!$AE$3:$AE$27,'09_Phase_Factors'!$H$4:$H$28)</f>
        <v/>
      </c>
      <c r="G35">
        <f>SUMPRODUCT(--(Scenarios!$C$3:$C$27=TRUE()),Scenarios!$AE$3:$AE$27,'09_Phase_Factors'!$I$4:$I$28)</f>
        <v/>
      </c>
      <c r="H35">
        <f>SUMPRODUCT(--(Scenarios!$C$3:$C$27=TRUE()),Scenarios!$AE$3:$AE$27,'09_Phase_Factors'!$J$4:$J$28)</f>
        <v/>
      </c>
      <c r="I35">
        <f>SUMPRODUCT(--(Scenarios!$C$3:$C$27=TRUE()),Scenarios!$AE$3:$AE$27,'09_Phase_Factors'!$K$4:$K$28)</f>
        <v/>
      </c>
      <c r="J35">
        <f>SUMPRODUCT(--(Scenarios!$C$3:$C$27=TRUE()),Scenarios!$AE$3:$AE$27,'09_Phase_Factors'!$L$4:$L$28)</f>
        <v/>
      </c>
      <c r="K35">
        <f>SUMPRODUCT(--(Scenarios!$C$3:$C$27=TRUE()),Scenarios!$AE$3:$AE$27,'09_Phase_Factors'!$M$4:$M$28)</f>
        <v/>
      </c>
      <c r="L35">
        <f>SUMPRODUCT(--(Scenarios!$C$3:$C$27=TRUE()),Scenarios!$AE$3:$AE$27,'09_Phase_Factors'!$N$4:$N$28)</f>
        <v/>
      </c>
      <c r="M35">
        <f>SUMPRODUCT(--(Scenarios!$C$3:$C$27=TRUE()),Scenarios!$AE$3:$AE$27,'09_Phase_Factors'!$O$4:$O$28)</f>
        <v/>
      </c>
      <c r="N35">
        <f>SUMPRODUCT(--(Scenarios!$C$3:$C$27=TRUE()),Scenarios!$AE$3:$AE$27,'09_Phase_Factors'!$P$4:$P$28)</f>
        <v/>
      </c>
      <c r="O35">
        <f>SUMPRODUCT(--(Scenarios!$C$3:$C$27=TRUE()),Scenarios!$AE$3:$AE$27,'09_Phase_Factors'!$Q$4:$Q$28)</f>
        <v/>
      </c>
      <c r="P35">
        <f>SUMPRODUCT(--(Scenarios!$C$3:$C$27=TRUE()),Scenarios!$AE$3:$AE$27,'09_Phase_Factors'!$R$4:$R$28)</f>
        <v/>
      </c>
      <c r="Q35">
        <f>SUMPRODUCT(--(Scenarios!$C$3:$C$27=TRUE()),Scenarios!$AE$3:$AE$27,'09_Phase_Factors'!$S$4:$S$28)</f>
        <v/>
      </c>
      <c r="R35">
        <f>SUMPRODUCT(--(Scenarios!$C$3:$C$27=TRUE()),Scenarios!$AE$3:$AE$27,'09_Phase_Factors'!$T$4:$T$28)</f>
        <v/>
      </c>
      <c r="S35">
        <f>SUMPRODUCT(--(Scenarios!$C$3:$C$27=TRUE()),Scenarios!$AE$3:$AE$27,'09_Phase_Factors'!$U$4:$U$28)</f>
        <v/>
      </c>
      <c r="T35">
        <f>SUMPRODUCT(--(Scenarios!$C$3:$C$27=TRUE()),Scenarios!$AE$3:$AE$27,'09_Phase_Factors'!$V$4:$V$28)</f>
        <v/>
      </c>
      <c r="U35">
        <f>SUMPRODUCT(--(Scenarios!$C$3:$C$27=TRUE()),Scenarios!$AE$3:$AE$27,'09_Phase_Factors'!$W$4:$W$28)</f>
        <v/>
      </c>
      <c r="V35">
        <f>SUMPRODUCT(--(Scenarios!$C$3:$C$27=TRUE()),Scenarios!$AE$3:$AE$27,'09_Phase_Factors'!$X$4:$X$28)</f>
        <v/>
      </c>
      <c r="W35">
        <f>SUMPRODUCT(--(Scenarios!$C$3:$C$27=TRUE()),Scenarios!$AE$3:$AE$27,'09_Phase_Factors'!$Y$4:$Y$28)</f>
        <v/>
      </c>
      <c r="X35">
        <f>SUMPRODUCT(--(Scenarios!$C$3:$C$27=TRUE()),Scenarios!$AE$3:$AE$27,'09_Phase_Factors'!$Z$4:$Z$28)</f>
        <v/>
      </c>
      <c r="Y35">
        <f>SUMPRODUCT(--(Scenarios!$C$3:$C$27=TRUE()),Scenarios!$AE$3:$AE$27,'09_Phase_Factors'!$AA$4:$AA$28)</f>
        <v/>
      </c>
      <c r="Z35">
        <f>SUMPRODUCT(--(Scenarios!$C$3:$C$27=TRUE()),Scenarios!$AE$3:$AE$27,'09_Phase_Factors'!$AB$4:$AB$28)</f>
        <v/>
      </c>
      <c r="AA35">
        <f>SUMPRODUCT(--(Scenarios!$C$3:$C$27=TRUE()),Scenarios!$AE$3:$AE$27,'09_Phase_Factors'!$AC$4:$AC$28)</f>
        <v/>
      </c>
      <c r="AB35">
        <f>SUMPRODUCT(--(Scenarios!$C$3:$C$27=TRUE()),Scenarios!$AE$3:$AE$27,'09_Phase_Factors'!$AD$4:$AD$28)</f>
        <v/>
      </c>
      <c r="AC35">
        <f>SUMPRODUCT(--(Scenarios!$C$3:$C$27=TRUE()),Scenarios!$AE$3:$AE$27,'09_Phase_Factors'!$AE$4:$AE$28)</f>
        <v/>
      </c>
      <c r="AD35">
        <f>SUMPRODUCT(--(Scenarios!$C$3:$C$27=TRUE()),Scenarios!$AE$3:$AE$27,'09_Phase_Factors'!$AF$4:$AF$28)</f>
        <v/>
      </c>
      <c r="AE35">
        <f>SUMPRODUCT(--(Scenarios!$C$3:$C$27=TRUE()),Scenarios!$AE$3:$AE$27,'09_Phase_Factors'!$AG$4:$AG$28)</f>
        <v/>
      </c>
    </row>
    <row r="36" ht="12.75" customHeight="1" s="106">
      <c r="A36" t="inlineStr">
        <is>
          <t>Gross City property tax (pre-exemption, raw AV)</t>
        </is>
      </c>
      <c r="B36" s="80">
        <f>B11*((1+'00_Inputs_Dashboard'!$B$15)^(1-1))*'00_Inputs_Dashboard'!$B$21*'00_Inputs_Dashboard'!$B$50</f>
        <v/>
      </c>
      <c r="C36" s="80">
        <f>C11*((1+'00_Inputs_Dashboard'!$B$15)^(2-1))*'00_Inputs_Dashboard'!$B$21*'00_Inputs_Dashboard'!$B$50</f>
        <v/>
      </c>
      <c r="D36" s="80">
        <f>D11*((1+'00_Inputs_Dashboard'!$B$15)^(3-1))*'00_Inputs_Dashboard'!$B$21*'00_Inputs_Dashboard'!$B$50</f>
        <v/>
      </c>
      <c r="E36" s="80">
        <f>E11*((1+'00_Inputs_Dashboard'!$B$15)^(4-1))*'00_Inputs_Dashboard'!$B$21*'00_Inputs_Dashboard'!$B$50</f>
        <v/>
      </c>
      <c r="F36" s="80">
        <f>F11*((1+'00_Inputs_Dashboard'!$B$15)^(5-1))*'00_Inputs_Dashboard'!$B$21*'00_Inputs_Dashboard'!$B$50</f>
        <v/>
      </c>
      <c r="G36" s="80">
        <f>G11*((1+'00_Inputs_Dashboard'!$B$15)^(6-1))*'00_Inputs_Dashboard'!$B$21*'00_Inputs_Dashboard'!$B$50</f>
        <v/>
      </c>
      <c r="H36" s="80">
        <f>H11*((1+'00_Inputs_Dashboard'!$B$15)^(7-1))*'00_Inputs_Dashboard'!$B$21*'00_Inputs_Dashboard'!$B$50</f>
        <v/>
      </c>
      <c r="I36" s="80">
        <f>I11*((1+'00_Inputs_Dashboard'!$B$15)^(8-1))*'00_Inputs_Dashboard'!$B$21*'00_Inputs_Dashboard'!$B$50</f>
        <v/>
      </c>
      <c r="J36" s="80">
        <f>J11*((1+'00_Inputs_Dashboard'!$B$15)^(9-1))*'00_Inputs_Dashboard'!$B$21*'00_Inputs_Dashboard'!$B$50</f>
        <v/>
      </c>
      <c r="K36" s="80">
        <f>K11*((1+'00_Inputs_Dashboard'!$B$15)^(10-1))*'00_Inputs_Dashboard'!$B$21*'00_Inputs_Dashboard'!$B$50</f>
        <v/>
      </c>
      <c r="L36" s="80">
        <f>L11*((1+'00_Inputs_Dashboard'!$B$15)^(11-1))*'00_Inputs_Dashboard'!$B$21*'00_Inputs_Dashboard'!$B$50</f>
        <v/>
      </c>
      <c r="M36" s="80">
        <f>M11*((1+'00_Inputs_Dashboard'!$B$15)^(12-1))*'00_Inputs_Dashboard'!$B$21*'00_Inputs_Dashboard'!$B$50</f>
        <v/>
      </c>
      <c r="N36" s="80">
        <f>N11*((1+'00_Inputs_Dashboard'!$B$15)^(13-1))*'00_Inputs_Dashboard'!$B$21*'00_Inputs_Dashboard'!$B$50</f>
        <v/>
      </c>
      <c r="O36" s="80">
        <f>O11*((1+'00_Inputs_Dashboard'!$B$15)^(14-1))*'00_Inputs_Dashboard'!$B$21*'00_Inputs_Dashboard'!$B$50</f>
        <v/>
      </c>
      <c r="P36" s="80">
        <f>P11*((1+'00_Inputs_Dashboard'!$B$15)^(15-1))*'00_Inputs_Dashboard'!$B$21*'00_Inputs_Dashboard'!$B$50</f>
        <v/>
      </c>
      <c r="Q36" s="80">
        <f>Q11*((1+'00_Inputs_Dashboard'!$B$15)^(16-1))*'00_Inputs_Dashboard'!$B$21*'00_Inputs_Dashboard'!$B$50</f>
        <v/>
      </c>
      <c r="R36" s="80">
        <f>R11*((1+'00_Inputs_Dashboard'!$B$15)^(17-1))*'00_Inputs_Dashboard'!$B$21*'00_Inputs_Dashboard'!$B$50</f>
        <v/>
      </c>
      <c r="S36" s="80">
        <f>S11*((1+'00_Inputs_Dashboard'!$B$15)^(18-1))*'00_Inputs_Dashboard'!$B$21*'00_Inputs_Dashboard'!$B$50</f>
        <v/>
      </c>
      <c r="T36" s="80">
        <f>T11*((1+'00_Inputs_Dashboard'!$B$15)^(19-1))*'00_Inputs_Dashboard'!$B$21*'00_Inputs_Dashboard'!$B$50</f>
        <v/>
      </c>
      <c r="U36" s="80">
        <f>U11*((1+'00_Inputs_Dashboard'!$B$15)^(20-1))*'00_Inputs_Dashboard'!$B$21*'00_Inputs_Dashboard'!$B$50</f>
        <v/>
      </c>
      <c r="V36" s="80">
        <f>V11*((1+'00_Inputs_Dashboard'!$B$15)^(21-1))*'00_Inputs_Dashboard'!$B$21*'00_Inputs_Dashboard'!$B$50</f>
        <v/>
      </c>
      <c r="W36" s="80">
        <f>W11*((1+'00_Inputs_Dashboard'!$B$15)^(22-1))*'00_Inputs_Dashboard'!$B$21*'00_Inputs_Dashboard'!$B$50</f>
        <v/>
      </c>
      <c r="X36" s="80">
        <f>X11*((1+'00_Inputs_Dashboard'!$B$15)^(23-1))*'00_Inputs_Dashboard'!$B$21*'00_Inputs_Dashboard'!$B$50</f>
        <v/>
      </c>
      <c r="Y36" s="80">
        <f>Y11*((1+'00_Inputs_Dashboard'!$B$15)^(24-1))*'00_Inputs_Dashboard'!$B$21*'00_Inputs_Dashboard'!$B$50</f>
        <v/>
      </c>
      <c r="Z36" s="80">
        <f>Z11*((1+'00_Inputs_Dashboard'!$B$15)^(25-1))*'00_Inputs_Dashboard'!$B$21*'00_Inputs_Dashboard'!$B$50</f>
        <v/>
      </c>
      <c r="AA36" s="80">
        <f>AA11*((1+'00_Inputs_Dashboard'!$B$15)^(26-1))*'00_Inputs_Dashboard'!$B$21*'00_Inputs_Dashboard'!$B$50</f>
        <v/>
      </c>
      <c r="AB36" s="80">
        <f>AB11*((1+'00_Inputs_Dashboard'!$B$15)^(27-1))*'00_Inputs_Dashboard'!$B$21*'00_Inputs_Dashboard'!$B$50</f>
        <v/>
      </c>
      <c r="AC36" s="80">
        <f>AC11*((1+'00_Inputs_Dashboard'!$B$15)^(28-1))*'00_Inputs_Dashboard'!$B$21*'00_Inputs_Dashboard'!$B$50</f>
        <v/>
      </c>
      <c r="AD36" s="80">
        <f>AD11*((1+'00_Inputs_Dashboard'!$B$15)^(29-1))*'00_Inputs_Dashboard'!$B$21*'00_Inputs_Dashboard'!$B$50</f>
        <v/>
      </c>
      <c r="AE36" s="80">
        <f>AE11*((1+'00_Inputs_Dashboard'!$B$15)^(30-1))*'00_Inputs_Dashboard'!$B$21*'00_Inputs_Dashboard'!$B$50</f>
        <v/>
      </c>
    </row>
    <row r="37" ht="12.75" customHeight="1" s="106">
      <c r="A37" t="inlineStr">
        <is>
          <t>Gross ESD property tax (pre-exemption, raw AV)</t>
        </is>
      </c>
      <c r="B37" s="80">
        <f>B11*((1+'00_Inputs_Dashboard'!$B$15)^(1-1))*'00_Inputs_Dashboard'!$B$22*'00_Inputs_Dashboard'!$B$50</f>
        <v/>
      </c>
      <c r="C37" s="80">
        <f>C11*((1+'00_Inputs_Dashboard'!$B$15)^(2-1))*'00_Inputs_Dashboard'!$B$22*'00_Inputs_Dashboard'!$B$50</f>
        <v/>
      </c>
      <c r="D37" s="80">
        <f>D11*((1+'00_Inputs_Dashboard'!$B$15)^(3-1))*'00_Inputs_Dashboard'!$B$22*'00_Inputs_Dashboard'!$B$50</f>
        <v/>
      </c>
      <c r="E37" s="80">
        <f>E11*((1+'00_Inputs_Dashboard'!$B$15)^(4-1))*'00_Inputs_Dashboard'!$B$22*'00_Inputs_Dashboard'!$B$50</f>
        <v/>
      </c>
      <c r="F37" s="80">
        <f>F11*((1+'00_Inputs_Dashboard'!$B$15)^(5-1))*'00_Inputs_Dashboard'!$B$22*'00_Inputs_Dashboard'!$B$50</f>
        <v/>
      </c>
      <c r="G37" s="80">
        <f>G11*((1+'00_Inputs_Dashboard'!$B$15)^(6-1))*'00_Inputs_Dashboard'!$B$22*'00_Inputs_Dashboard'!$B$50</f>
        <v/>
      </c>
      <c r="H37" s="80">
        <f>H11*((1+'00_Inputs_Dashboard'!$B$15)^(7-1))*'00_Inputs_Dashboard'!$B$22*'00_Inputs_Dashboard'!$B$50</f>
        <v/>
      </c>
      <c r="I37" s="80">
        <f>I11*((1+'00_Inputs_Dashboard'!$B$15)^(8-1))*'00_Inputs_Dashboard'!$B$22*'00_Inputs_Dashboard'!$B$50</f>
        <v/>
      </c>
      <c r="J37" s="80">
        <f>J11*((1+'00_Inputs_Dashboard'!$B$15)^(9-1))*'00_Inputs_Dashboard'!$B$22*'00_Inputs_Dashboard'!$B$50</f>
        <v/>
      </c>
      <c r="K37" s="80">
        <f>K11*((1+'00_Inputs_Dashboard'!$B$15)^(10-1))*'00_Inputs_Dashboard'!$B$22*'00_Inputs_Dashboard'!$B$50</f>
        <v/>
      </c>
      <c r="L37" s="80">
        <f>L11*((1+'00_Inputs_Dashboard'!$B$15)^(11-1))*'00_Inputs_Dashboard'!$B$22*'00_Inputs_Dashboard'!$B$50</f>
        <v/>
      </c>
      <c r="M37" s="80">
        <f>M11*((1+'00_Inputs_Dashboard'!$B$15)^(12-1))*'00_Inputs_Dashboard'!$B$22*'00_Inputs_Dashboard'!$B$50</f>
        <v/>
      </c>
      <c r="N37" s="80">
        <f>N11*((1+'00_Inputs_Dashboard'!$B$15)^(13-1))*'00_Inputs_Dashboard'!$B$22*'00_Inputs_Dashboard'!$B$50</f>
        <v/>
      </c>
      <c r="O37" s="80">
        <f>O11*((1+'00_Inputs_Dashboard'!$B$15)^(14-1))*'00_Inputs_Dashboard'!$B$22*'00_Inputs_Dashboard'!$B$50</f>
        <v/>
      </c>
      <c r="P37" s="80">
        <f>P11*((1+'00_Inputs_Dashboard'!$B$15)^(15-1))*'00_Inputs_Dashboard'!$B$22*'00_Inputs_Dashboard'!$B$50</f>
        <v/>
      </c>
      <c r="Q37" s="80">
        <f>Q11*((1+'00_Inputs_Dashboard'!$B$15)^(16-1))*'00_Inputs_Dashboard'!$B$22*'00_Inputs_Dashboard'!$B$50</f>
        <v/>
      </c>
      <c r="R37" s="80">
        <f>R11*((1+'00_Inputs_Dashboard'!$B$15)^(17-1))*'00_Inputs_Dashboard'!$B$22*'00_Inputs_Dashboard'!$B$50</f>
        <v/>
      </c>
      <c r="S37" s="80">
        <f>S11*((1+'00_Inputs_Dashboard'!$B$15)^(18-1))*'00_Inputs_Dashboard'!$B$22*'00_Inputs_Dashboard'!$B$50</f>
        <v/>
      </c>
      <c r="T37" s="80">
        <f>T11*((1+'00_Inputs_Dashboard'!$B$15)^(19-1))*'00_Inputs_Dashboard'!$B$22*'00_Inputs_Dashboard'!$B$50</f>
        <v/>
      </c>
      <c r="U37" s="80">
        <f>U11*((1+'00_Inputs_Dashboard'!$B$15)^(20-1))*'00_Inputs_Dashboard'!$B$22*'00_Inputs_Dashboard'!$B$50</f>
        <v/>
      </c>
      <c r="V37" s="80">
        <f>V11*((1+'00_Inputs_Dashboard'!$B$15)^(21-1))*'00_Inputs_Dashboard'!$B$22*'00_Inputs_Dashboard'!$B$50</f>
        <v/>
      </c>
      <c r="W37" s="80">
        <f>W11*((1+'00_Inputs_Dashboard'!$B$15)^(22-1))*'00_Inputs_Dashboard'!$B$22*'00_Inputs_Dashboard'!$B$50</f>
        <v/>
      </c>
      <c r="X37" s="80">
        <f>X11*((1+'00_Inputs_Dashboard'!$B$15)^(23-1))*'00_Inputs_Dashboard'!$B$22*'00_Inputs_Dashboard'!$B$50</f>
        <v/>
      </c>
      <c r="Y37" s="80">
        <f>Y11*((1+'00_Inputs_Dashboard'!$B$15)^(24-1))*'00_Inputs_Dashboard'!$B$22*'00_Inputs_Dashboard'!$B$50</f>
        <v/>
      </c>
      <c r="Z37" s="80">
        <f>Z11*((1+'00_Inputs_Dashboard'!$B$15)^(25-1))*'00_Inputs_Dashboard'!$B$22*'00_Inputs_Dashboard'!$B$50</f>
        <v/>
      </c>
      <c r="AA37" s="80">
        <f>AA11*((1+'00_Inputs_Dashboard'!$B$15)^(26-1))*'00_Inputs_Dashboard'!$B$22*'00_Inputs_Dashboard'!$B$50</f>
        <v/>
      </c>
      <c r="AB37" s="80">
        <f>AB11*((1+'00_Inputs_Dashboard'!$B$15)^(27-1))*'00_Inputs_Dashboard'!$B$22*'00_Inputs_Dashboard'!$B$50</f>
        <v/>
      </c>
      <c r="AC37" s="80">
        <f>AC11*((1+'00_Inputs_Dashboard'!$B$15)^(28-1))*'00_Inputs_Dashboard'!$B$22*'00_Inputs_Dashboard'!$B$50</f>
        <v/>
      </c>
      <c r="AD37" s="80">
        <f>AD11*((1+'00_Inputs_Dashboard'!$B$15)^(29-1))*'00_Inputs_Dashboard'!$B$22*'00_Inputs_Dashboard'!$B$50</f>
        <v/>
      </c>
      <c r="AE37" s="80">
        <f>AE11*((1+'00_Inputs_Dashboard'!$B$15)^(30-1))*'00_Inputs_Dashboard'!$B$22*'00_Inputs_Dashboard'!$B$50</f>
        <v/>
      </c>
    </row>
    <row r="38" ht="12.75" customHeight="1" s="106">
      <c r="A38" s="23" t="inlineStr">
        <is>
          <t>Cumulative City INDUSTRIAL taxable AV (abatement base)</t>
        </is>
      </c>
      <c r="B38" s="80">
        <f>SUMPRODUCT(--(Scenarios!$C$3:$C$27=TRUE()),Scenarios!$AF$3:$AF$27,'09_Phase_Factors'!$D$4:$D$28)</f>
        <v/>
      </c>
      <c r="C38" s="80">
        <f>SUMPRODUCT(--(Scenarios!$C$3:$C$27=TRUE()),Scenarios!$AF$3:$AF$27,'09_Phase_Factors'!$E$4:$E$28)</f>
        <v/>
      </c>
      <c r="D38" s="80">
        <f>SUMPRODUCT(--(Scenarios!$C$3:$C$27=TRUE()),Scenarios!$AF$3:$AF$27,'09_Phase_Factors'!$F$4:$F$28)</f>
        <v/>
      </c>
      <c r="E38" s="80">
        <f>SUMPRODUCT(--(Scenarios!$C$3:$C$27=TRUE()),Scenarios!$AF$3:$AF$27,'09_Phase_Factors'!$G$4:$G$28)</f>
        <v/>
      </c>
      <c r="F38" s="80">
        <f>SUMPRODUCT(--(Scenarios!$C$3:$C$27=TRUE()),Scenarios!$AF$3:$AF$27,'09_Phase_Factors'!$H$4:$H$28)</f>
        <v/>
      </c>
      <c r="G38" s="80">
        <f>SUMPRODUCT(--(Scenarios!$C$3:$C$27=TRUE()),Scenarios!$AF$3:$AF$27,'09_Phase_Factors'!$I$4:$I$28)</f>
        <v/>
      </c>
      <c r="H38" s="80">
        <f>SUMPRODUCT(--(Scenarios!$C$3:$C$27=TRUE()),Scenarios!$AF$3:$AF$27,'09_Phase_Factors'!$J$4:$J$28)</f>
        <v/>
      </c>
      <c r="I38" s="80">
        <f>SUMPRODUCT(--(Scenarios!$C$3:$C$27=TRUE()),Scenarios!$AF$3:$AF$27,'09_Phase_Factors'!$K$4:$K$28)</f>
        <v/>
      </c>
      <c r="J38" s="80">
        <f>SUMPRODUCT(--(Scenarios!$C$3:$C$27=TRUE()),Scenarios!$AF$3:$AF$27,'09_Phase_Factors'!$L$4:$L$28)</f>
        <v/>
      </c>
      <c r="K38" s="80">
        <f>SUMPRODUCT(--(Scenarios!$C$3:$C$27=TRUE()),Scenarios!$AF$3:$AF$27,'09_Phase_Factors'!$M$4:$M$28)</f>
        <v/>
      </c>
      <c r="L38" s="80">
        <f>SUMPRODUCT(--(Scenarios!$C$3:$C$27=TRUE()),Scenarios!$AF$3:$AF$27,'09_Phase_Factors'!$N$4:$N$28)</f>
        <v/>
      </c>
      <c r="M38" s="80">
        <f>SUMPRODUCT(--(Scenarios!$C$3:$C$27=TRUE()),Scenarios!$AF$3:$AF$27,'09_Phase_Factors'!$O$4:$O$28)</f>
        <v/>
      </c>
      <c r="N38" s="80">
        <f>SUMPRODUCT(--(Scenarios!$C$3:$C$27=TRUE()),Scenarios!$AF$3:$AF$27,'09_Phase_Factors'!$P$4:$P$28)</f>
        <v/>
      </c>
      <c r="O38" s="80">
        <f>SUMPRODUCT(--(Scenarios!$C$3:$C$27=TRUE()),Scenarios!$AF$3:$AF$27,'09_Phase_Factors'!$Q$4:$Q$28)</f>
        <v/>
      </c>
      <c r="P38" s="80">
        <f>SUMPRODUCT(--(Scenarios!$C$3:$C$27=TRUE()),Scenarios!$AF$3:$AF$27,'09_Phase_Factors'!$R$4:$R$28)</f>
        <v/>
      </c>
      <c r="Q38" s="80">
        <f>SUMPRODUCT(--(Scenarios!$C$3:$C$27=TRUE()),Scenarios!$AF$3:$AF$27,'09_Phase_Factors'!$S$4:$S$28)</f>
        <v/>
      </c>
      <c r="R38" s="80">
        <f>SUMPRODUCT(--(Scenarios!$C$3:$C$27=TRUE()),Scenarios!$AF$3:$AF$27,'09_Phase_Factors'!$T$4:$T$28)</f>
        <v/>
      </c>
      <c r="S38" s="80">
        <f>SUMPRODUCT(--(Scenarios!$C$3:$C$27=TRUE()),Scenarios!$AF$3:$AF$27,'09_Phase_Factors'!$U$4:$U$28)</f>
        <v/>
      </c>
      <c r="T38" s="80">
        <f>SUMPRODUCT(--(Scenarios!$C$3:$C$27=TRUE()),Scenarios!$AF$3:$AF$27,'09_Phase_Factors'!$V$4:$V$28)</f>
        <v/>
      </c>
      <c r="U38" s="80">
        <f>SUMPRODUCT(--(Scenarios!$C$3:$C$27=TRUE()),Scenarios!$AF$3:$AF$27,'09_Phase_Factors'!$W$4:$W$28)</f>
        <v/>
      </c>
      <c r="V38" s="80">
        <f>SUMPRODUCT(--(Scenarios!$C$3:$C$27=TRUE()),Scenarios!$AF$3:$AF$27,'09_Phase_Factors'!$X$4:$X$28)</f>
        <v/>
      </c>
      <c r="W38" s="80">
        <f>SUMPRODUCT(--(Scenarios!$C$3:$C$27=TRUE()),Scenarios!$AF$3:$AF$27,'09_Phase_Factors'!$Y$4:$Y$28)</f>
        <v/>
      </c>
      <c r="X38" s="80">
        <f>SUMPRODUCT(--(Scenarios!$C$3:$C$27=TRUE()),Scenarios!$AF$3:$AF$27,'09_Phase_Factors'!$Z$4:$Z$28)</f>
        <v/>
      </c>
      <c r="Y38" s="80">
        <f>SUMPRODUCT(--(Scenarios!$C$3:$C$27=TRUE()),Scenarios!$AF$3:$AF$27,'09_Phase_Factors'!$AA$4:$AA$28)</f>
        <v/>
      </c>
      <c r="Z38" s="80">
        <f>SUMPRODUCT(--(Scenarios!$C$3:$C$27=TRUE()),Scenarios!$AF$3:$AF$27,'09_Phase_Factors'!$AB$4:$AB$28)</f>
        <v/>
      </c>
      <c r="AA38" s="80">
        <f>SUMPRODUCT(--(Scenarios!$C$3:$C$27=TRUE()),Scenarios!$AF$3:$AF$27,'09_Phase_Factors'!$AC$4:$AC$28)</f>
        <v/>
      </c>
      <c r="AB38" s="80">
        <f>SUMPRODUCT(--(Scenarios!$C$3:$C$27=TRUE()),Scenarios!$AF$3:$AF$27,'09_Phase_Factors'!$AD$4:$AD$28)</f>
        <v/>
      </c>
      <c r="AC38" s="80">
        <f>SUMPRODUCT(--(Scenarios!$C$3:$C$27=TRUE()),Scenarios!$AF$3:$AF$27,'09_Phase_Factors'!$AE$4:$AE$28)</f>
        <v/>
      </c>
      <c r="AD38" s="80">
        <f>SUMPRODUCT(--(Scenarios!$C$3:$C$27=TRUE()),Scenarios!$AF$3:$AF$27,'09_Phase_Factors'!$AF$4:$AF$28)</f>
        <v/>
      </c>
      <c r="AE38" s="80">
        <f>SUMPRODUCT(--(Scenarios!$C$3:$C$27=TRUE()),Scenarios!$AF$3:$AF$27,'09_Phase_Factors'!$AG$4:$AG$28)</f>
        <v/>
      </c>
    </row>
    <row r="39" ht="12.75" customHeight="1" s="106">
      <c r="A39" s="23" t="inlineStr">
        <is>
          <t>Cumulative ESD INDUSTRIAL taxable AV (abatement base)</t>
        </is>
      </c>
      <c r="B39" s="80">
        <f>SUMPRODUCT(--(Scenarios!$C$3:$C$27=TRUE()),Scenarios!$AG$3:$AG$27,'09_Phase_Factors'!$D$4:$D$28)</f>
        <v/>
      </c>
      <c r="C39" s="80">
        <f>SUMPRODUCT(--(Scenarios!$C$3:$C$27=TRUE()),Scenarios!$AG$3:$AG$27,'09_Phase_Factors'!$E$4:$E$28)</f>
        <v/>
      </c>
      <c r="D39" s="80">
        <f>SUMPRODUCT(--(Scenarios!$C$3:$C$27=TRUE()),Scenarios!$AG$3:$AG$27,'09_Phase_Factors'!$F$4:$F$28)</f>
        <v/>
      </c>
      <c r="E39" s="80">
        <f>SUMPRODUCT(--(Scenarios!$C$3:$C$27=TRUE()),Scenarios!$AG$3:$AG$27,'09_Phase_Factors'!$G$4:$G$28)</f>
        <v/>
      </c>
      <c r="F39" s="80">
        <f>SUMPRODUCT(--(Scenarios!$C$3:$C$27=TRUE()),Scenarios!$AG$3:$AG$27,'09_Phase_Factors'!$H$4:$H$28)</f>
        <v/>
      </c>
      <c r="G39" s="80">
        <f>SUMPRODUCT(--(Scenarios!$C$3:$C$27=TRUE()),Scenarios!$AG$3:$AG$27,'09_Phase_Factors'!$I$4:$I$28)</f>
        <v/>
      </c>
      <c r="H39" s="80">
        <f>SUMPRODUCT(--(Scenarios!$C$3:$C$27=TRUE()),Scenarios!$AG$3:$AG$27,'09_Phase_Factors'!$J$4:$J$28)</f>
        <v/>
      </c>
      <c r="I39" s="80">
        <f>SUMPRODUCT(--(Scenarios!$C$3:$C$27=TRUE()),Scenarios!$AG$3:$AG$27,'09_Phase_Factors'!$K$4:$K$28)</f>
        <v/>
      </c>
      <c r="J39" s="80">
        <f>SUMPRODUCT(--(Scenarios!$C$3:$C$27=TRUE()),Scenarios!$AG$3:$AG$27,'09_Phase_Factors'!$L$4:$L$28)</f>
        <v/>
      </c>
      <c r="K39" s="80">
        <f>SUMPRODUCT(--(Scenarios!$C$3:$C$27=TRUE()),Scenarios!$AG$3:$AG$27,'09_Phase_Factors'!$M$4:$M$28)</f>
        <v/>
      </c>
      <c r="L39" s="80">
        <f>SUMPRODUCT(--(Scenarios!$C$3:$C$27=TRUE()),Scenarios!$AG$3:$AG$27,'09_Phase_Factors'!$N$4:$N$28)</f>
        <v/>
      </c>
      <c r="M39" s="80">
        <f>SUMPRODUCT(--(Scenarios!$C$3:$C$27=TRUE()),Scenarios!$AG$3:$AG$27,'09_Phase_Factors'!$O$4:$O$28)</f>
        <v/>
      </c>
      <c r="N39" s="80">
        <f>SUMPRODUCT(--(Scenarios!$C$3:$C$27=TRUE()),Scenarios!$AG$3:$AG$27,'09_Phase_Factors'!$P$4:$P$28)</f>
        <v/>
      </c>
      <c r="O39" s="80">
        <f>SUMPRODUCT(--(Scenarios!$C$3:$C$27=TRUE()),Scenarios!$AG$3:$AG$27,'09_Phase_Factors'!$Q$4:$Q$28)</f>
        <v/>
      </c>
      <c r="P39" s="80">
        <f>SUMPRODUCT(--(Scenarios!$C$3:$C$27=TRUE()),Scenarios!$AG$3:$AG$27,'09_Phase_Factors'!$R$4:$R$28)</f>
        <v/>
      </c>
      <c r="Q39" s="80">
        <f>SUMPRODUCT(--(Scenarios!$C$3:$C$27=TRUE()),Scenarios!$AG$3:$AG$27,'09_Phase_Factors'!$S$4:$S$28)</f>
        <v/>
      </c>
      <c r="R39" s="80">
        <f>SUMPRODUCT(--(Scenarios!$C$3:$C$27=TRUE()),Scenarios!$AG$3:$AG$27,'09_Phase_Factors'!$T$4:$T$28)</f>
        <v/>
      </c>
      <c r="S39" s="80">
        <f>SUMPRODUCT(--(Scenarios!$C$3:$C$27=TRUE()),Scenarios!$AG$3:$AG$27,'09_Phase_Factors'!$U$4:$U$28)</f>
        <v/>
      </c>
      <c r="T39" s="80">
        <f>SUMPRODUCT(--(Scenarios!$C$3:$C$27=TRUE()),Scenarios!$AG$3:$AG$27,'09_Phase_Factors'!$V$4:$V$28)</f>
        <v/>
      </c>
      <c r="U39" s="80">
        <f>SUMPRODUCT(--(Scenarios!$C$3:$C$27=TRUE()),Scenarios!$AG$3:$AG$27,'09_Phase_Factors'!$W$4:$W$28)</f>
        <v/>
      </c>
      <c r="V39" s="80">
        <f>SUMPRODUCT(--(Scenarios!$C$3:$C$27=TRUE()),Scenarios!$AG$3:$AG$27,'09_Phase_Factors'!$X$4:$X$28)</f>
        <v/>
      </c>
      <c r="W39" s="80">
        <f>SUMPRODUCT(--(Scenarios!$C$3:$C$27=TRUE()),Scenarios!$AG$3:$AG$27,'09_Phase_Factors'!$Y$4:$Y$28)</f>
        <v/>
      </c>
      <c r="X39" s="80">
        <f>SUMPRODUCT(--(Scenarios!$C$3:$C$27=TRUE()),Scenarios!$AG$3:$AG$27,'09_Phase_Factors'!$Z$4:$Z$28)</f>
        <v/>
      </c>
      <c r="Y39" s="80">
        <f>SUMPRODUCT(--(Scenarios!$C$3:$C$27=TRUE()),Scenarios!$AG$3:$AG$27,'09_Phase_Factors'!$AA$4:$AA$28)</f>
        <v/>
      </c>
      <c r="Z39" s="80">
        <f>SUMPRODUCT(--(Scenarios!$C$3:$C$27=TRUE()),Scenarios!$AG$3:$AG$27,'09_Phase_Factors'!$AB$4:$AB$28)</f>
        <v/>
      </c>
      <c r="AA39" s="80">
        <f>SUMPRODUCT(--(Scenarios!$C$3:$C$27=TRUE()),Scenarios!$AG$3:$AG$27,'09_Phase_Factors'!$AC$4:$AC$28)</f>
        <v/>
      </c>
      <c r="AB39" s="80">
        <f>SUMPRODUCT(--(Scenarios!$C$3:$C$27=TRUE()),Scenarios!$AG$3:$AG$27,'09_Phase_Factors'!$AD$4:$AD$28)</f>
        <v/>
      </c>
      <c r="AC39" s="80">
        <f>SUMPRODUCT(--(Scenarios!$C$3:$C$27=TRUE()),Scenarios!$AG$3:$AG$27,'09_Phase_Factors'!$AE$4:$AE$28)</f>
        <v/>
      </c>
      <c r="AD39" s="80">
        <f>SUMPRODUCT(--(Scenarios!$C$3:$C$27=TRUE()),Scenarios!$AG$3:$AG$27,'09_Phase_Factors'!$AF$4:$AF$28)</f>
        <v/>
      </c>
      <c r="AE39" s="80">
        <f>SUMPRODUCT(--(Scenarios!$C$3:$C$27=TRUE()),Scenarios!$AG$3:$AG$27,'09_Phase_Factors'!$AG$4:$AG$28)</f>
        <v/>
      </c>
    </row>
  </sheetData>
  <mergeCells count="1">
    <mergeCell ref="A1:AF1"/>
  </mergeCells>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F4B6C2"/>
    <outlinePr summaryBelow="1" summaryRight="1"/>
    <pageSetUpPr/>
  </sheetPr>
  <dimension ref="A1:N60"/>
  <sheetViews>
    <sheetView zoomScaleNormal="100" workbookViewId="0">
      <selection activeCell="E2" sqref="E2"/>
    </sheetView>
  </sheetViews>
  <sheetFormatPr baseColWidth="8" defaultColWidth="8.6640625" defaultRowHeight="13.2"/>
  <cols>
    <col width="30" customWidth="1" style="106" min="1" max="1"/>
    <col width="22" customWidth="1" style="106" min="2" max="2"/>
    <col width="14" customWidth="1" style="106" min="3" max="6"/>
    <col width="15.88671875" customWidth="1" style="106" min="7" max="7"/>
    <col width="14" customWidth="1" style="106" min="8" max="10"/>
  </cols>
  <sheetData>
    <row r="1" ht="21.75" customHeight="1" s="106">
      <c r="A1" s="109" t="inlineStr">
        <is>
          <t>Capital Triggers — hybrid: endpoint headline + annual deltas (per spec #12)</t>
        </is>
      </c>
    </row>
    <row r="2" ht="14.25" customHeight="1" s="106">
      <c r="A2" t="inlineStr">
        <is>
          <t>Manual Qty Override in column E now flows into the annual capital schedule. If entered, it replaces the auto-triggered quantity for that item and is booked as a Year 1 capital step; leave blank for auto annual trigger logic.</t>
        </is>
      </c>
    </row>
    <row r="3" ht="15" customHeight="1" s="106">
      <c r="A3" s="77" t="inlineStr">
        <is>
          <t>Item</t>
        </is>
      </c>
      <c r="B3" s="77" t="inlineStr">
        <is>
          <t>Driver</t>
        </is>
      </c>
      <c r="C3" s="77" t="inlineStr">
        <is>
          <t>Threshold</t>
        </is>
      </c>
      <c r="D3" s="77" t="inlineStr">
        <is>
          <t>Unit Cost ($, today)</t>
        </is>
      </c>
      <c r="E3" s="77" t="inlineStr">
        <is>
          <t>Manual Qty Override</t>
        </is>
      </c>
      <c r="F3" s="77" t="inlineStr">
        <is>
          <t>Y30 Endpoint Metric</t>
        </is>
      </c>
      <c r="G3" s="77" t="inlineStr">
        <is>
          <t>Required Qty (INT)</t>
        </is>
      </c>
      <c r="H3" s="77" t="inlineStr">
        <is>
          <t>Total Cost ($, inflated)</t>
        </is>
      </c>
      <c r="I3" s="77" t="inlineStr">
        <is>
          <t>Side (City/ESD)</t>
        </is>
      </c>
      <c r="J3" s="77" t="inlineStr">
        <is>
          <t>Notes</t>
        </is>
      </c>
    </row>
    <row r="4" ht="27.75" customHeight="1" s="106">
      <c r="A4" s="74" t="inlineStr">
        <is>
          <t>Fire station</t>
        </is>
      </c>
      <c r="B4" s="74" t="inlineStr">
        <is>
          <t>Cumulative residents</t>
        </is>
      </c>
      <c r="C4" s="83" t="n">
        <v>3500</v>
      </c>
      <c r="D4" s="84" t="n">
        <v>5000000</v>
      </c>
      <c r="E4" s="85" t="n"/>
      <c r="F4" s="83">
        <f>MAX('04_Annual_Calculations'!B7:AE7)</f>
        <v/>
      </c>
      <c r="G4" s="83">
        <f>IF(ISNUMBER(E4),E4,INT(F4/C4))</f>
        <v/>
      </c>
      <c r="H4" s="84">
        <f>G4*D4</f>
        <v/>
      </c>
      <c r="I4" s="74" t="inlineStr">
        <is>
          <t>ESD</t>
        </is>
      </c>
      <c r="J4" s="86" t="inlineStr">
        <is>
          <t>Endpoint Y30 / threshold; per spec #12</t>
        </is>
      </c>
    </row>
    <row r="5" ht="15" customHeight="1" s="106">
      <c r="A5" s="74" t="inlineStr">
        <is>
          <t>Fire engine (pumper)</t>
        </is>
      </c>
      <c r="B5" s="74" t="inlineStr">
        <is>
          <t>Cumulative residents</t>
        </is>
      </c>
      <c r="C5" s="83" t="n">
        <v>7000</v>
      </c>
      <c r="D5" s="84" t="n">
        <v>1200000</v>
      </c>
      <c r="E5" s="85" t="n"/>
      <c r="F5" s="83">
        <f>MAX('04_Annual_Calculations'!B7:AE7)</f>
        <v/>
      </c>
      <c r="G5" s="83">
        <f>IF(ISNUMBER(E5),E5,INT(F5/C5))</f>
        <v/>
      </c>
      <c r="H5" s="84">
        <f>G5*D5</f>
        <v/>
      </c>
      <c r="I5" s="74" t="inlineStr">
        <is>
          <t>ESD</t>
        </is>
      </c>
      <c r="J5" s="86" t="inlineStr">
        <is>
          <t>Apparatus uplift</t>
        </is>
      </c>
    </row>
    <row r="6" ht="15" customHeight="1" s="106">
      <c r="A6" s="74" t="inlineStr">
        <is>
          <t>Ladder truck</t>
        </is>
      </c>
      <c r="B6" s="74" t="inlineStr">
        <is>
          <t>Cumulative residents</t>
        </is>
      </c>
      <c r="C6" s="83" t="n">
        <v>14000</v>
      </c>
      <c r="D6" s="84" t="n">
        <v>1500000</v>
      </c>
      <c r="E6" s="85" t="n"/>
      <c r="F6" s="83">
        <f>MAX('04_Annual_Calculations'!B7:AE7)</f>
        <v/>
      </c>
      <c r="G6" s="83">
        <f>IF(ISNUMBER(E6),E6,INT(F6/C6))</f>
        <v/>
      </c>
      <c r="H6" s="84">
        <f>G6*D6</f>
        <v/>
      </c>
      <c r="I6" s="74" t="inlineStr">
        <is>
          <t>ESD</t>
        </is>
      </c>
      <c r="J6" s="86" t="inlineStr">
        <is>
          <t>Mid/large facility</t>
        </is>
      </c>
    </row>
    <row r="7" ht="15" customHeight="1" s="106">
      <c r="A7" s="74" t="inlineStr">
        <is>
          <t>Brush truck</t>
        </is>
      </c>
      <c r="B7" s="74" t="inlineStr">
        <is>
          <t>Cumulative captured acres</t>
        </is>
      </c>
      <c r="C7" s="83" t="n">
        <v>1500</v>
      </c>
      <c r="D7" s="84" t="n">
        <v>400000</v>
      </c>
      <c r="E7" s="85" t="n"/>
      <c r="F7" s="83">
        <f>MAX('04_Annual_Calculations'!B5:AE5)</f>
        <v/>
      </c>
      <c r="G7" s="83">
        <f>IF(ISNUMBER(E7),E7,INT(F7/C7))</f>
        <v/>
      </c>
      <c r="H7" s="84">
        <f>G7*D7</f>
        <v/>
      </c>
      <c r="I7" s="74" t="inlineStr">
        <is>
          <t>ESD</t>
        </is>
      </c>
      <c r="J7" s="86" t="inlineStr">
        <is>
          <t>Per 1,500 ac added</t>
        </is>
      </c>
    </row>
    <row r="8" ht="15" customHeight="1" s="106">
      <c r="A8" s="74" t="inlineStr">
        <is>
          <t>Patrol officer (1 FTE)</t>
        </is>
      </c>
      <c r="B8" s="74" t="inlineStr">
        <is>
          <t>Cumulative residents</t>
        </is>
      </c>
      <c r="C8" s="83" t="n">
        <v>500</v>
      </c>
      <c r="D8" s="84" t="n">
        <v>120000</v>
      </c>
      <c r="E8" s="85" t="n"/>
      <c r="F8" s="83">
        <f>MAX('04_Annual_Calculations'!B7:AE7)</f>
        <v/>
      </c>
      <c r="G8" s="83">
        <f>IF(ISNUMBER(E8),E8,INT(F8/C8))</f>
        <v/>
      </c>
      <c r="H8" s="84">
        <f>G8*D8</f>
        <v/>
      </c>
      <c r="I8" s="74" t="inlineStr">
        <is>
          <t>City</t>
        </is>
      </c>
      <c r="J8" s="86" t="inlineStr">
        <is>
          <t>City patrol staffing</t>
        </is>
      </c>
    </row>
    <row r="9" ht="15" customHeight="1" s="106">
      <c r="A9" s="74" t="inlineStr">
        <is>
          <t>Patrol vehicle</t>
        </is>
      </c>
      <c r="B9" s="74" t="inlineStr">
        <is>
          <t>Cumulative residents</t>
        </is>
      </c>
      <c r="C9" s="83" t="n">
        <v>1000</v>
      </c>
      <c r="D9" s="84" t="n">
        <v>65000</v>
      </c>
      <c r="E9" s="85" t="n"/>
      <c r="F9" s="83">
        <f>MAX('04_Annual_Calculations'!B7:AE7)</f>
        <v/>
      </c>
      <c r="G9" s="83">
        <f>IF(ISNUMBER(E9),E9,INT(F9/C9))</f>
        <v/>
      </c>
      <c r="H9" s="84">
        <f>G9*D9</f>
        <v/>
      </c>
      <c r="I9" s="74" t="inlineStr">
        <is>
          <t>City</t>
        </is>
      </c>
      <c r="J9" s="86" t="inlineStr">
        <is>
          <t>Sedan + equip</t>
        </is>
      </c>
    </row>
    <row r="10" ht="18.75" customHeight="1" s="106">
      <c r="A10" s="74" t="inlineStr">
        <is>
          <t>Lane-mile improvement</t>
        </is>
      </c>
      <c r="B10" s="74" t="inlineStr">
        <is>
          <t>Cumulative captured acres</t>
        </is>
      </c>
      <c r="C10" s="83" t="n">
        <v>50</v>
      </c>
      <c r="D10" s="84" t="n">
        <v>750000</v>
      </c>
      <c r="E10" s="85" t="n"/>
      <c r="F10" s="83">
        <f>MAX('04_Annual_Calculations'!B5:AE5)</f>
        <v/>
      </c>
      <c r="G10" s="83">
        <f>IF(ISNUMBER(E10),E10,INT(F10/C10))</f>
        <v/>
      </c>
      <c r="H10" s="84">
        <f>G10*D10</f>
        <v/>
      </c>
      <c r="I10" s="74" t="inlineStr">
        <is>
          <t>City</t>
        </is>
      </c>
      <c r="J10" s="86" t="inlineStr">
        <is>
          <t>Arterial widening / repair</t>
        </is>
      </c>
    </row>
    <row r="11" ht="18.75" customHeight="1" s="106">
      <c r="A11" s="74" t="inlineStr">
        <is>
          <t>Water/sewer extension</t>
        </is>
      </c>
      <c r="B11" s="74" t="inlineStr">
        <is>
          <t>Cumulative captured acres</t>
        </is>
      </c>
      <c r="C11" s="83" t="n">
        <v>200</v>
      </c>
      <c r="D11" s="84" t="n">
        <v>2500000</v>
      </c>
      <c r="E11" s="85" t="n"/>
      <c r="F11" s="83">
        <f>MAX('04_Annual_Calculations'!B5:AE5)</f>
        <v/>
      </c>
      <c r="G11" s="83">
        <f>IF(ISNUMBER(E11),E11,INT(F11/C11))</f>
        <v/>
      </c>
      <c r="H11" s="84">
        <f>G11*D11</f>
        <v/>
      </c>
      <c r="I11" s="74" t="inlineStr">
        <is>
          <t>City</t>
        </is>
      </c>
      <c r="J11" s="86" t="inlineStr">
        <is>
          <t>Per 200 ac developed</t>
        </is>
      </c>
    </row>
    <row r="12" ht="18.75" customHeight="1" s="106">
      <c r="A12" s="74" t="inlineStr">
        <is>
          <t>Park development</t>
        </is>
      </c>
      <c r="B12" s="74" t="inlineStr">
        <is>
          <t>Cumulative residents</t>
        </is>
      </c>
      <c r="C12" s="83" t="n">
        <v>1500</v>
      </c>
      <c r="D12" s="84" t="n">
        <v>600000</v>
      </c>
      <c r="E12" s="85" t="n"/>
      <c r="F12" s="83">
        <f>MAX('04_Annual_Calculations'!B7:AE7)</f>
        <v/>
      </c>
      <c r="G12" s="83">
        <f>IF(ISNUMBER(E12),E12,INT(F12/C12))</f>
        <v/>
      </c>
      <c r="H12" s="84">
        <f>G12*D12</f>
        <v/>
      </c>
      <c r="I12" s="74" t="inlineStr">
        <is>
          <t>City</t>
        </is>
      </c>
      <c r="J12" s="86" t="inlineStr">
        <is>
          <t>Per 1,500 residents (NRPA local target)</t>
        </is>
      </c>
    </row>
    <row r="13" ht="15" customHeight="1" s="106">
      <c r="A13" s="74" t="inlineStr">
        <is>
          <t>Public works equipment</t>
        </is>
      </c>
      <c r="B13" s="74" t="inlineStr">
        <is>
          <t>Cumulative captured acres</t>
        </is>
      </c>
      <c r="C13" s="83" t="n">
        <v>500</v>
      </c>
      <c r="D13" s="84" t="n">
        <v>150000</v>
      </c>
      <c r="E13" s="85" t="n"/>
      <c r="F13" s="83">
        <f>MAX('04_Annual_Calculations'!B5:AE5)</f>
        <v/>
      </c>
      <c r="G13" s="83">
        <f>IF(ISNUMBER(E13),E13,INT(F13/C13))</f>
        <v/>
      </c>
      <c r="H13" s="84">
        <f>G13*D13</f>
        <v/>
      </c>
      <c r="I13" s="74" t="inlineStr">
        <is>
          <t>City</t>
        </is>
      </c>
      <c r="J13" s="86" t="inlineStr">
        <is>
          <t>Per 500 ac</t>
        </is>
      </c>
    </row>
    <row r="15" ht="15" customHeight="1" s="106">
      <c r="A15" s="46" t="inlineStr">
        <is>
          <t>Total City capital (Y30 endpoint headline)</t>
        </is>
      </c>
      <c r="H15" s="14">
        <f>SUMIF(I4:I13,"City",H4:H13)</f>
        <v/>
      </c>
    </row>
    <row r="16" ht="15" customHeight="1" s="106">
      <c r="A16" s="46" t="inlineStr">
        <is>
          <t>Total ESD capital (Y30 endpoint headline)</t>
        </is>
      </c>
      <c r="H16" s="14">
        <f>SUMIF(I4:I13,"ESD",H4:H13)</f>
        <v/>
      </c>
    </row>
    <row r="18" ht="14.25" customHeight="1" s="106">
      <c r="A18" t="inlineStr">
        <is>
          <t>Manual Qty Override note: entering a number in E4:E13 replaces the auto trigger for that item and books that quantity as a Year 1 capital step, which flows through Annual Calculations and Multi-Horizon Results.</t>
        </is>
      </c>
    </row>
    <row r="30" ht="15" customHeight="1" s="106">
      <c r="A30" s="87" t="inlineStr">
        <is>
          <t>ANNUAL CAPITAL TRIGGER DETAIL (Y1..Y30)</t>
        </is>
      </c>
      <c r="B30" s="46" t="inlineStr">
        <is>
          <t>City Capital ($)</t>
        </is>
      </c>
      <c r="C30" s="46" t="inlineStr">
        <is>
          <t>ESD Capital ($)</t>
        </is>
      </c>
      <c r="D30" s="61" t="inlineStr">
        <is>
          <t>(detail per-item to right)</t>
        </is>
      </c>
      <c r="E30" s="61" t="inlineStr">
        <is>
          <t>Fire station</t>
        </is>
      </c>
      <c r="F30" s="61" t="inlineStr">
        <is>
          <t>Fire engine (pumper)</t>
        </is>
      </c>
      <c r="G30" s="61" t="inlineStr">
        <is>
          <t>Ladder truck</t>
        </is>
      </c>
      <c r="H30" s="61" t="inlineStr">
        <is>
          <t>Brush truck</t>
        </is>
      </c>
      <c r="I30" s="61" t="inlineStr">
        <is>
          <t>Patrol officer (1 FTE)</t>
        </is>
      </c>
      <c r="J30" s="61" t="inlineStr">
        <is>
          <t>Patrol vehicle</t>
        </is>
      </c>
      <c r="K30" s="61" t="inlineStr">
        <is>
          <t>Lane-mile improvement</t>
        </is>
      </c>
      <c r="L30" s="61" t="inlineStr">
        <is>
          <t>Water/sewer extension</t>
        </is>
      </c>
      <c r="M30" s="61" t="inlineStr">
        <is>
          <t>Park development</t>
        </is>
      </c>
      <c r="N30" s="61" t="inlineStr">
        <is>
          <t>Public works equipment</t>
        </is>
      </c>
    </row>
    <row r="31" ht="15" customHeight="1" s="106">
      <c r="A31" s="23" t="inlineStr">
        <is>
          <t>Y1</t>
        </is>
      </c>
      <c r="B31" s="14">
        <f>(I31*$D$8+J31*$D$9+K31*$D$10+L31*$D$11+M31*$D$12+N31*$D$13)*((1+'00_Inputs_Dashboard'!$B$24)^(1-1))</f>
        <v/>
      </c>
      <c r="C31" s="14">
        <f>(E31*$D$4+F31*$D$5+G31*$D$6+H31*$D$7)*((1+'00_Inputs_Dashboard'!$B$24)^(1-1))</f>
        <v/>
      </c>
      <c r="E31" s="88">
        <f>IF(ISNUMBER($E$4),$E$4,INT('04_Annual_Calculations'!B$7/$C$4))</f>
        <v/>
      </c>
      <c r="F31" s="88">
        <f>IF(ISNUMBER($E$5),$E$5,INT('04_Annual_Calculations'!B$7/$C$5))</f>
        <v/>
      </c>
      <c r="G31" s="88">
        <f>IF(ISNUMBER($E$6),$E$6,INT('04_Annual_Calculations'!B$7/$C$6))</f>
        <v/>
      </c>
      <c r="H31" s="88">
        <f>IF(ISNUMBER($E$7),$E$7,INT('04_Annual_Calculations'!B$5/$C$7))</f>
        <v/>
      </c>
      <c r="I31" s="88">
        <f>IF(ISNUMBER($E$8),$E$8,INT('04_Annual_Calculations'!B$7/$C$8))</f>
        <v/>
      </c>
      <c r="J31" s="88">
        <f>IF(ISNUMBER($E$9),$E$9,INT('04_Annual_Calculations'!B$7/$C$9))</f>
        <v/>
      </c>
      <c r="K31" s="88">
        <f>IF(ISNUMBER($E$10),$E$10,INT('04_Annual_Calculations'!B$5/$C$10))</f>
        <v/>
      </c>
      <c r="L31" s="88">
        <f>IF(ISNUMBER($E$11),$E$11,INT('04_Annual_Calculations'!B$5/$C$11))</f>
        <v/>
      </c>
      <c r="M31" s="88">
        <f>IF(ISNUMBER($E$12),$E$12,INT('04_Annual_Calculations'!B$7/$C$12))</f>
        <v/>
      </c>
      <c r="N31" s="88">
        <f>IF(ISNUMBER($E$13),$E$13,INT('04_Annual_Calculations'!B$5/$C$13))</f>
        <v/>
      </c>
    </row>
    <row r="32" ht="15" customHeight="1" s="106">
      <c r="A32" s="23" t="inlineStr">
        <is>
          <t>Y2</t>
        </is>
      </c>
      <c r="B32" s="14">
        <f>(I32*$D$8+J32*$D$9+K32*$D$10+L32*$D$11+M32*$D$12+N32*$D$13)*((1+'00_Inputs_Dashboard'!$B$24)^(2-1))</f>
        <v/>
      </c>
      <c r="C32" s="14">
        <f>(E32*$D$4+F32*$D$5+G32*$D$6+H32*$D$7)*((1+'00_Inputs_Dashboard'!$B$24)^(2-1))</f>
        <v/>
      </c>
      <c r="E32" s="88">
        <f>IF(ISNUMBER($E$4),0,MAX(0,INT('04_Annual_Calculations'!C$7/$C$4)-INT('04_Annual_Calculations'!B$7/$C$4)))</f>
        <v/>
      </c>
      <c r="F32" s="88">
        <f>IF(ISNUMBER($E$5),0,MAX(0,INT('04_Annual_Calculations'!C$7/$C$5)-INT('04_Annual_Calculations'!B$7/$C$5)))</f>
        <v/>
      </c>
      <c r="G32" s="88">
        <f>IF(ISNUMBER($E$6),0,MAX(0,INT('04_Annual_Calculations'!C$7/$C$6)-INT('04_Annual_Calculations'!B$7/$C$6)))</f>
        <v/>
      </c>
      <c r="H32" s="88">
        <f>IF(ISNUMBER($E$7),0,MAX(0,INT('04_Annual_Calculations'!C$5/$C$7)-INT('04_Annual_Calculations'!B$5/$C$7)))</f>
        <v/>
      </c>
      <c r="I32" s="88">
        <f>IF(ISNUMBER($E$8),0,MAX(0,INT('04_Annual_Calculations'!C$7/$C$8)-INT('04_Annual_Calculations'!B$7/$C$8)))</f>
        <v/>
      </c>
      <c r="J32" s="88">
        <f>IF(ISNUMBER($E$9),0,MAX(0,INT('04_Annual_Calculations'!C$7/$C$9)-INT('04_Annual_Calculations'!B$7/$C$9)))</f>
        <v/>
      </c>
      <c r="K32" s="88">
        <f>IF(ISNUMBER($E$10),0,MAX(0,INT('04_Annual_Calculations'!C$5/$C$10)-INT('04_Annual_Calculations'!B$5/$C$10)))</f>
        <v/>
      </c>
      <c r="L32" s="88">
        <f>IF(ISNUMBER($E$11),0,MAX(0,INT('04_Annual_Calculations'!C$5/$C$11)-INT('04_Annual_Calculations'!B$5/$C$11)))</f>
        <v/>
      </c>
      <c r="M32" s="88">
        <f>IF(ISNUMBER($E$12),0,MAX(0,INT('04_Annual_Calculations'!C$7/$C$12)-INT('04_Annual_Calculations'!B$7/$C$12)))</f>
        <v/>
      </c>
      <c r="N32" s="88">
        <f>IF(ISNUMBER($E$13),0,MAX(0,INT('04_Annual_Calculations'!C$5/$C$13)-INT('04_Annual_Calculations'!B$5/$C$13)))</f>
        <v/>
      </c>
    </row>
    <row r="33" ht="15" customHeight="1" s="106">
      <c r="A33" s="23" t="inlineStr">
        <is>
          <t>Y3</t>
        </is>
      </c>
      <c r="B33" s="14">
        <f>(I33*$D$8+J33*$D$9+K33*$D$10+L33*$D$11+M33*$D$12+N33*$D$13)*((1+'00_Inputs_Dashboard'!$B$24)^(3-1))</f>
        <v/>
      </c>
      <c r="C33" s="14">
        <f>(E33*$D$4+F33*$D$5+G33*$D$6+H33*$D$7)*((1+'00_Inputs_Dashboard'!$B$24)^(3-1))</f>
        <v/>
      </c>
      <c r="E33" s="88">
        <f>IF(ISNUMBER($E$4),0,MAX(0,INT('04_Annual_Calculations'!D$7/$C$4)-INT('04_Annual_Calculations'!C$7/$C$4)))</f>
        <v/>
      </c>
      <c r="F33" s="88">
        <f>IF(ISNUMBER($E$5),0,MAX(0,INT('04_Annual_Calculations'!D$7/$C$5)-INT('04_Annual_Calculations'!C$7/$C$5)))</f>
        <v/>
      </c>
      <c r="G33" s="88">
        <f>IF(ISNUMBER($E$6),0,MAX(0,INT('04_Annual_Calculations'!D$7/$C$6)-INT('04_Annual_Calculations'!C$7/$C$6)))</f>
        <v/>
      </c>
      <c r="H33" s="88">
        <f>IF(ISNUMBER($E$7),0,MAX(0,INT('04_Annual_Calculations'!D$5/$C$7)-INT('04_Annual_Calculations'!C$5/$C$7)))</f>
        <v/>
      </c>
      <c r="I33" s="88">
        <f>IF(ISNUMBER($E$8),0,MAX(0,INT('04_Annual_Calculations'!D$7/$C$8)-INT('04_Annual_Calculations'!C$7/$C$8)))</f>
        <v/>
      </c>
      <c r="J33" s="88">
        <f>IF(ISNUMBER($E$9),0,MAX(0,INT('04_Annual_Calculations'!D$7/$C$9)-INT('04_Annual_Calculations'!C$7/$C$9)))</f>
        <v/>
      </c>
      <c r="K33" s="88">
        <f>IF(ISNUMBER($E$10),0,MAX(0,INT('04_Annual_Calculations'!D$5/$C$10)-INT('04_Annual_Calculations'!C$5/$C$10)))</f>
        <v/>
      </c>
      <c r="L33" s="88">
        <f>IF(ISNUMBER($E$11),0,MAX(0,INT('04_Annual_Calculations'!D$5/$C$11)-INT('04_Annual_Calculations'!C$5/$C$11)))</f>
        <v/>
      </c>
      <c r="M33" s="88">
        <f>IF(ISNUMBER($E$12),0,MAX(0,INT('04_Annual_Calculations'!D$7/$C$12)-INT('04_Annual_Calculations'!C$7/$C$12)))</f>
        <v/>
      </c>
      <c r="N33" s="88">
        <f>IF(ISNUMBER($E$13),0,MAX(0,INT('04_Annual_Calculations'!D$5/$C$13)-INT('04_Annual_Calculations'!C$5/$C$13)))</f>
        <v/>
      </c>
    </row>
    <row r="34" ht="15" customHeight="1" s="106">
      <c r="A34" s="23" t="inlineStr">
        <is>
          <t>Y4</t>
        </is>
      </c>
      <c r="B34" s="14">
        <f>(I34*$D$8+J34*$D$9+K34*$D$10+L34*$D$11+M34*$D$12+N34*$D$13)*((1+'00_Inputs_Dashboard'!$B$24)^(4-1))</f>
        <v/>
      </c>
      <c r="C34" s="14">
        <f>(E34*$D$4+F34*$D$5+G34*$D$6+H34*$D$7)*((1+'00_Inputs_Dashboard'!$B$24)^(4-1))</f>
        <v/>
      </c>
      <c r="E34" s="88">
        <f>IF(ISNUMBER($E$4),0,MAX(0,INT('04_Annual_Calculations'!E$7/$C$4)-INT('04_Annual_Calculations'!D$7/$C$4)))</f>
        <v/>
      </c>
      <c r="F34" s="88">
        <f>IF(ISNUMBER($E$5),0,MAX(0,INT('04_Annual_Calculations'!E$7/$C$5)-INT('04_Annual_Calculations'!D$7/$C$5)))</f>
        <v/>
      </c>
      <c r="G34" s="88">
        <f>IF(ISNUMBER($E$6),0,MAX(0,INT('04_Annual_Calculations'!E$7/$C$6)-INT('04_Annual_Calculations'!D$7/$C$6)))</f>
        <v/>
      </c>
      <c r="H34" s="88">
        <f>IF(ISNUMBER($E$7),0,MAX(0,INT('04_Annual_Calculations'!E$5/$C$7)-INT('04_Annual_Calculations'!D$5/$C$7)))</f>
        <v/>
      </c>
      <c r="I34" s="88">
        <f>IF(ISNUMBER($E$8),0,MAX(0,INT('04_Annual_Calculations'!E$7/$C$8)-INT('04_Annual_Calculations'!D$7/$C$8)))</f>
        <v/>
      </c>
      <c r="J34" s="88">
        <f>IF(ISNUMBER($E$9),0,MAX(0,INT('04_Annual_Calculations'!E$7/$C$9)-INT('04_Annual_Calculations'!D$7/$C$9)))</f>
        <v/>
      </c>
      <c r="K34" s="88">
        <f>IF(ISNUMBER($E$10),0,MAX(0,INT('04_Annual_Calculations'!E$5/$C$10)-INT('04_Annual_Calculations'!D$5/$C$10)))</f>
        <v/>
      </c>
      <c r="L34" s="88">
        <f>IF(ISNUMBER($E$11),0,MAX(0,INT('04_Annual_Calculations'!E$5/$C$11)-INT('04_Annual_Calculations'!D$5/$C$11)))</f>
        <v/>
      </c>
      <c r="M34" s="88">
        <f>IF(ISNUMBER($E$12),0,MAX(0,INT('04_Annual_Calculations'!E$7/$C$12)-INT('04_Annual_Calculations'!D$7/$C$12)))</f>
        <v/>
      </c>
      <c r="N34" s="88">
        <f>IF(ISNUMBER($E$13),0,MAX(0,INT('04_Annual_Calculations'!E$5/$C$13)-INT('04_Annual_Calculations'!D$5/$C$13)))</f>
        <v/>
      </c>
    </row>
    <row r="35" ht="15" customHeight="1" s="106">
      <c r="A35" s="23" t="inlineStr">
        <is>
          <t>Y5</t>
        </is>
      </c>
      <c r="B35" s="14">
        <f>(I35*$D$8+J35*$D$9+K35*$D$10+L35*$D$11+M35*$D$12+N35*$D$13)*((1+'00_Inputs_Dashboard'!$B$24)^(5-1))</f>
        <v/>
      </c>
      <c r="C35" s="14">
        <f>(E35*$D$4+F35*$D$5+G35*$D$6+H35*$D$7)*((1+'00_Inputs_Dashboard'!$B$24)^(5-1))</f>
        <v/>
      </c>
      <c r="E35" s="88">
        <f>IF(ISNUMBER($E$4),0,MAX(0,INT('04_Annual_Calculations'!F$7/$C$4)-INT('04_Annual_Calculations'!E$7/$C$4)))</f>
        <v/>
      </c>
      <c r="F35" s="88">
        <f>IF(ISNUMBER($E$5),0,MAX(0,INT('04_Annual_Calculations'!F$7/$C$5)-INT('04_Annual_Calculations'!E$7/$C$5)))</f>
        <v/>
      </c>
      <c r="G35" s="88">
        <f>IF(ISNUMBER($E$6),0,MAX(0,INT('04_Annual_Calculations'!F$7/$C$6)-INT('04_Annual_Calculations'!E$7/$C$6)))</f>
        <v/>
      </c>
      <c r="H35" s="88">
        <f>IF(ISNUMBER($E$7),0,MAX(0,INT('04_Annual_Calculations'!F$5/$C$7)-INT('04_Annual_Calculations'!E$5/$C$7)))</f>
        <v/>
      </c>
      <c r="I35" s="88">
        <f>IF(ISNUMBER($E$8),0,MAX(0,INT('04_Annual_Calculations'!F$7/$C$8)-INT('04_Annual_Calculations'!E$7/$C$8)))</f>
        <v/>
      </c>
      <c r="J35" s="88">
        <f>IF(ISNUMBER($E$9),0,MAX(0,INT('04_Annual_Calculations'!F$7/$C$9)-INT('04_Annual_Calculations'!E$7/$C$9)))</f>
        <v/>
      </c>
      <c r="K35" s="88">
        <f>IF(ISNUMBER($E$10),0,MAX(0,INT('04_Annual_Calculations'!F$5/$C$10)-INT('04_Annual_Calculations'!E$5/$C$10)))</f>
        <v/>
      </c>
      <c r="L35" s="88">
        <f>IF(ISNUMBER($E$11),0,MAX(0,INT('04_Annual_Calculations'!F$5/$C$11)-INT('04_Annual_Calculations'!E$5/$C$11)))</f>
        <v/>
      </c>
      <c r="M35" s="88">
        <f>IF(ISNUMBER($E$12),0,MAX(0,INT('04_Annual_Calculations'!F$7/$C$12)-INT('04_Annual_Calculations'!E$7/$C$12)))</f>
        <v/>
      </c>
      <c r="N35" s="88">
        <f>IF(ISNUMBER($E$13),0,MAX(0,INT('04_Annual_Calculations'!F$5/$C$13)-INT('04_Annual_Calculations'!E$5/$C$13)))</f>
        <v/>
      </c>
    </row>
    <row r="36" ht="15" customHeight="1" s="106">
      <c r="A36" s="23" t="inlineStr">
        <is>
          <t>Y6</t>
        </is>
      </c>
      <c r="B36" s="14">
        <f>(I36*$D$8+J36*$D$9+K36*$D$10+L36*$D$11+M36*$D$12+N36*$D$13)*((1+'00_Inputs_Dashboard'!$B$24)^(6-1))</f>
        <v/>
      </c>
      <c r="C36" s="14">
        <f>(E36*$D$4+F36*$D$5+G36*$D$6+H36*$D$7)*((1+'00_Inputs_Dashboard'!$B$24)^(6-1))</f>
        <v/>
      </c>
      <c r="E36" s="88">
        <f>IF(ISNUMBER($E$4),0,MAX(0,INT('04_Annual_Calculations'!G$7/$C$4)-INT('04_Annual_Calculations'!F$7/$C$4)))</f>
        <v/>
      </c>
      <c r="F36" s="88">
        <f>IF(ISNUMBER($E$5),0,MAX(0,INT('04_Annual_Calculations'!G$7/$C$5)-INT('04_Annual_Calculations'!F$7/$C$5)))</f>
        <v/>
      </c>
      <c r="G36" s="88">
        <f>IF(ISNUMBER($E$6),0,MAX(0,INT('04_Annual_Calculations'!G$7/$C$6)-INT('04_Annual_Calculations'!F$7/$C$6)))</f>
        <v/>
      </c>
      <c r="H36" s="88">
        <f>IF(ISNUMBER($E$7),0,MAX(0,INT('04_Annual_Calculations'!G$5/$C$7)-INT('04_Annual_Calculations'!F$5/$C$7)))</f>
        <v/>
      </c>
      <c r="I36" s="88">
        <f>IF(ISNUMBER($E$8),0,MAX(0,INT('04_Annual_Calculations'!G$7/$C$8)-INT('04_Annual_Calculations'!F$7/$C$8)))</f>
        <v/>
      </c>
      <c r="J36" s="88">
        <f>IF(ISNUMBER($E$9),0,MAX(0,INT('04_Annual_Calculations'!G$7/$C$9)-INT('04_Annual_Calculations'!F$7/$C$9)))</f>
        <v/>
      </c>
      <c r="K36" s="88">
        <f>IF(ISNUMBER($E$10),0,MAX(0,INT('04_Annual_Calculations'!G$5/$C$10)-INT('04_Annual_Calculations'!F$5/$C$10)))</f>
        <v/>
      </c>
      <c r="L36" s="88">
        <f>IF(ISNUMBER($E$11),0,MAX(0,INT('04_Annual_Calculations'!G$5/$C$11)-INT('04_Annual_Calculations'!F$5/$C$11)))</f>
        <v/>
      </c>
      <c r="M36" s="88">
        <f>IF(ISNUMBER($E$12),0,MAX(0,INT('04_Annual_Calculations'!G$7/$C$12)-INT('04_Annual_Calculations'!F$7/$C$12)))</f>
        <v/>
      </c>
      <c r="N36" s="88">
        <f>IF(ISNUMBER($E$13),0,MAX(0,INT('04_Annual_Calculations'!G$5/$C$13)-INT('04_Annual_Calculations'!F$5/$C$13)))</f>
        <v/>
      </c>
    </row>
    <row r="37" ht="15" customHeight="1" s="106">
      <c r="A37" s="23" t="inlineStr">
        <is>
          <t>Y7</t>
        </is>
      </c>
      <c r="B37" s="14">
        <f>(I37*$D$8+J37*$D$9+K37*$D$10+L37*$D$11+M37*$D$12+N37*$D$13)*((1+'00_Inputs_Dashboard'!$B$24)^(7-1))</f>
        <v/>
      </c>
      <c r="C37" s="14">
        <f>(E37*$D$4+F37*$D$5+G37*$D$6+H37*$D$7)*((1+'00_Inputs_Dashboard'!$B$24)^(7-1))</f>
        <v/>
      </c>
      <c r="E37" s="88">
        <f>IF(ISNUMBER($E$4),0,MAX(0,INT('04_Annual_Calculations'!H$7/$C$4)-INT('04_Annual_Calculations'!G$7/$C$4)))</f>
        <v/>
      </c>
      <c r="F37" s="88">
        <f>IF(ISNUMBER($E$5),0,MAX(0,INT('04_Annual_Calculations'!H$7/$C$5)-INT('04_Annual_Calculations'!G$7/$C$5)))</f>
        <v/>
      </c>
      <c r="G37" s="88">
        <f>IF(ISNUMBER($E$6),0,MAX(0,INT('04_Annual_Calculations'!H$7/$C$6)-INT('04_Annual_Calculations'!G$7/$C$6)))</f>
        <v/>
      </c>
      <c r="H37" s="88">
        <f>IF(ISNUMBER($E$7),0,MAX(0,INT('04_Annual_Calculations'!H$5/$C$7)-INT('04_Annual_Calculations'!G$5/$C$7)))</f>
        <v/>
      </c>
      <c r="I37" s="88">
        <f>IF(ISNUMBER($E$8),0,MAX(0,INT('04_Annual_Calculations'!H$7/$C$8)-INT('04_Annual_Calculations'!G$7/$C$8)))</f>
        <v/>
      </c>
      <c r="J37" s="88">
        <f>IF(ISNUMBER($E$9),0,MAX(0,INT('04_Annual_Calculations'!H$7/$C$9)-INT('04_Annual_Calculations'!G$7/$C$9)))</f>
        <v/>
      </c>
      <c r="K37" s="88">
        <f>IF(ISNUMBER($E$10),0,MAX(0,INT('04_Annual_Calculations'!H$5/$C$10)-INT('04_Annual_Calculations'!G$5/$C$10)))</f>
        <v/>
      </c>
      <c r="L37" s="88">
        <f>IF(ISNUMBER($E$11),0,MAX(0,INT('04_Annual_Calculations'!H$5/$C$11)-INT('04_Annual_Calculations'!G$5/$C$11)))</f>
        <v/>
      </c>
      <c r="M37" s="88">
        <f>IF(ISNUMBER($E$12),0,MAX(0,INT('04_Annual_Calculations'!H$7/$C$12)-INT('04_Annual_Calculations'!G$7/$C$12)))</f>
        <v/>
      </c>
      <c r="N37" s="88">
        <f>IF(ISNUMBER($E$13),0,MAX(0,INT('04_Annual_Calculations'!H$5/$C$13)-INT('04_Annual_Calculations'!G$5/$C$13)))</f>
        <v/>
      </c>
    </row>
    <row r="38" ht="15" customHeight="1" s="106">
      <c r="A38" s="23" t="inlineStr">
        <is>
          <t>Y8</t>
        </is>
      </c>
      <c r="B38" s="14">
        <f>(I38*$D$8+J38*$D$9+K38*$D$10+L38*$D$11+M38*$D$12+N38*$D$13)*((1+'00_Inputs_Dashboard'!$B$24)^(8-1))</f>
        <v/>
      </c>
      <c r="C38" s="14">
        <f>(E38*$D$4+F38*$D$5+G38*$D$6+H38*$D$7)*((1+'00_Inputs_Dashboard'!$B$24)^(8-1))</f>
        <v/>
      </c>
      <c r="E38" s="88">
        <f>IF(ISNUMBER($E$4),0,MAX(0,INT('04_Annual_Calculations'!I$7/$C$4)-INT('04_Annual_Calculations'!H$7/$C$4)))</f>
        <v/>
      </c>
      <c r="F38" s="88">
        <f>IF(ISNUMBER($E$5),0,MAX(0,INT('04_Annual_Calculations'!I$7/$C$5)-INT('04_Annual_Calculations'!H$7/$C$5)))</f>
        <v/>
      </c>
      <c r="G38" s="88">
        <f>IF(ISNUMBER($E$6),0,MAX(0,INT('04_Annual_Calculations'!I$7/$C$6)-INT('04_Annual_Calculations'!H$7/$C$6)))</f>
        <v/>
      </c>
      <c r="H38" s="88">
        <f>IF(ISNUMBER($E$7),0,MAX(0,INT('04_Annual_Calculations'!I$5/$C$7)-INT('04_Annual_Calculations'!H$5/$C$7)))</f>
        <v/>
      </c>
      <c r="I38" s="88">
        <f>IF(ISNUMBER($E$8),0,MAX(0,INT('04_Annual_Calculations'!I$7/$C$8)-INT('04_Annual_Calculations'!H$7/$C$8)))</f>
        <v/>
      </c>
      <c r="J38" s="88">
        <f>IF(ISNUMBER($E$9),0,MAX(0,INT('04_Annual_Calculations'!I$7/$C$9)-INT('04_Annual_Calculations'!H$7/$C$9)))</f>
        <v/>
      </c>
      <c r="K38" s="88">
        <f>IF(ISNUMBER($E$10),0,MAX(0,INT('04_Annual_Calculations'!I$5/$C$10)-INT('04_Annual_Calculations'!H$5/$C$10)))</f>
        <v/>
      </c>
      <c r="L38" s="88">
        <f>IF(ISNUMBER($E$11),0,MAX(0,INT('04_Annual_Calculations'!I$5/$C$11)-INT('04_Annual_Calculations'!H$5/$C$11)))</f>
        <v/>
      </c>
      <c r="M38" s="88">
        <f>IF(ISNUMBER($E$12),0,MAX(0,INT('04_Annual_Calculations'!I$7/$C$12)-INT('04_Annual_Calculations'!H$7/$C$12)))</f>
        <v/>
      </c>
      <c r="N38" s="88">
        <f>IF(ISNUMBER($E$13),0,MAX(0,INT('04_Annual_Calculations'!I$5/$C$13)-INT('04_Annual_Calculations'!H$5/$C$13)))</f>
        <v/>
      </c>
    </row>
    <row r="39" ht="15" customHeight="1" s="106">
      <c r="A39" s="23" t="inlineStr">
        <is>
          <t>Y9</t>
        </is>
      </c>
      <c r="B39" s="14">
        <f>(I39*$D$8+J39*$D$9+K39*$D$10+L39*$D$11+M39*$D$12+N39*$D$13)*((1+'00_Inputs_Dashboard'!$B$24)^(9-1))</f>
        <v/>
      </c>
      <c r="C39" s="14">
        <f>(E39*$D$4+F39*$D$5+G39*$D$6+H39*$D$7)*((1+'00_Inputs_Dashboard'!$B$24)^(9-1))</f>
        <v/>
      </c>
      <c r="E39" s="88">
        <f>IF(ISNUMBER($E$4),0,MAX(0,INT('04_Annual_Calculations'!J$7/$C$4)-INT('04_Annual_Calculations'!I$7/$C$4)))</f>
        <v/>
      </c>
      <c r="F39" s="88">
        <f>IF(ISNUMBER($E$5),0,MAX(0,INT('04_Annual_Calculations'!J$7/$C$5)-INT('04_Annual_Calculations'!I$7/$C$5)))</f>
        <v/>
      </c>
      <c r="G39" s="88">
        <f>IF(ISNUMBER($E$6),0,MAX(0,INT('04_Annual_Calculations'!J$7/$C$6)-INT('04_Annual_Calculations'!I$7/$C$6)))</f>
        <v/>
      </c>
      <c r="H39" s="88">
        <f>IF(ISNUMBER($E$7),0,MAX(0,INT('04_Annual_Calculations'!J$5/$C$7)-INT('04_Annual_Calculations'!I$5/$C$7)))</f>
        <v/>
      </c>
      <c r="I39" s="88">
        <f>IF(ISNUMBER($E$8),0,MAX(0,INT('04_Annual_Calculations'!J$7/$C$8)-INT('04_Annual_Calculations'!I$7/$C$8)))</f>
        <v/>
      </c>
      <c r="J39" s="88">
        <f>IF(ISNUMBER($E$9),0,MAX(0,INT('04_Annual_Calculations'!J$7/$C$9)-INT('04_Annual_Calculations'!I$7/$C$9)))</f>
        <v/>
      </c>
      <c r="K39" s="88">
        <f>IF(ISNUMBER($E$10),0,MAX(0,INT('04_Annual_Calculations'!J$5/$C$10)-INT('04_Annual_Calculations'!I$5/$C$10)))</f>
        <v/>
      </c>
      <c r="L39" s="88">
        <f>IF(ISNUMBER($E$11),0,MAX(0,INT('04_Annual_Calculations'!J$5/$C$11)-INT('04_Annual_Calculations'!I$5/$C$11)))</f>
        <v/>
      </c>
      <c r="M39" s="88">
        <f>IF(ISNUMBER($E$12),0,MAX(0,INT('04_Annual_Calculations'!J$7/$C$12)-INT('04_Annual_Calculations'!I$7/$C$12)))</f>
        <v/>
      </c>
      <c r="N39" s="88">
        <f>IF(ISNUMBER($E$13),0,MAX(0,INT('04_Annual_Calculations'!J$5/$C$13)-INT('04_Annual_Calculations'!I$5/$C$13)))</f>
        <v/>
      </c>
    </row>
    <row r="40" ht="15" customHeight="1" s="106">
      <c r="A40" s="23" t="inlineStr">
        <is>
          <t>Y10</t>
        </is>
      </c>
      <c r="B40" s="14">
        <f>(I40*$D$8+J40*$D$9+K40*$D$10+L40*$D$11+M40*$D$12+N40*$D$13)*((1+'00_Inputs_Dashboard'!$B$24)^(10-1))</f>
        <v/>
      </c>
      <c r="C40" s="14">
        <f>(E40*$D$4+F40*$D$5+G40*$D$6+H40*$D$7)*((1+'00_Inputs_Dashboard'!$B$24)^(10-1))</f>
        <v/>
      </c>
      <c r="E40" s="88">
        <f>IF(ISNUMBER($E$4),0,MAX(0,INT('04_Annual_Calculations'!K$7/$C$4)-INT('04_Annual_Calculations'!J$7/$C$4)))</f>
        <v/>
      </c>
      <c r="F40" s="88">
        <f>IF(ISNUMBER($E$5),0,MAX(0,INT('04_Annual_Calculations'!K$7/$C$5)-INT('04_Annual_Calculations'!J$7/$C$5)))</f>
        <v/>
      </c>
      <c r="G40" s="88">
        <f>IF(ISNUMBER($E$6),0,MAX(0,INT('04_Annual_Calculations'!K$7/$C$6)-INT('04_Annual_Calculations'!J$7/$C$6)))</f>
        <v/>
      </c>
      <c r="H40" s="88">
        <f>IF(ISNUMBER($E$7),0,MAX(0,INT('04_Annual_Calculations'!K$5/$C$7)-INT('04_Annual_Calculations'!J$5/$C$7)))</f>
        <v/>
      </c>
      <c r="I40" s="88">
        <f>IF(ISNUMBER($E$8),0,MAX(0,INT('04_Annual_Calculations'!K$7/$C$8)-INT('04_Annual_Calculations'!J$7/$C$8)))</f>
        <v/>
      </c>
      <c r="J40" s="88">
        <f>IF(ISNUMBER($E$9),0,MAX(0,INT('04_Annual_Calculations'!K$7/$C$9)-INT('04_Annual_Calculations'!J$7/$C$9)))</f>
        <v/>
      </c>
      <c r="K40" s="88">
        <f>IF(ISNUMBER($E$10),0,MAX(0,INT('04_Annual_Calculations'!K$5/$C$10)-INT('04_Annual_Calculations'!J$5/$C$10)))</f>
        <v/>
      </c>
      <c r="L40" s="88">
        <f>IF(ISNUMBER($E$11),0,MAX(0,INT('04_Annual_Calculations'!K$5/$C$11)-INT('04_Annual_Calculations'!J$5/$C$11)))</f>
        <v/>
      </c>
      <c r="M40" s="88">
        <f>IF(ISNUMBER($E$12),0,MAX(0,INT('04_Annual_Calculations'!K$7/$C$12)-INT('04_Annual_Calculations'!J$7/$C$12)))</f>
        <v/>
      </c>
      <c r="N40" s="88">
        <f>IF(ISNUMBER($E$13),0,MAX(0,INT('04_Annual_Calculations'!K$5/$C$13)-INT('04_Annual_Calculations'!J$5/$C$13)))</f>
        <v/>
      </c>
    </row>
    <row r="41" ht="15" customHeight="1" s="106">
      <c r="A41" s="23" t="inlineStr">
        <is>
          <t>Y11</t>
        </is>
      </c>
      <c r="B41" s="14">
        <f>(I41*$D$8+J41*$D$9+K41*$D$10+L41*$D$11+M41*$D$12+N41*$D$13)*((1+'00_Inputs_Dashboard'!$B$24)^(11-1))</f>
        <v/>
      </c>
      <c r="C41" s="14">
        <f>(E41*$D$4+F41*$D$5+G41*$D$6+H41*$D$7)*((1+'00_Inputs_Dashboard'!$B$24)^(11-1))</f>
        <v/>
      </c>
      <c r="E41" s="88">
        <f>IF(ISNUMBER($E$4),0,MAX(0,INT('04_Annual_Calculations'!L$7/$C$4)-INT('04_Annual_Calculations'!K$7/$C$4)))</f>
        <v/>
      </c>
      <c r="F41" s="88">
        <f>IF(ISNUMBER($E$5),0,MAX(0,INT('04_Annual_Calculations'!L$7/$C$5)-INT('04_Annual_Calculations'!K$7/$C$5)))</f>
        <v/>
      </c>
      <c r="G41" s="88">
        <f>IF(ISNUMBER($E$6),0,MAX(0,INT('04_Annual_Calculations'!L$7/$C$6)-INT('04_Annual_Calculations'!K$7/$C$6)))</f>
        <v/>
      </c>
      <c r="H41" s="88">
        <f>IF(ISNUMBER($E$7),0,MAX(0,INT('04_Annual_Calculations'!L$5/$C$7)-INT('04_Annual_Calculations'!K$5/$C$7)))</f>
        <v/>
      </c>
      <c r="I41" s="88">
        <f>IF(ISNUMBER($E$8),0,MAX(0,INT('04_Annual_Calculations'!L$7/$C$8)-INT('04_Annual_Calculations'!K$7/$C$8)))</f>
        <v/>
      </c>
      <c r="J41" s="88">
        <f>IF(ISNUMBER($E$9),0,MAX(0,INT('04_Annual_Calculations'!L$7/$C$9)-INT('04_Annual_Calculations'!K$7/$C$9)))</f>
        <v/>
      </c>
      <c r="K41" s="88">
        <f>IF(ISNUMBER($E$10),0,MAX(0,INT('04_Annual_Calculations'!L$5/$C$10)-INT('04_Annual_Calculations'!K$5/$C$10)))</f>
        <v/>
      </c>
      <c r="L41" s="88">
        <f>IF(ISNUMBER($E$11),0,MAX(0,INT('04_Annual_Calculations'!L$5/$C$11)-INT('04_Annual_Calculations'!K$5/$C$11)))</f>
        <v/>
      </c>
      <c r="M41" s="88">
        <f>IF(ISNUMBER($E$12),0,MAX(0,INT('04_Annual_Calculations'!L$7/$C$12)-INT('04_Annual_Calculations'!K$7/$C$12)))</f>
        <v/>
      </c>
      <c r="N41" s="88">
        <f>IF(ISNUMBER($E$13),0,MAX(0,INT('04_Annual_Calculations'!L$5/$C$13)-INT('04_Annual_Calculations'!K$5/$C$13)))</f>
        <v/>
      </c>
    </row>
    <row r="42" ht="15" customHeight="1" s="106">
      <c r="A42" s="23" t="inlineStr">
        <is>
          <t>Y12</t>
        </is>
      </c>
      <c r="B42" s="14">
        <f>(I42*$D$8+J42*$D$9+K42*$D$10+L42*$D$11+M42*$D$12+N42*$D$13)*((1+'00_Inputs_Dashboard'!$B$24)^(12-1))</f>
        <v/>
      </c>
      <c r="C42" s="14">
        <f>(E42*$D$4+F42*$D$5+G42*$D$6+H42*$D$7)*((1+'00_Inputs_Dashboard'!$B$24)^(12-1))</f>
        <v/>
      </c>
      <c r="E42" s="88">
        <f>IF(ISNUMBER($E$4),0,MAX(0,INT('04_Annual_Calculations'!M$7/$C$4)-INT('04_Annual_Calculations'!L$7/$C$4)))</f>
        <v/>
      </c>
      <c r="F42" s="88">
        <f>IF(ISNUMBER($E$5),0,MAX(0,INT('04_Annual_Calculations'!M$7/$C$5)-INT('04_Annual_Calculations'!L$7/$C$5)))</f>
        <v/>
      </c>
      <c r="G42" s="88">
        <f>IF(ISNUMBER($E$6),0,MAX(0,INT('04_Annual_Calculations'!M$7/$C$6)-INT('04_Annual_Calculations'!L$7/$C$6)))</f>
        <v/>
      </c>
      <c r="H42" s="88">
        <f>IF(ISNUMBER($E$7),0,MAX(0,INT('04_Annual_Calculations'!M$5/$C$7)-INT('04_Annual_Calculations'!L$5/$C$7)))</f>
        <v/>
      </c>
      <c r="I42" s="88">
        <f>IF(ISNUMBER($E$8),0,MAX(0,INT('04_Annual_Calculations'!M$7/$C$8)-INT('04_Annual_Calculations'!L$7/$C$8)))</f>
        <v/>
      </c>
      <c r="J42" s="88">
        <f>IF(ISNUMBER($E$9),0,MAX(0,INT('04_Annual_Calculations'!M$7/$C$9)-INT('04_Annual_Calculations'!L$7/$C$9)))</f>
        <v/>
      </c>
      <c r="K42" s="88">
        <f>IF(ISNUMBER($E$10),0,MAX(0,INT('04_Annual_Calculations'!M$5/$C$10)-INT('04_Annual_Calculations'!L$5/$C$10)))</f>
        <v/>
      </c>
      <c r="L42" s="88">
        <f>IF(ISNUMBER($E$11),0,MAX(0,INT('04_Annual_Calculations'!M$5/$C$11)-INT('04_Annual_Calculations'!L$5/$C$11)))</f>
        <v/>
      </c>
      <c r="M42" s="88">
        <f>IF(ISNUMBER($E$12),0,MAX(0,INT('04_Annual_Calculations'!M$7/$C$12)-INT('04_Annual_Calculations'!L$7/$C$12)))</f>
        <v/>
      </c>
      <c r="N42" s="88">
        <f>IF(ISNUMBER($E$13),0,MAX(0,INT('04_Annual_Calculations'!M$5/$C$13)-INT('04_Annual_Calculations'!L$5/$C$13)))</f>
        <v/>
      </c>
    </row>
    <row r="43" ht="15" customHeight="1" s="106">
      <c r="A43" s="23" t="inlineStr">
        <is>
          <t>Y13</t>
        </is>
      </c>
      <c r="B43" s="14">
        <f>(I43*$D$8+J43*$D$9+K43*$D$10+L43*$D$11+M43*$D$12+N43*$D$13)*((1+'00_Inputs_Dashboard'!$B$24)^(13-1))</f>
        <v/>
      </c>
      <c r="C43" s="14">
        <f>(E43*$D$4+F43*$D$5+G43*$D$6+H43*$D$7)*((1+'00_Inputs_Dashboard'!$B$24)^(13-1))</f>
        <v/>
      </c>
      <c r="E43" s="88">
        <f>IF(ISNUMBER($E$4),0,MAX(0,INT('04_Annual_Calculations'!N$7/$C$4)-INT('04_Annual_Calculations'!M$7/$C$4)))</f>
        <v/>
      </c>
      <c r="F43" s="88">
        <f>IF(ISNUMBER($E$5),0,MAX(0,INT('04_Annual_Calculations'!N$7/$C$5)-INT('04_Annual_Calculations'!M$7/$C$5)))</f>
        <v/>
      </c>
      <c r="G43" s="88">
        <f>IF(ISNUMBER($E$6),0,MAX(0,INT('04_Annual_Calculations'!N$7/$C$6)-INT('04_Annual_Calculations'!M$7/$C$6)))</f>
        <v/>
      </c>
      <c r="H43" s="88">
        <f>IF(ISNUMBER($E$7),0,MAX(0,INT('04_Annual_Calculations'!N$5/$C$7)-INT('04_Annual_Calculations'!M$5/$C$7)))</f>
        <v/>
      </c>
      <c r="I43" s="88">
        <f>IF(ISNUMBER($E$8),0,MAX(0,INT('04_Annual_Calculations'!N$7/$C$8)-INT('04_Annual_Calculations'!M$7/$C$8)))</f>
        <v/>
      </c>
      <c r="J43" s="88">
        <f>IF(ISNUMBER($E$9),0,MAX(0,INT('04_Annual_Calculations'!N$7/$C$9)-INT('04_Annual_Calculations'!M$7/$C$9)))</f>
        <v/>
      </c>
      <c r="K43" s="88">
        <f>IF(ISNUMBER($E$10),0,MAX(0,INT('04_Annual_Calculations'!N$5/$C$10)-INT('04_Annual_Calculations'!M$5/$C$10)))</f>
        <v/>
      </c>
      <c r="L43" s="88">
        <f>IF(ISNUMBER($E$11),0,MAX(0,INT('04_Annual_Calculations'!N$5/$C$11)-INT('04_Annual_Calculations'!M$5/$C$11)))</f>
        <v/>
      </c>
      <c r="M43" s="88">
        <f>IF(ISNUMBER($E$12),0,MAX(0,INT('04_Annual_Calculations'!N$7/$C$12)-INT('04_Annual_Calculations'!M$7/$C$12)))</f>
        <v/>
      </c>
      <c r="N43" s="88">
        <f>IF(ISNUMBER($E$13),0,MAX(0,INT('04_Annual_Calculations'!N$5/$C$13)-INT('04_Annual_Calculations'!M$5/$C$13)))</f>
        <v/>
      </c>
    </row>
    <row r="44" ht="15" customHeight="1" s="106">
      <c r="A44" s="23" t="inlineStr">
        <is>
          <t>Y14</t>
        </is>
      </c>
      <c r="B44" s="14">
        <f>(I44*$D$8+J44*$D$9+K44*$D$10+L44*$D$11+M44*$D$12+N44*$D$13)*((1+'00_Inputs_Dashboard'!$B$24)^(14-1))</f>
        <v/>
      </c>
      <c r="C44" s="14">
        <f>(E44*$D$4+F44*$D$5+G44*$D$6+H44*$D$7)*((1+'00_Inputs_Dashboard'!$B$24)^(14-1))</f>
        <v/>
      </c>
      <c r="E44" s="88">
        <f>IF(ISNUMBER($E$4),0,MAX(0,INT('04_Annual_Calculations'!O$7/$C$4)-INT('04_Annual_Calculations'!N$7/$C$4)))</f>
        <v/>
      </c>
      <c r="F44" s="88">
        <f>IF(ISNUMBER($E$5),0,MAX(0,INT('04_Annual_Calculations'!O$7/$C$5)-INT('04_Annual_Calculations'!N$7/$C$5)))</f>
        <v/>
      </c>
      <c r="G44" s="88">
        <f>IF(ISNUMBER($E$6),0,MAX(0,INT('04_Annual_Calculations'!O$7/$C$6)-INT('04_Annual_Calculations'!N$7/$C$6)))</f>
        <v/>
      </c>
      <c r="H44" s="88">
        <f>IF(ISNUMBER($E$7),0,MAX(0,INT('04_Annual_Calculations'!O$5/$C$7)-INT('04_Annual_Calculations'!N$5/$C$7)))</f>
        <v/>
      </c>
      <c r="I44" s="88">
        <f>IF(ISNUMBER($E$8),0,MAX(0,INT('04_Annual_Calculations'!O$7/$C$8)-INT('04_Annual_Calculations'!N$7/$C$8)))</f>
        <v/>
      </c>
      <c r="J44" s="88">
        <f>IF(ISNUMBER($E$9),0,MAX(0,INT('04_Annual_Calculations'!O$7/$C$9)-INT('04_Annual_Calculations'!N$7/$C$9)))</f>
        <v/>
      </c>
      <c r="K44" s="88">
        <f>IF(ISNUMBER($E$10),0,MAX(0,INT('04_Annual_Calculations'!O$5/$C$10)-INT('04_Annual_Calculations'!N$5/$C$10)))</f>
        <v/>
      </c>
      <c r="L44" s="88">
        <f>IF(ISNUMBER($E$11),0,MAX(0,INT('04_Annual_Calculations'!O$5/$C$11)-INT('04_Annual_Calculations'!N$5/$C$11)))</f>
        <v/>
      </c>
      <c r="M44" s="88">
        <f>IF(ISNUMBER($E$12),0,MAX(0,INT('04_Annual_Calculations'!O$7/$C$12)-INT('04_Annual_Calculations'!N$7/$C$12)))</f>
        <v/>
      </c>
      <c r="N44" s="88">
        <f>IF(ISNUMBER($E$13),0,MAX(0,INT('04_Annual_Calculations'!O$5/$C$13)-INT('04_Annual_Calculations'!N$5/$C$13)))</f>
        <v/>
      </c>
    </row>
    <row r="45" ht="15" customHeight="1" s="106">
      <c r="A45" s="23" t="inlineStr">
        <is>
          <t>Y15</t>
        </is>
      </c>
      <c r="B45" s="14">
        <f>(I45*$D$8+J45*$D$9+K45*$D$10+L45*$D$11+M45*$D$12+N45*$D$13)*((1+'00_Inputs_Dashboard'!$B$24)^(15-1))</f>
        <v/>
      </c>
      <c r="C45" s="14">
        <f>(E45*$D$4+F45*$D$5+G45*$D$6+H45*$D$7)*((1+'00_Inputs_Dashboard'!$B$24)^(15-1))</f>
        <v/>
      </c>
      <c r="E45" s="88">
        <f>IF(ISNUMBER($E$4),0,MAX(0,INT('04_Annual_Calculations'!P$7/$C$4)-INT('04_Annual_Calculations'!O$7/$C$4)))</f>
        <v/>
      </c>
      <c r="F45" s="88">
        <f>IF(ISNUMBER($E$5),0,MAX(0,INT('04_Annual_Calculations'!P$7/$C$5)-INT('04_Annual_Calculations'!O$7/$C$5)))</f>
        <v/>
      </c>
      <c r="G45" s="88">
        <f>IF(ISNUMBER($E$6),0,MAX(0,INT('04_Annual_Calculations'!P$7/$C$6)-INT('04_Annual_Calculations'!O$7/$C$6)))</f>
        <v/>
      </c>
      <c r="H45" s="88">
        <f>IF(ISNUMBER($E$7),0,MAX(0,INT('04_Annual_Calculations'!P$5/$C$7)-INT('04_Annual_Calculations'!O$5/$C$7)))</f>
        <v/>
      </c>
      <c r="I45" s="88">
        <f>IF(ISNUMBER($E$8),0,MAX(0,INT('04_Annual_Calculations'!P$7/$C$8)-INT('04_Annual_Calculations'!O$7/$C$8)))</f>
        <v/>
      </c>
      <c r="J45" s="88">
        <f>IF(ISNUMBER($E$9),0,MAX(0,INT('04_Annual_Calculations'!P$7/$C$9)-INT('04_Annual_Calculations'!O$7/$C$9)))</f>
        <v/>
      </c>
      <c r="K45" s="88">
        <f>IF(ISNUMBER($E$10),0,MAX(0,INT('04_Annual_Calculations'!P$5/$C$10)-INT('04_Annual_Calculations'!O$5/$C$10)))</f>
        <v/>
      </c>
      <c r="L45" s="88">
        <f>IF(ISNUMBER($E$11),0,MAX(0,INT('04_Annual_Calculations'!P$5/$C$11)-INT('04_Annual_Calculations'!O$5/$C$11)))</f>
        <v/>
      </c>
      <c r="M45" s="88">
        <f>IF(ISNUMBER($E$12),0,MAX(0,INT('04_Annual_Calculations'!P$7/$C$12)-INT('04_Annual_Calculations'!O$7/$C$12)))</f>
        <v/>
      </c>
      <c r="N45" s="88">
        <f>IF(ISNUMBER($E$13),0,MAX(0,INT('04_Annual_Calculations'!P$5/$C$13)-INT('04_Annual_Calculations'!O$5/$C$13)))</f>
        <v/>
      </c>
    </row>
    <row r="46" ht="15" customHeight="1" s="106">
      <c r="A46" s="23" t="inlineStr">
        <is>
          <t>Y16</t>
        </is>
      </c>
      <c r="B46" s="14">
        <f>(I46*$D$8+J46*$D$9+K46*$D$10+L46*$D$11+M46*$D$12+N46*$D$13)*((1+'00_Inputs_Dashboard'!$B$24)^(16-1))</f>
        <v/>
      </c>
      <c r="C46" s="14">
        <f>(E46*$D$4+F46*$D$5+G46*$D$6+H46*$D$7)*((1+'00_Inputs_Dashboard'!$B$24)^(16-1))</f>
        <v/>
      </c>
      <c r="E46" s="88">
        <f>IF(ISNUMBER($E$4),0,MAX(0,INT('04_Annual_Calculations'!Q$7/$C$4)-INT('04_Annual_Calculations'!P$7/$C$4)))</f>
        <v/>
      </c>
      <c r="F46" s="88">
        <f>IF(ISNUMBER($E$5),0,MAX(0,INT('04_Annual_Calculations'!Q$7/$C$5)-INT('04_Annual_Calculations'!P$7/$C$5)))</f>
        <v/>
      </c>
      <c r="G46" s="88">
        <f>IF(ISNUMBER($E$6),0,MAX(0,INT('04_Annual_Calculations'!Q$7/$C$6)-INT('04_Annual_Calculations'!P$7/$C$6)))</f>
        <v/>
      </c>
      <c r="H46" s="88">
        <f>IF(ISNUMBER($E$7),0,MAX(0,INT('04_Annual_Calculations'!Q$5/$C$7)-INT('04_Annual_Calculations'!P$5/$C$7)))</f>
        <v/>
      </c>
      <c r="I46" s="88">
        <f>IF(ISNUMBER($E$8),0,MAX(0,INT('04_Annual_Calculations'!Q$7/$C$8)-INT('04_Annual_Calculations'!P$7/$C$8)))</f>
        <v/>
      </c>
      <c r="J46" s="88">
        <f>IF(ISNUMBER($E$9),0,MAX(0,INT('04_Annual_Calculations'!Q$7/$C$9)-INT('04_Annual_Calculations'!P$7/$C$9)))</f>
        <v/>
      </c>
      <c r="K46" s="88">
        <f>IF(ISNUMBER($E$10),0,MAX(0,INT('04_Annual_Calculations'!Q$5/$C$10)-INT('04_Annual_Calculations'!P$5/$C$10)))</f>
        <v/>
      </c>
      <c r="L46" s="88">
        <f>IF(ISNUMBER($E$11),0,MAX(0,INT('04_Annual_Calculations'!Q$5/$C$11)-INT('04_Annual_Calculations'!P$5/$C$11)))</f>
        <v/>
      </c>
      <c r="M46" s="88">
        <f>IF(ISNUMBER($E$12),0,MAX(0,INT('04_Annual_Calculations'!Q$7/$C$12)-INT('04_Annual_Calculations'!P$7/$C$12)))</f>
        <v/>
      </c>
      <c r="N46" s="88">
        <f>IF(ISNUMBER($E$13),0,MAX(0,INT('04_Annual_Calculations'!Q$5/$C$13)-INT('04_Annual_Calculations'!P$5/$C$13)))</f>
        <v/>
      </c>
    </row>
    <row r="47" ht="15" customHeight="1" s="106">
      <c r="A47" s="23" t="inlineStr">
        <is>
          <t>Y17</t>
        </is>
      </c>
      <c r="B47" s="14">
        <f>(I47*$D$8+J47*$D$9+K47*$D$10+L47*$D$11+M47*$D$12+N47*$D$13)*((1+'00_Inputs_Dashboard'!$B$24)^(17-1))</f>
        <v/>
      </c>
      <c r="C47" s="14">
        <f>(E47*$D$4+F47*$D$5+G47*$D$6+H47*$D$7)*((1+'00_Inputs_Dashboard'!$B$24)^(17-1))</f>
        <v/>
      </c>
      <c r="E47" s="88">
        <f>IF(ISNUMBER($E$4),0,MAX(0,INT('04_Annual_Calculations'!R$7/$C$4)-INT('04_Annual_Calculations'!Q$7/$C$4)))</f>
        <v/>
      </c>
      <c r="F47" s="88">
        <f>IF(ISNUMBER($E$5),0,MAX(0,INT('04_Annual_Calculations'!R$7/$C$5)-INT('04_Annual_Calculations'!Q$7/$C$5)))</f>
        <v/>
      </c>
      <c r="G47" s="88">
        <f>IF(ISNUMBER($E$6),0,MAX(0,INT('04_Annual_Calculations'!R$7/$C$6)-INT('04_Annual_Calculations'!Q$7/$C$6)))</f>
        <v/>
      </c>
      <c r="H47" s="88">
        <f>IF(ISNUMBER($E$7),0,MAX(0,INT('04_Annual_Calculations'!R$5/$C$7)-INT('04_Annual_Calculations'!Q$5/$C$7)))</f>
        <v/>
      </c>
      <c r="I47" s="88">
        <f>IF(ISNUMBER($E$8),0,MAX(0,INT('04_Annual_Calculations'!R$7/$C$8)-INT('04_Annual_Calculations'!Q$7/$C$8)))</f>
        <v/>
      </c>
      <c r="J47" s="88">
        <f>IF(ISNUMBER($E$9),0,MAX(0,INT('04_Annual_Calculations'!R$7/$C$9)-INT('04_Annual_Calculations'!Q$7/$C$9)))</f>
        <v/>
      </c>
      <c r="K47" s="88">
        <f>IF(ISNUMBER($E$10),0,MAX(0,INT('04_Annual_Calculations'!R$5/$C$10)-INT('04_Annual_Calculations'!Q$5/$C$10)))</f>
        <v/>
      </c>
      <c r="L47" s="88">
        <f>IF(ISNUMBER($E$11),0,MAX(0,INT('04_Annual_Calculations'!R$5/$C$11)-INT('04_Annual_Calculations'!Q$5/$C$11)))</f>
        <v/>
      </c>
      <c r="M47" s="88">
        <f>IF(ISNUMBER($E$12),0,MAX(0,INT('04_Annual_Calculations'!R$7/$C$12)-INT('04_Annual_Calculations'!Q$7/$C$12)))</f>
        <v/>
      </c>
      <c r="N47" s="88">
        <f>IF(ISNUMBER($E$13),0,MAX(0,INT('04_Annual_Calculations'!R$5/$C$13)-INT('04_Annual_Calculations'!Q$5/$C$13)))</f>
        <v/>
      </c>
    </row>
    <row r="48" ht="15" customHeight="1" s="106">
      <c r="A48" s="23" t="inlineStr">
        <is>
          <t>Y18</t>
        </is>
      </c>
      <c r="B48" s="14">
        <f>(I48*$D$8+J48*$D$9+K48*$D$10+L48*$D$11+M48*$D$12+N48*$D$13)*((1+'00_Inputs_Dashboard'!$B$24)^(18-1))</f>
        <v/>
      </c>
      <c r="C48" s="14">
        <f>(E48*$D$4+F48*$D$5+G48*$D$6+H48*$D$7)*((1+'00_Inputs_Dashboard'!$B$24)^(18-1))</f>
        <v/>
      </c>
      <c r="E48" s="88">
        <f>IF(ISNUMBER($E$4),0,MAX(0,INT('04_Annual_Calculations'!S$7/$C$4)-INT('04_Annual_Calculations'!R$7/$C$4)))</f>
        <v/>
      </c>
      <c r="F48" s="88">
        <f>IF(ISNUMBER($E$5),0,MAX(0,INT('04_Annual_Calculations'!S$7/$C$5)-INT('04_Annual_Calculations'!R$7/$C$5)))</f>
        <v/>
      </c>
      <c r="G48" s="88">
        <f>IF(ISNUMBER($E$6),0,MAX(0,INT('04_Annual_Calculations'!S$7/$C$6)-INT('04_Annual_Calculations'!R$7/$C$6)))</f>
        <v/>
      </c>
      <c r="H48" s="88">
        <f>IF(ISNUMBER($E$7),0,MAX(0,INT('04_Annual_Calculations'!S$5/$C$7)-INT('04_Annual_Calculations'!R$5/$C$7)))</f>
        <v/>
      </c>
      <c r="I48" s="88">
        <f>IF(ISNUMBER($E$8),0,MAX(0,INT('04_Annual_Calculations'!S$7/$C$8)-INT('04_Annual_Calculations'!R$7/$C$8)))</f>
        <v/>
      </c>
      <c r="J48" s="88">
        <f>IF(ISNUMBER($E$9),0,MAX(0,INT('04_Annual_Calculations'!S$7/$C$9)-INT('04_Annual_Calculations'!R$7/$C$9)))</f>
        <v/>
      </c>
      <c r="K48" s="88">
        <f>IF(ISNUMBER($E$10),0,MAX(0,INT('04_Annual_Calculations'!S$5/$C$10)-INT('04_Annual_Calculations'!R$5/$C$10)))</f>
        <v/>
      </c>
      <c r="L48" s="88">
        <f>IF(ISNUMBER($E$11),0,MAX(0,INT('04_Annual_Calculations'!S$5/$C$11)-INT('04_Annual_Calculations'!R$5/$C$11)))</f>
        <v/>
      </c>
      <c r="M48" s="88">
        <f>IF(ISNUMBER($E$12),0,MAX(0,INT('04_Annual_Calculations'!S$7/$C$12)-INT('04_Annual_Calculations'!R$7/$C$12)))</f>
        <v/>
      </c>
      <c r="N48" s="88">
        <f>IF(ISNUMBER($E$13),0,MAX(0,INT('04_Annual_Calculations'!S$5/$C$13)-INT('04_Annual_Calculations'!R$5/$C$13)))</f>
        <v/>
      </c>
    </row>
    <row r="49" ht="15" customHeight="1" s="106">
      <c r="A49" s="23" t="inlineStr">
        <is>
          <t>Y19</t>
        </is>
      </c>
      <c r="B49" s="14">
        <f>(I49*$D$8+J49*$D$9+K49*$D$10+L49*$D$11+M49*$D$12+N49*$D$13)*((1+'00_Inputs_Dashboard'!$B$24)^(19-1))</f>
        <v/>
      </c>
      <c r="C49" s="14">
        <f>(E49*$D$4+F49*$D$5+G49*$D$6+H49*$D$7)*((1+'00_Inputs_Dashboard'!$B$24)^(19-1))</f>
        <v/>
      </c>
      <c r="E49" s="88">
        <f>IF(ISNUMBER($E$4),0,MAX(0,INT('04_Annual_Calculations'!T$7/$C$4)-INT('04_Annual_Calculations'!S$7/$C$4)))</f>
        <v/>
      </c>
      <c r="F49" s="88">
        <f>IF(ISNUMBER($E$5),0,MAX(0,INT('04_Annual_Calculations'!T$7/$C$5)-INT('04_Annual_Calculations'!S$7/$C$5)))</f>
        <v/>
      </c>
      <c r="G49" s="88">
        <f>IF(ISNUMBER($E$6),0,MAX(0,INT('04_Annual_Calculations'!T$7/$C$6)-INT('04_Annual_Calculations'!S$7/$C$6)))</f>
        <v/>
      </c>
      <c r="H49" s="88">
        <f>IF(ISNUMBER($E$7),0,MAX(0,INT('04_Annual_Calculations'!T$5/$C$7)-INT('04_Annual_Calculations'!S$5/$C$7)))</f>
        <v/>
      </c>
      <c r="I49" s="88">
        <f>IF(ISNUMBER($E$8),0,MAX(0,INT('04_Annual_Calculations'!T$7/$C$8)-INT('04_Annual_Calculations'!S$7/$C$8)))</f>
        <v/>
      </c>
      <c r="J49" s="88">
        <f>IF(ISNUMBER($E$9),0,MAX(0,INT('04_Annual_Calculations'!T$7/$C$9)-INT('04_Annual_Calculations'!S$7/$C$9)))</f>
        <v/>
      </c>
      <c r="K49" s="88">
        <f>IF(ISNUMBER($E$10),0,MAX(0,INT('04_Annual_Calculations'!T$5/$C$10)-INT('04_Annual_Calculations'!S$5/$C$10)))</f>
        <v/>
      </c>
      <c r="L49" s="88">
        <f>IF(ISNUMBER($E$11),0,MAX(0,INT('04_Annual_Calculations'!T$5/$C$11)-INT('04_Annual_Calculations'!S$5/$C$11)))</f>
        <v/>
      </c>
      <c r="M49" s="88">
        <f>IF(ISNUMBER($E$12),0,MAX(0,INT('04_Annual_Calculations'!T$7/$C$12)-INT('04_Annual_Calculations'!S$7/$C$12)))</f>
        <v/>
      </c>
      <c r="N49" s="88">
        <f>IF(ISNUMBER($E$13),0,MAX(0,INT('04_Annual_Calculations'!T$5/$C$13)-INT('04_Annual_Calculations'!S$5/$C$13)))</f>
        <v/>
      </c>
    </row>
    <row r="50" ht="15" customHeight="1" s="106">
      <c r="A50" s="23" t="inlineStr">
        <is>
          <t>Y20</t>
        </is>
      </c>
      <c r="B50" s="14">
        <f>(I50*$D$8+J50*$D$9+K50*$D$10+L50*$D$11+M50*$D$12+N50*$D$13)*((1+'00_Inputs_Dashboard'!$B$24)^(20-1))</f>
        <v/>
      </c>
      <c r="C50" s="14">
        <f>(E50*$D$4+F50*$D$5+G50*$D$6+H50*$D$7)*((1+'00_Inputs_Dashboard'!$B$24)^(20-1))</f>
        <v/>
      </c>
      <c r="E50" s="88">
        <f>IF(ISNUMBER($E$4),0,MAX(0,INT('04_Annual_Calculations'!U$7/$C$4)-INT('04_Annual_Calculations'!T$7/$C$4)))</f>
        <v/>
      </c>
      <c r="F50" s="88">
        <f>IF(ISNUMBER($E$5),0,MAX(0,INT('04_Annual_Calculations'!U$7/$C$5)-INT('04_Annual_Calculations'!T$7/$C$5)))</f>
        <v/>
      </c>
      <c r="G50" s="88">
        <f>IF(ISNUMBER($E$6),0,MAX(0,INT('04_Annual_Calculations'!U$7/$C$6)-INT('04_Annual_Calculations'!T$7/$C$6)))</f>
        <v/>
      </c>
      <c r="H50" s="88">
        <f>IF(ISNUMBER($E$7),0,MAX(0,INT('04_Annual_Calculations'!U$5/$C$7)-INT('04_Annual_Calculations'!T$5/$C$7)))</f>
        <v/>
      </c>
      <c r="I50" s="88">
        <f>IF(ISNUMBER($E$8),0,MAX(0,INT('04_Annual_Calculations'!U$7/$C$8)-INT('04_Annual_Calculations'!T$7/$C$8)))</f>
        <v/>
      </c>
      <c r="J50" s="88">
        <f>IF(ISNUMBER($E$9),0,MAX(0,INT('04_Annual_Calculations'!U$7/$C$9)-INT('04_Annual_Calculations'!T$7/$C$9)))</f>
        <v/>
      </c>
      <c r="K50" s="88">
        <f>IF(ISNUMBER($E$10),0,MAX(0,INT('04_Annual_Calculations'!U$5/$C$10)-INT('04_Annual_Calculations'!T$5/$C$10)))</f>
        <v/>
      </c>
      <c r="L50" s="88">
        <f>IF(ISNUMBER($E$11),0,MAX(0,INT('04_Annual_Calculations'!U$5/$C$11)-INT('04_Annual_Calculations'!T$5/$C$11)))</f>
        <v/>
      </c>
      <c r="M50" s="88">
        <f>IF(ISNUMBER($E$12),0,MAX(0,INT('04_Annual_Calculations'!U$7/$C$12)-INT('04_Annual_Calculations'!T$7/$C$12)))</f>
        <v/>
      </c>
      <c r="N50" s="88">
        <f>IF(ISNUMBER($E$13),0,MAX(0,INT('04_Annual_Calculations'!U$5/$C$13)-INT('04_Annual_Calculations'!T$5/$C$13)))</f>
        <v/>
      </c>
    </row>
    <row r="51" ht="15" customHeight="1" s="106">
      <c r="A51" s="23" t="inlineStr">
        <is>
          <t>Y21</t>
        </is>
      </c>
      <c r="B51" s="14">
        <f>(I51*$D$8+J51*$D$9+K51*$D$10+L51*$D$11+M51*$D$12+N51*$D$13)*((1+'00_Inputs_Dashboard'!$B$24)^(21-1))</f>
        <v/>
      </c>
      <c r="C51" s="14">
        <f>(E51*$D$4+F51*$D$5+G51*$D$6+H51*$D$7)*((1+'00_Inputs_Dashboard'!$B$24)^(21-1))</f>
        <v/>
      </c>
      <c r="E51" s="88">
        <f>IF(ISNUMBER($E$4),0,MAX(0,INT('04_Annual_Calculations'!V$7/$C$4)-INT('04_Annual_Calculations'!U$7/$C$4)))</f>
        <v/>
      </c>
      <c r="F51" s="88">
        <f>IF(ISNUMBER($E$5),0,MAX(0,INT('04_Annual_Calculations'!V$7/$C$5)-INT('04_Annual_Calculations'!U$7/$C$5)))</f>
        <v/>
      </c>
      <c r="G51" s="88">
        <f>IF(ISNUMBER($E$6),0,MAX(0,INT('04_Annual_Calculations'!V$7/$C$6)-INT('04_Annual_Calculations'!U$7/$C$6)))</f>
        <v/>
      </c>
      <c r="H51" s="88">
        <f>IF(ISNUMBER($E$7),0,MAX(0,INT('04_Annual_Calculations'!V$5/$C$7)-INT('04_Annual_Calculations'!U$5/$C$7)))</f>
        <v/>
      </c>
      <c r="I51" s="88">
        <f>IF(ISNUMBER($E$8),0,MAX(0,INT('04_Annual_Calculations'!V$7/$C$8)-INT('04_Annual_Calculations'!U$7/$C$8)))</f>
        <v/>
      </c>
      <c r="J51" s="88">
        <f>IF(ISNUMBER($E$9),0,MAX(0,INT('04_Annual_Calculations'!V$7/$C$9)-INT('04_Annual_Calculations'!U$7/$C$9)))</f>
        <v/>
      </c>
      <c r="K51" s="88">
        <f>IF(ISNUMBER($E$10),0,MAX(0,INT('04_Annual_Calculations'!V$5/$C$10)-INT('04_Annual_Calculations'!U$5/$C$10)))</f>
        <v/>
      </c>
      <c r="L51" s="88">
        <f>IF(ISNUMBER($E$11),0,MAX(0,INT('04_Annual_Calculations'!V$5/$C$11)-INT('04_Annual_Calculations'!U$5/$C$11)))</f>
        <v/>
      </c>
      <c r="M51" s="88">
        <f>IF(ISNUMBER($E$12),0,MAX(0,INT('04_Annual_Calculations'!V$7/$C$12)-INT('04_Annual_Calculations'!U$7/$C$12)))</f>
        <v/>
      </c>
      <c r="N51" s="88">
        <f>IF(ISNUMBER($E$13),0,MAX(0,INT('04_Annual_Calculations'!V$5/$C$13)-INT('04_Annual_Calculations'!U$5/$C$13)))</f>
        <v/>
      </c>
    </row>
    <row r="52" ht="15" customHeight="1" s="106">
      <c r="A52" s="23" t="inlineStr">
        <is>
          <t>Y22</t>
        </is>
      </c>
      <c r="B52" s="14">
        <f>(I52*$D$8+J52*$D$9+K52*$D$10+L52*$D$11+M52*$D$12+N52*$D$13)*((1+'00_Inputs_Dashboard'!$B$24)^(22-1))</f>
        <v/>
      </c>
      <c r="C52" s="14">
        <f>(E52*$D$4+F52*$D$5+G52*$D$6+H52*$D$7)*((1+'00_Inputs_Dashboard'!$B$24)^(22-1))</f>
        <v/>
      </c>
      <c r="E52" s="88">
        <f>IF(ISNUMBER($E$4),0,MAX(0,INT('04_Annual_Calculations'!W$7/$C$4)-INT('04_Annual_Calculations'!V$7/$C$4)))</f>
        <v/>
      </c>
      <c r="F52" s="88">
        <f>IF(ISNUMBER($E$5),0,MAX(0,INT('04_Annual_Calculations'!W$7/$C$5)-INT('04_Annual_Calculations'!V$7/$C$5)))</f>
        <v/>
      </c>
      <c r="G52" s="88">
        <f>IF(ISNUMBER($E$6),0,MAX(0,INT('04_Annual_Calculations'!W$7/$C$6)-INT('04_Annual_Calculations'!V$7/$C$6)))</f>
        <v/>
      </c>
      <c r="H52" s="88">
        <f>IF(ISNUMBER($E$7),0,MAX(0,INT('04_Annual_Calculations'!W$5/$C$7)-INT('04_Annual_Calculations'!V$5/$C$7)))</f>
        <v/>
      </c>
      <c r="I52" s="88">
        <f>IF(ISNUMBER($E$8),0,MAX(0,INT('04_Annual_Calculations'!W$7/$C$8)-INT('04_Annual_Calculations'!V$7/$C$8)))</f>
        <v/>
      </c>
      <c r="J52" s="88">
        <f>IF(ISNUMBER($E$9),0,MAX(0,INT('04_Annual_Calculations'!W$7/$C$9)-INT('04_Annual_Calculations'!V$7/$C$9)))</f>
        <v/>
      </c>
      <c r="K52" s="88">
        <f>IF(ISNUMBER($E$10),0,MAX(0,INT('04_Annual_Calculations'!W$5/$C$10)-INT('04_Annual_Calculations'!V$5/$C$10)))</f>
        <v/>
      </c>
      <c r="L52" s="88">
        <f>IF(ISNUMBER($E$11),0,MAX(0,INT('04_Annual_Calculations'!W$5/$C$11)-INT('04_Annual_Calculations'!V$5/$C$11)))</f>
        <v/>
      </c>
      <c r="M52" s="88">
        <f>IF(ISNUMBER($E$12),0,MAX(0,INT('04_Annual_Calculations'!W$7/$C$12)-INT('04_Annual_Calculations'!V$7/$C$12)))</f>
        <v/>
      </c>
      <c r="N52" s="88">
        <f>IF(ISNUMBER($E$13),0,MAX(0,INT('04_Annual_Calculations'!W$5/$C$13)-INT('04_Annual_Calculations'!V$5/$C$13)))</f>
        <v/>
      </c>
    </row>
    <row r="53" ht="15" customHeight="1" s="106">
      <c r="A53" s="23" t="inlineStr">
        <is>
          <t>Y23</t>
        </is>
      </c>
      <c r="B53" s="14">
        <f>(I53*$D$8+J53*$D$9+K53*$D$10+L53*$D$11+M53*$D$12+N53*$D$13)*((1+'00_Inputs_Dashboard'!$B$24)^(23-1))</f>
        <v/>
      </c>
      <c r="C53" s="14">
        <f>(E53*$D$4+F53*$D$5+G53*$D$6+H53*$D$7)*((1+'00_Inputs_Dashboard'!$B$24)^(23-1))</f>
        <v/>
      </c>
      <c r="E53" s="88">
        <f>IF(ISNUMBER($E$4),0,MAX(0,INT('04_Annual_Calculations'!X$7/$C$4)-INT('04_Annual_Calculations'!W$7/$C$4)))</f>
        <v/>
      </c>
      <c r="F53" s="88">
        <f>IF(ISNUMBER($E$5),0,MAX(0,INT('04_Annual_Calculations'!X$7/$C$5)-INT('04_Annual_Calculations'!W$7/$C$5)))</f>
        <v/>
      </c>
      <c r="G53" s="88">
        <f>IF(ISNUMBER($E$6),0,MAX(0,INT('04_Annual_Calculations'!X$7/$C$6)-INT('04_Annual_Calculations'!W$7/$C$6)))</f>
        <v/>
      </c>
      <c r="H53" s="88">
        <f>IF(ISNUMBER($E$7),0,MAX(0,INT('04_Annual_Calculations'!X$5/$C$7)-INT('04_Annual_Calculations'!W$5/$C$7)))</f>
        <v/>
      </c>
      <c r="I53" s="88">
        <f>IF(ISNUMBER($E$8),0,MAX(0,INT('04_Annual_Calculations'!X$7/$C$8)-INT('04_Annual_Calculations'!W$7/$C$8)))</f>
        <v/>
      </c>
      <c r="J53" s="88">
        <f>IF(ISNUMBER($E$9),0,MAX(0,INT('04_Annual_Calculations'!X$7/$C$9)-INT('04_Annual_Calculations'!W$7/$C$9)))</f>
        <v/>
      </c>
      <c r="K53" s="88">
        <f>IF(ISNUMBER($E$10),0,MAX(0,INT('04_Annual_Calculations'!X$5/$C$10)-INT('04_Annual_Calculations'!W$5/$C$10)))</f>
        <v/>
      </c>
      <c r="L53" s="88">
        <f>IF(ISNUMBER($E$11),0,MAX(0,INT('04_Annual_Calculations'!X$5/$C$11)-INT('04_Annual_Calculations'!W$5/$C$11)))</f>
        <v/>
      </c>
      <c r="M53" s="88">
        <f>IF(ISNUMBER($E$12),0,MAX(0,INT('04_Annual_Calculations'!X$7/$C$12)-INT('04_Annual_Calculations'!W$7/$C$12)))</f>
        <v/>
      </c>
      <c r="N53" s="88">
        <f>IF(ISNUMBER($E$13),0,MAX(0,INT('04_Annual_Calculations'!X$5/$C$13)-INT('04_Annual_Calculations'!W$5/$C$13)))</f>
        <v/>
      </c>
    </row>
    <row r="54" ht="15" customHeight="1" s="106">
      <c r="A54" s="23" t="inlineStr">
        <is>
          <t>Y24</t>
        </is>
      </c>
      <c r="B54" s="14">
        <f>(I54*$D$8+J54*$D$9+K54*$D$10+L54*$D$11+M54*$D$12+N54*$D$13)*((1+'00_Inputs_Dashboard'!$B$24)^(24-1))</f>
        <v/>
      </c>
      <c r="C54" s="14">
        <f>(E54*$D$4+F54*$D$5+G54*$D$6+H54*$D$7)*((1+'00_Inputs_Dashboard'!$B$24)^(24-1))</f>
        <v/>
      </c>
      <c r="E54" s="88">
        <f>IF(ISNUMBER($E$4),0,MAX(0,INT('04_Annual_Calculations'!Y$7/$C$4)-INT('04_Annual_Calculations'!X$7/$C$4)))</f>
        <v/>
      </c>
      <c r="F54" s="88">
        <f>IF(ISNUMBER($E$5),0,MAX(0,INT('04_Annual_Calculations'!Y$7/$C$5)-INT('04_Annual_Calculations'!X$7/$C$5)))</f>
        <v/>
      </c>
      <c r="G54" s="88">
        <f>IF(ISNUMBER($E$6),0,MAX(0,INT('04_Annual_Calculations'!Y$7/$C$6)-INT('04_Annual_Calculations'!X$7/$C$6)))</f>
        <v/>
      </c>
      <c r="H54" s="88">
        <f>IF(ISNUMBER($E$7),0,MAX(0,INT('04_Annual_Calculations'!Y$5/$C$7)-INT('04_Annual_Calculations'!X$5/$C$7)))</f>
        <v/>
      </c>
      <c r="I54" s="88">
        <f>IF(ISNUMBER($E$8),0,MAX(0,INT('04_Annual_Calculations'!Y$7/$C$8)-INT('04_Annual_Calculations'!X$7/$C$8)))</f>
        <v/>
      </c>
      <c r="J54" s="88">
        <f>IF(ISNUMBER($E$9),0,MAX(0,INT('04_Annual_Calculations'!Y$7/$C$9)-INT('04_Annual_Calculations'!X$7/$C$9)))</f>
        <v/>
      </c>
      <c r="K54" s="88">
        <f>IF(ISNUMBER($E$10),0,MAX(0,INT('04_Annual_Calculations'!Y$5/$C$10)-INT('04_Annual_Calculations'!X$5/$C$10)))</f>
        <v/>
      </c>
      <c r="L54" s="88">
        <f>IF(ISNUMBER($E$11),0,MAX(0,INT('04_Annual_Calculations'!Y$5/$C$11)-INT('04_Annual_Calculations'!X$5/$C$11)))</f>
        <v/>
      </c>
      <c r="M54" s="88">
        <f>IF(ISNUMBER($E$12),0,MAX(0,INT('04_Annual_Calculations'!Y$7/$C$12)-INT('04_Annual_Calculations'!X$7/$C$12)))</f>
        <v/>
      </c>
      <c r="N54" s="88">
        <f>IF(ISNUMBER($E$13),0,MAX(0,INT('04_Annual_Calculations'!Y$5/$C$13)-INT('04_Annual_Calculations'!X$5/$C$13)))</f>
        <v/>
      </c>
    </row>
    <row r="55" ht="15" customHeight="1" s="106">
      <c r="A55" s="23" t="inlineStr">
        <is>
          <t>Y25</t>
        </is>
      </c>
      <c r="B55" s="14">
        <f>(I55*$D$8+J55*$D$9+K55*$D$10+L55*$D$11+M55*$D$12+N55*$D$13)*((1+'00_Inputs_Dashboard'!$B$24)^(25-1))</f>
        <v/>
      </c>
      <c r="C55" s="14">
        <f>(E55*$D$4+F55*$D$5+G55*$D$6+H55*$D$7)*((1+'00_Inputs_Dashboard'!$B$24)^(25-1))</f>
        <v/>
      </c>
      <c r="E55" s="88">
        <f>IF(ISNUMBER($E$4),0,MAX(0,INT('04_Annual_Calculations'!Z$7/$C$4)-INT('04_Annual_Calculations'!Y$7/$C$4)))</f>
        <v/>
      </c>
      <c r="F55" s="88">
        <f>IF(ISNUMBER($E$5),0,MAX(0,INT('04_Annual_Calculations'!Z$7/$C$5)-INT('04_Annual_Calculations'!Y$7/$C$5)))</f>
        <v/>
      </c>
      <c r="G55" s="88">
        <f>IF(ISNUMBER($E$6),0,MAX(0,INT('04_Annual_Calculations'!Z$7/$C$6)-INT('04_Annual_Calculations'!Y$7/$C$6)))</f>
        <v/>
      </c>
      <c r="H55" s="88">
        <f>IF(ISNUMBER($E$7),0,MAX(0,INT('04_Annual_Calculations'!Z$5/$C$7)-INT('04_Annual_Calculations'!Y$5/$C$7)))</f>
        <v/>
      </c>
      <c r="I55" s="88">
        <f>IF(ISNUMBER($E$8),0,MAX(0,INT('04_Annual_Calculations'!Z$7/$C$8)-INT('04_Annual_Calculations'!Y$7/$C$8)))</f>
        <v/>
      </c>
      <c r="J55" s="88">
        <f>IF(ISNUMBER($E$9),0,MAX(0,INT('04_Annual_Calculations'!Z$7/$C$9)-INT('04_Annual_Calculations'!Y$7/$C$9)))</f>
        <v/>
      </c>
      <c r="K55" s="88">
        <f>IF(ISNUMBER($E$10),0,MAX(0,INT('04_Annual_Calculations'!Z$5/$C$10)-INT('04_Annual_Calculations'!Y$5/$C$10)))</f>
        <v/>
      </c>
      <c r="L55" s="88">
        <f>IF(ISNUMBER($E$11),0,MAX(0,INT('04_Annual_Calculations'!Z$5/$C$11)-INT('04_Annual_Calculations'!Y$5/$C$11)))</f>
        <v/>
      </c>
      <c r="M55" s="88">
        <f>IF(ISNUMBER($E$12),0,MAX(0,INT('04_Annual_Calculations'!Z$7/$C$12)-INT('04_Annual_Calculations'!Y$7/$C$12)))</f>
        <v/>
      </c>
      <c r="N55" s="88">
        <f>IF(ISNUMBER($E$13),0,MAX(0,INT('04_Annual_Calculations'!Z$5/$C$13)-INT('04_Annual_Calculations'!Y$5/$C$13)))</f>
        <v/>
      </c>
    </row>
    <row r="56" ht="15" customHeight="1" s="106">
      <c r="A56" s="23" t="inlineStr">
        <is>
          <t>Y26</t>
        </is>
      </c>
      <c r="B56" s="14">
        <f>(I56*$D$8+J56*$D$9+K56*$D$10+L56*$D$11+M56*$D$12+N56*$D$13)*((1+'00_Inputs_Dashboard'!$B$24)^(26-1))</f>
        <v/>
      </c>
      <c r="C56" s="14">
        <f>(E56*$D$4+F56*$D$5+G56*$D$6+H56*$D$7)*((1+'00_Inputs_Dashboard'!$B$24)^(26-1))</f>
        <v/>
      </c>
      <c r="E56" s="88">
        <f>IF(ISNUMBER($E$4),0,MAX(0,INT('04_Annual_Calculations'!AA$7/$C$4)-INT('04_Annual_Calculations'!Z$7/$C$4)))</f>
        <v/>
      </c>
      <c r="F56" s="88">
        <f>IF(ISNUMBER($E$5),0,MAX(0,INT('04_Annual_Calculations'!AA$7/$C$5)-INT('04_Annual_Calculations'!Z$7/$C$5)))</f>
        <v/>
      </c>
      <c r="G56" s="88">
        <f>IF(ISNUMBER($E$6),0,MAX(0,INT('04_Annual_Calculations'!AA$7/$C$6)-INT('04_Annual_Calculations'!Z$7/$C$6)))</f>
        <v/>
      </c>
      <c r="H56" s="88">
        <f>IF(ISNUMBER($E$7),0,MAX(0,INT('04_Annual_Calculations'!AA$5/$C$7)-INT('04_Annual_Calculations'!Z$5/$C$7)))</f>
        <v/>
      </c>
      <c r="I56" s="88">
        <f>IF(ISNUMBER($E$8),0,MAX(0,INT('04_Annual_Calculations'!AA$7/$C$8)-INT('04_Annual_Calculations'!Z$7/$C$8)))</f>
        <v/>
      </c>
      <c r="J56" s="88">
        <f>IF(ISNUMBER($E$9),0,MAX(0,INT('04_Annual_Calculations'!AA$7/$C$9)-INT('04_Annual_Calculations'!Z$7/$C$9)))</f>
        <v/>
      </c>
      <c r="K56" s="88">
        <f>IF(ISNUMBER($E$10),0,MAX(0,INT('04_Annual_Calculations'!AA$5/$C$10)-INT('04_Annual_Calculations'!Z$5/$C$10)))</f>
        <v/>
      </c>
      <c r="L56" s="88">
        <f>IF(ISNUMBER($E$11),0,MAX(0,INT('04_Annual_Calculations'!AA$5/$C$11)-INT('04_Annual_Calculations'!Z$5/$C$11)))</f>
        <v/>
      </c>
      <c r="M56" s="88">
        <f>IF(ISNUMBER($E$12),0,MAX(0,INT('04_Annual_Calculations'!AA$7/$C$12)-INT('04_Annual_Calculations'!Z$7/$C$12)))</f>
        <v/>
      </c>
      <c r="N56" s="88">
        <f>IF(ISNUMBER($E$13),0,MAX(0,INT('04_Annual_Calculations'!AA$5/$C$13)-INT('04_Annual_Calculations'!Z$5/$C$13)))</f>
        <v/>
      </c>
    </row>
    <row r="57" ht="15" customHeight="1" s="106">
      <c r="A57" s="23" t="inlineStr">
        <is>
          <t>Y27</t>
        </is>
      </c>
      <c r="B57" s="14">
        <f>(I57*$D$8+J57*$D$9+K57*$D$10+L57*$D$11+M57*$D$12+N57*$D$13)*((1+'00_Inputs_Dashboard'!$B$24)^(27-1))</f>
        <v/>
      </c>
      <c r="C57" s="14">
        <f>(E57*$D$4+F57*$D$5+G57*$D$6+H57*$D$7)*((1+'00_Inputs_Dashboard'!$B$24)^(27-1))</f>
        <v/>
      </c>
      <c r="E57" s="88">
        <f>IF(ISNUMBER($E$4),0,MAX(0,INT('04_Annual_Calculations'!AB$7/$C$4)-INT('04_Annual_Calculations'!AA$7/$C$4)))</f>
        <v/>
      </c>
      <c r="F57" s="88">
        <f>IF(ISNUMBER($E$5),0,MAX(0,INT('04_Annual_Calculations'!AB$7/$C$5)-INT('04_Annual_Calculations'!AA$7/$C$5)))</f>
        <v/>
      </c>
      <c r="G57" s="88">
        <f>IF(ISNUMBER($E$6),0,MAX(0,INT('04_Annual_Calculations'!AB$7/$C$6)-INT('04_Annual_Calculations'!AA$7/$C$6)))</f>
        <v/>
      </c>
      <c r="H57" s="88">
        <f>IF(ISNUMBER($E$7),0,MAX(0,INT('04_Annual_Calculations'!AB$5/$C$7)-INT('04_Annual_Calculations'!AA$5/$C$7)))</f>
        <v/>
      </c>
      <c r="I57" s="88">
        <f>IF(ISNUMBER($E$8),0,MAX(0,INT('04_Annual_Calculations'!AB$7/$C$8)-INT('04_Annual_Calculations'!AA$7/$C$8)))</f>
        <v/>
      </c>
      <c r="J57" s="88">
        <f>IF(ISNUMBER($E$9),0,MAX(0,INT('04_Annual_Calculations'!AB$7/$C$9)-INT('04_Annual_Calculations'!AA$7/$C$9)))</f>
        <v/>
      </c>
      <c r="K57" s="88">
        <f>IF(ISNUMBER($E$10),0,MAX(0,INT('04_Annual_Calculations'!AB$5/$C$10)-INT('04_Annual_Calculations'!AA$5/$C$10)))</f>
        <v/>
      </c>
      <c r="L57" s="88">
        <f>IF(ISNUMBER($E$11),0,MAX(0,INT('04_Annual_Calculations'!AB$5/$C$11)-INT('04_Annual_Calculations'!AA$5/$C$11)))</f>
        <v/>
      </c>
      <c r="M57" s="88">
        <f>IF(ISNUMBER($E$12),0,MAX(0,INT('04_Annual_Calculations'!AB$7/$C$12)-INT('04_Annual_Calculations'!AA$7/$C$12)))</f>
        <v/>
      </c>
      <c r="N57" s="88">
        <f>IF(ISNUMBER($E$13),0,MAX(0,INT('04_Annual_Calculations'!AB$5/$C$13)-INT('04_Annual_Calculations'!AA$5/$C$13)))</f>
        <v/>
      </c>
    </row>
    <row r="58" ht="15" customHeight="1" s="106">
      <c r="A58" s="23" t="inlineStr">
        <is>
          <t>Y28</t>
        </is>
      </c>
      <c r="B58" s="14">
        <f>(I58*$D$8+J58*$D$9+K58*$D$10+L58*$D$11+M58*$D$12+N58*$D$13)*((1+'00_Inputs_Dashboard'!$B$24)^(28-1))</f>
        <v/>
      </c>
      <c r="C58" s="14">
        <f>(E58*$D$4+F58*$D$5+G58*$D$6+H58*$D$7)*((1+'00_Inputs_Dashboard'!$B$24)^(28-1))</f>
        <v/>
      </c>
      <c r="E58" s="88">
        <f>IF(ISNUMBER($E$4),0,MAX(0,INT('04_Annual_Calculations'!AC$7/$C$4)-INT('04_Annual_Calculations'!AB$7/$C$4)))</f>
        <v/>
      </c>
      <c r="F58" s="88">
        <f>IF(ISNUMBER($E$5),0,MAX(0,INT('04_Annual_Calculations'!AC$7/$C$5)-INT('04_Annual_Calculations'!AB$7/$C$5)))</f>
        <v/>
      </c>
      <c r="G58" s="88">
        <f>IF(ISNUMBER($E$6),0,MAX(0,INT('04_Annual_Calculations'!AC$7/$C$6)-INT('04_Annual_Calculations'!AB$7/$C$6)))</f>
        <v/>
      </c>
      <c r="H58" s="88">
        <f>IF(ISNUMBER($E$7),0,MAX(0,INT('04_Annual_Calculations'!AC$5/$C$7)-INT('04_Annual_Calculations'!AB$5/$C$7)))</f>
        <v/>
      </c>
      <c r="I58" s="88">
        <f>IF(ISNUMBER($E$8),0,MAX(0,INT('04_Annual_Calculations'!AC$7/$C$8)-INT('04_Annual_Calculations'!AB$7/$C$8)))</f>
        <v/>
      </c>
      <c r="J58" s="88">
        <f>IF(ISNUMBER($E$9),0,MAX(0,INT('04_Annual_Calculations'!AC$7/$C$9)-INT('04_Annual_Calculations'!AB$7/$C$9)))</f>
        <v/>
      </c>
      <c r="K58" s="88">
        <f>IF(ISNUMBER($E$10),0,MAX(0,INT('04_Annual_Calculations'!AC$5/$C$10)-INT('04_Annual_Calculations'!AB$5/$C$10)))</f>
        <v/>
      </c>
      <c r="L58" s="88">
        <f>IF(ISNUMBER($E$11),0,MAX(0,INT('04_Annual_Calculations'!AC$5/$C$11)-INT('04_Annual_Calculations'!AB$5/$C$11)))</f>
        <v/>
      </c>
      <c r="M58" s="88">
        <f>IF(ISNUMBER($E$12),0,MAX(0,INT('04_Annual_Calculations'!AC$7/$C$12)-INT('04_Annual_Calculations'!AB$7/$C$12)))</f>
        <v/>
      </c>
      <c r="N58" s="88">
        <f>IF(ISNUMBER($E$13),0,MAX(0,INT('04_Annual_Calculations'!AC$5/$C$13)-INT('04_Annual_Calculations'!AB$5/$C$13)))</f>
        <v/>
      </c>
    </row>
    <row r="59" ht="15" customHeight="1" s="106">
      <c r="A59" s="23" t="inlineStr">
        <is>
          <t>Y29</t>
        </is>
      </c>
      <c r="B59" s="14">
        <f>(I59*$D$8+J59*$D$9+K59*$D$10+L59*$D$11+M59*$D$12+N59*$D$13)*((1+'00_Inputs_Dashboard'!$B$24)^(29-1))</f>
        <v/>
      </c>
      <c r="C59" s="14">
        <f>(E59*$D$4+F59*$D$5+G59*$D$6+H59*$D$7)*((1+'00_Inputs_Dashboard'!$B$24)^(29-1))</f>
        <v/>
      </c>
      <c r="E59" s="88">
        <f>IF(ISNUMBER($E$4),0,MAX(0,INT('04_Annual_Calculations'!AD$7/$C$4)-INT('04_Annual_Calculations'!AC$7/$C$4)))</f>
        <v/>
      </c>
      <c r="F59" s="88">
        <f>IF(ISNUMBER($E$5),0,MAX(0,INT('04_Annual_Calculations'!AD$7/$C$5)-INT('04_Annual_Calculations'!AC$7/$C$5)))</f>
        <v/>
      </c>
      <c r="G59" s="88">
        <f>IF(ISNUMBER($E$6),0,MAX(0,INT('04_Annual_Calculations'!AD$7/$C$6)-INT('04_Annual_Calculations'!AC$7/$C$6)))</f>
        <v/>
      </c>
      <c r="H59" s="88">
        <f>IF(ISNUMBER($E$7),0,MAX(0,INT('04_Annual_Calculations'!AD$5/$C$7)-INT('04_Annual_Calculations'!AC$5/$C$7)))</f>
        <v/>
      </c>
      <c r="I59" s="88">
        <f>IF(ISNUMBER($E$8),0,MAX(0,INT('04_Annual_Calculations'!AD$7/$C$8)-INT('04_Annual_Calculations'!AC$7/$C$8)))</f>
        <v/>
      </c>
      <c r="J59" s="88">
        <f>IF(ISNUMBER($E$9),0,MAX(0,INT('04_Annual_Calculations'!AD$7/$C$9)-INT('04_Annual_Calculations'!AC$7/$C$9)))</f>
        <v/>
      </c>
      <c r="K59" s="88">
        <f>IF(ISNUMBER($E$10),0,MAX(0,INT('04_Annual_Calculations'!AD$5/$C$10)-INT('04_Annual_Calculations'!AC$5/$C$10)))</f>
        <v/>
      </c>
      <c r="L59" s="88">
        <f>IF(ISNUMBER($E$11),0,MAX(0,INT('04_Annual_Calculations'!AD$5/$C$11)-INT('04_Annual_Calculations'!AC$5/$C$11)))</f>
        <v/>
      </c>
      <c r="M59" s="88">
        <f>IF(ISNUMBER($E$12),0,MAX(0,INT('04_Annual_Calculations'!AD$7/$C$12)-INT('04_Annual_Calculations'!AC$7/$C$12)))</f>
        <v/>
      </c>
      <c r="N59" s="88">
        <f>IF(ISNUMBER($E$13),0,MAX(0,INT('04_Annual_Calculations'!AD$5/$C$13)-INT('04_Annual_Calculations'!AC$5/$C$13)))</f>
        <v/>
      </c>
    </row>
    <row r="60" ht="15" customHeight="1" s="106">
      <c r="A60" s="23" t="inlineStr">
        <is>
          <t>Y30</t>
        </is>
      </c>
      <c r="B60" s="14">
        <f>(I60*$D$8+J60*$D$9+K60*$D$10+L60*$D$11+M60*$D$12+N60*$D$13)*((1+'00_Inputs_Dashboard'!$B$24)^(30-1))</f>
        <v/>
      </c>
      <c r="C60" s="14">
        <f>(E60*$D$4+F60*$D$5+G60*$D$6+H60*$D$7)*((1+'00_Inputs_Dashboard'!$B$24)^(30-1))</f>
        <v/>
      </c>
      <c r="E60" s="88">
        <f>IF(ISNUMBER($E$4),0,MAX(0,INT('04_Annual_Calculations'!AE$7/$C$4)-INT('04_Annual_Calculations'!AD$7/$C$4)))</f>
        <v/>
      </c>
      <c r="F60" s="88">
        <f>IF(ISNUMBER($E$5),0,MAX(0,INT('04_Annual_Calculations'!AE$7/$C$5)-INT('04_Annual_Calculations'!AD$7/$C$5)))</f>
        <v/>
      </c>
      <c r="G60" s="88">
        <f>IF(ISNUMBER($E$6),0,MAX(0,INT('04_Annual_Calculations'!AE$7/$C$6)-INT('04_Annual_Calculations'!AD$7/$C$6)))</f>
        <v/>
      </c>
      <c r="H60" s="88">
        <f>IF(ISNUMBER($E$7),0,MAX(0,INT('04_Annual_Calculations'!AE$5/$C$7)-INT('04_Annual_Calculations'!AD$5/$C$7)))</f>
        <v/>
      </c>
      <c r="I60" s="88">
        <f>IF(ISNUMBER($E$8),0,MAX(0,INT('04_Annual_Calculations'!AE$7/$C$8)-INT('04_Annual_Calculations'!AD$7/$C$8)))</f>
        <v/>
      </c>
      <c r="J60" s="88">
        <f>IF(ISNUMBER($E$9),0,MAX(0,INT('04_Annual_Calculations'!AE$7/$C$9)-INT('04_Annual_Calculations'!AD$7/$C$9)))</f>
        <v/>
      </c>
      <c r="K60" s="88">
        <f>IF(ISNUMBER($E$10),0,MAX(0,INT('04_Annual_Calculations'!AE$5/$C$10)-INT('04_Annual_Calculations'!AD$5/$C$10)))</f>
        <v/>
      </c>
      <c r="L60" s="88">
        <f>IF(ISNUMBER($E$11),0,MAX(0,INT('04_Annual_Calculations'!AE$5/$C$11)-INT('04_Annual_Calculations'!AD$5/$C$11)))</f>
        <v/>
      </c>
      <c r="M60" s="88">
        <f>IF(ISNUMBER($E$12),0,MAX(0,INT('04_Annual_Calculations'!AE$7/$C$12)-INT('04_Annual_Calculations'!AD$7/$C$12)))</f>
        <v/>
      </c>
      <c r="N60" s="88">
        <f>IF(ISNUMBER($E$13),0,MAX(0,INT('04_Annual_Calculations'!AE$5/$C$13)-INT('04_Annual_Calculations'!AD$5/$C$13)))</f>
        <v/>
      </c>
    </row>
  </sheetData>
  <mergeCells count="1">
    <mergeCell ref="A1:J1"/>
  </mergeCells>
  <pageMargins left="0.7" right="0.7" top="0.75" bottom="0.75"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F4B6C2"/>
    <outlinePr summaryBelow="1" summaryRight="1"/>
    <pageSetUpPr/>
  </sheetPr>
  <dimension ref="A1:G58"/>
  <sheetViews>
    <sheetView topLeftCell="A21" zoomScaleNormal="100" workbookViewId="0">
      <selection activeCell="F44" sqref="F44"/>
    </sheetView>
  </sheetViews>
  <sheetFormatPr baseColWidth="8" defaultColWidth="8.6640625" defaultRowHeight="13.2"/>
  <cols>
    <col width="32" customWidth="1" style="106" min="1" max="1"/>
    <col width="14" customWidth="1" style="106" min="2" max="2"/>
    <col width="12" customWidth="1" style="106" min="3" max="3"/>
    <col width="14" customWidth="1" style="106" min="4" max="4"/>
    <col width="10.88671875" customWidth="1" style="106" min="5" max="5"/>
    <col width="24" customWidth="1" style="106" min="6" max="6"/>
    <col width="15" customWidth="1" style="106" min="7" max="7"/>
  </cols>
  <sheetData>
    <row r="1" ht="21.75" customHeight="1" s="106">
      <c r="A1" s="109" t="inlineStr">
        <is>
          <t>Output Dashboard</t>
        </is>
      </c>
    </row>
    <row r="3" ht="15" customHeight="1" s="106">
      <c r="A3" s="112" t="inlineStr">
        <is>
          <t>Scenario Summary</t>
        </is>
      </c>
    </row>
    <row r="4" ht="15" customHeight="1" s="106">
      <c r="A4" s="23" t="inlineStr">
        <is>
          <t>City share</t>
        </is>
      </c>
      <c r="B4" s="89">
        <f>'00_Inputs_Dashboard'!$B$5</f>
        <v/>
      </c>
    </row>
    <row r="5" ht="15" customHeight="1" s="106">
      <c r="A5" s="23" t="inlineStr">
        <is>
          <t>EDC retention (subject to City Attorney)</t>
        </is>
      </c>
      <c r="B5" s="89">
        <f>'00_Inputs_Dashboard'!$B$6</f>
        <v/>
      </c>
    </row>
    <row r="6" ht="15" customHeight="1" s="106">
      <c r="A6" s="23" t="inlineStr">
        <is>
          <t>ESD share</t>
        </is>
      </c>
      <c r="B6" s="89">
        <f>'00_Inputs_Dashboard'!$B$7</f>
        <v/>
      </c>
    </row>
    <row r="7" ht="15" customHeight="1" s="106">
      <c r="A7" s="23" t="inlineStr">
        <is>
          <t>Pool rate</t>
        </is>
      </c>
      <c r="B7" s="90">
        <f>'00_Inputs_Dashboard'!$B$20</f>
        <v/>
      </c>
    </row>
    <row r="8" ht="15" customHeight="1" s="106">
      <c r="A8" s="23" t="inlineStr">
        <is>
          <t>Population CAGR</t>
        </is>
      </c>
      <c r="B8" s="90">
        <f>'00_Inputs_Dashboard'!$B$12</f>
        <v/>
      </c>
    </row>
    <row r="9" ht="15" customHeight="1" s="106">
      <c r="A9" s="23" t="inlineStr">
        <is>
          <t>Sales tax pool CAGR</t>
        </is>
      </c>
      <c r="B9" s="90">
        <f>'00_Inputs_Dashboard'!$B$14</f>
        <v/>
      </c>
    </row>
    <row r="10" ht="15" customHeight="1" s="106">
      <c r="A10" s="23" t="inlineStr">
        <is>
          <t>AV growth CAGR</t>
        </is>
      </c>
      <c r="B10" s="90">
        <f>'00_Inputs_Dashboard'!$B$15</f>
        <v/>
      </c>
    </row>
    <row r="11" ht="15" customHeight="1" s="106">
      <c r="A11" s="23" t="inlineStr">
        <is>
          <t>Capture rate</t>
        </is>
      </c>
      <c r="B11" s="89">
        <f>'00_Inputs_Dashboard'!$B$16</f>
        <v/>
      </c>
    </row>
    <row r="12" ht="15" customHeight="1" s="106">
      <c r="A12" s="23" t="inlineStr">
        <is>
          <t>Online use-tax included?</t>
        </is>
      </c>
      <c r="B12" s="91">
        <f>'00_Inputs_Dashboard'!$B$38</f>
        <v/>
      </c>
    </row>
    <row r="14" ht="15" customHeight="1" s="106">
      <c r="A14" s="112" t="inlineStr">
        <is>
          <t>NET Positions by Horizon (City / ESD / Combined)</t>
        </is>
      </c>
    </row>
    <row r="15" ht="15" customHeight="1" s="106">
      <c r="A15" s="77" t="n"/>
      <c r="B15" s="77" t="inlineStr">
        <is>
          <t>5-Year</t>
        </is>
      </c>
      <c r="C15" s="77" t="inlineStr">
        <is>
          <t>10-Year</t>
        </is>
      </c>
      <c r="D15" s="77" t="inlineStr">
        <is>
          <t>15-Year</t>
        </is>
      </c>
      <c r="E15" s="77" t="inlineStr">
        <is>
          <t>20-Year</t>
        </is>
      </c>
      <c r="F15" s="77" t="inlineStr">
        <is>
          <t>30-Year</t>
        </is>
      </c>
    </row>
    <row r="16" ht="15" customHeight="1" s="106">
      <c r="A16" s="23" t="inlineStr">
        <is>
          <t>City NET</t>
        </is>
      </c>
      <c r="B16" s="14">
        <f>'03_Multi_Horizon_Results'!B29</f>
        <v/>
      </c>
      <c r="C16" s="14">
        <f>'03_Multi_Horizon_Results'!C29</f>
        <v/>
      </c>
      <c r="D16" s="14">
        <f>'03_Multi_Horizon_Results'!D29</f>
        <v/>
      </c>
      <c r="E16" s="14">
        <f>'03_Multi_Horizon_Results'!E29</f>
        <v/>
      </c>
      <c r="F16" s="14">
        <f>'03_Multi_Horizon_Results'!F29</f>
        <v/>
      </c>
    </row>
    <row r="17" ht="15" customHeight="1" s="106">
      <c r="A17" s="23" t="inlineStr">
        <is>
          <t>ESD NET</t>
        </is>
      </c>
      <c r="B17" s="14">
        <f>'03_Multi_Horizon_Results'!B30</f>
        <v/>
      </c>
      <c r="C17" s="14">
        <f>'03_Multi_Horizon_Results'!C30</f>
        <v/>
      </c>
      <c r="D17" s="14">
        <f>'03_Multi_Horizon_Results'!D30</f>
        <v/>
      </c>
      <c r="E17" s="14">
        <f>'03_Multi_Horizon_Results'!E30</f>
        <v/>
      </c>
      <c r="F17" s="14">
        <f>'03_Multi_Horizon_Results'!F30</f>
        <v/>
      </c>
    </row>
    <row r="18" ht="15" customHeight="1" s="106">
      <c r="A18" s="23" t="inlineStr">
        <is>
          <t>Combined NET</t>
        </is>
      </c>
      <c r="B18" s="14">
        <f>'03_Multi_Horizon_Results'!B31</f>
        <v/>
      </c>
      <c r="C18" s="14">
        <f>'03_Multi_Horizon_Results'!C31</f>
        <v/>
      </c>
      <c r="D18" s="14">
        <f>'03_Multi_Horizon_Results'!D31</f>
        <v/>
      </c>
      <c r="E18" s="14">
        <f>'03_Multi_Horizon_Results'!E31</f>
        <v/>
      </c>
      <c r="F18" s="14">
        <f>'03_Multi_Horizon_Results'!F31</f>
        <v/>
      </c>
    </row>
    <row r="19" ht="15" customHeight="1" s="106">
      <c r="A19" s="23" t="inlineStr">
        <is>
          <t>Pool multiple required for City break-even</t>
        </is>
      </c>
      <c r="B19" s="92">
        <f>'03_Multi_Horizon_Results'!B32</f>
        <v/>
      </c>
      <c r="C19" s="92">
        <f>'03_Multi_Horizon_Results'!C32</f>
        <v/>
      </c>
      <c r="D19" s="92">
        <f>'03_Multi_Horizon_Results'!D32</f>
        <v/>
      </c>
      <c r="E19" s="92">
        <f>'03_Multi_Horizon_Results'!E32</f>
        <v/>
      </c>
      <c r="F19" s="92">
        <f>'03_Multi_Horizon_Results'!F32</f>
        <v/>
      </c>
    </row>
    <row r="20" ht="15" customHeight="1" s="106">
      <c r="A20" s="23" t="inlineStr">
        <is>
          <t>Sales-tax pool (cum)</t>
        </is>
      </c>
      <c r="B20" s="14">
        <f>'03_Multi_Horizon_Results'!B15</f>
        <v/>
      </c>
      <c r="C20" s="14">
        <f>'03_Multi_Horizon_Results'!C15</f>
        <v/>
      </c>
      <c r="D20" s="14">
        <f>'03_Multi_Horizon_Results'!D15</f>
        <v/>
      </c>
      <c r="E20" s="14">
        <f>'03_Multi_Horizon_Results'!E15</f>
        <v/>
      </c>
      <c r="F20" s="14">
        <f>'03_Multi_Horizon_Results'!F15</f>
        <v/>
      </c>
    </row>
    <row r="21" ht="15" customHeight="1" s="106">
      <c r="A21" s="23" t="inlineStr">
        <is>
          <t>City property tax (cum)</t>
        </is>
      </c>
      <c r="B21" s="14">
        <f>'03_Multi_Horizon_Results'!B20</f>
        <v/>
      </c>
      <c r="C21" s="14">
        <f>'03_Multi_Horizon_Results'!C20</f>
        <v/>
      </c>
      <c r="D21" s="14">
        <f>'03_Multi_Horizon_Results'!D20</f>
        <v/>
      </c>
      <c r="E21" s="14">
        <f>'03_Multi_Horizon_Results'!E20</f>
        <v/>
      </c>
      <c r="F21" s="14">
        <f>'03_Multi_Horizon_Results'!F20</f>
        <v/>
      </c>
    </row>
    <row r="22" ht="15" customHeight="1" s="106">
      <c r="A22" s="23" t="inlineStr">
        <is>
          <t>ESD property tax (cum)</t>
        </is>
      </c>
      <c r="B22" s="14">
        <f>'03_Multi_Horizon_Results'!B21</f>
        <v/>
      </c>
      <c r="C22" s="14">
        <f>'03_Multi_Horizon_Results'!C21</f>
        <v/>
      </c>
      <c r="D22" s="14">
        <f>'03_Multi_Horizon_Results'!D21</f>
        <v/>
      </c>
      <c r="E22" s="14">
        <f>'03_Multi_Horizon_Results'!E21</f>
        <v/>
      </c>
      <c r="F22" s="14">
        <f>'03_Multi_Horizon_Results'!F21</f>
        <v/>
      </c>
    </row>
    <row r="23" ht="15" customHeight="1" s="106">
      <c r="A23" s="23" t="inlineStr">
        <is>
          <t>Impact fees (cum)</t>
        </is>
      </c>
      <c r="B23" s="14">
        <f>'03_Multi_Horizon_Results'!B22</f>
        <v/>
      </c>
      <c r="C23" s="14">
        <f>'03_Multi_Horizon_Results'!C22</f>
        <v/>
      </c>
      <c r="D23" s="14">
        <f>'03_Multi_Horizon_Results'!D22</f>
        <v/>
      </c>
      <c r="E23" s="14">
        <f>'03_Multi_Horizon_Results'!E22</f>
        <v/>
      </c>
      <c r="F23" s="14">
        <f>'03_Multi_Horizon_Results'!F22</f>
        <v/>
      </c>
    </row>
    <row r="26" ht="15" customHeight="1" s="106">
      <c r="A26" s="112" t="inlineStr">
        <is>
          <t>Warning Flags</t>
        </is>
      </c>
    </row>
    <row r="27" ht="15" customHeight="1" s="106">
      <c r="A27" s="23" t="inlineStr">
        <is>
          <t>Tax split sums to 100%?</t>
        </is>
      </c>
      <c r="B27" s="74">
        <f>IF(ABS('00_Inputs_Dashboard'!$B$5+'00_Inputs_Dashboard'!$B$7-1)&lt;0.001,"✓ OK","❌ Off")</f>
        <v/>
      </c>
    </row>
    <row r="28" ht="15" customHeight="1" s="106">
      <c r="A28" s="23" t="inlineStr">
        <is>
          <t>Pool rate within 1.5% normal?</t>
        </is>
      </c>
      <c r="B28" s="74">
        <f>IF('00_Inputs_Dashboard'!$B$20&lt;=0.015,"✓ Normal",IF('00_Inputs_Dashboard'!$B$20&lt;=0.02,"⚠ Stress","❌ Exceeds 2.0%"))</f>
        <v/>
      </c>
    </row>
    <row r="29" ht="15" customHeight="1" s="106">
      <c r="A29" s="23" t="inlineStr">
        <is>
          <t>EDC 0% retention legally confirmed?</t>
        </is>
      </c>
      <c r="B29" s="74">
        <f>"⚠ MODELING ASSUMPTION — Subject to City Attorney"</f>
        <v/>
      </c>
    </row>
    <row r="30" ht="15" customHeight="1" s="106">
      <c r="A30" s="23" t="inlineStr">
        <is>
          <t>City 10-yr NET &gt; 0?</t>
        </is>
      </c>
      <c r="B30" s="74">
        <f>IF('03_Multi_Horizon_Results'!C29&gt;0,"✓ Positive","❌ Negative")</f>
        <v/>
      </c>
    </row>
    <row r="31" ht="15" customHeight="1" s="106">
      <c r="A31" s="23" t="inlineStr">
        <is>
          <t>ESD 10-yr NET &gt; 0?</t>
        </is>
      </c>
      <c r="B31" s="74">
        <f>IF('03_Multi_Horizon_Results'!C30&gt;0,"✓ Positive","❌ Negative")</f>
        <v/>
      </c>
    </row>
    <row r="32" ht="15" customHeight="1" s="106">
      <c r="A32" s="23" t="inlineStr">
        <is>
          <t>Combined 10-yr NET &gt; 0?</t>
        </is>
      </c>
      <c r="B32" s="74">
        <f>IF('03_Multi_Horizon_Results'!C31&gt;0,"✓ Positive","❌ Negative")</f>
        <v/>
      </c>
    </row>
    <row r="33" ht="15" customHeight="1" s="106">
      <c r="A33" s="23" t="inlineStr">
        <is>
          <t>Manual overrides in use (Scenario Builder)?</t>
        </is>
      </c>
      <c r="B33" s="74">
        <f>IF(SUMPRODUCT(--(Scenarios!$C$3:$C$27=TRUE()),--(((Scenarios!$H$3:$H$27&lt;&gt;"")+(Scenarios!$O$3:$O$27&lt;&gt;"")+(Scenarios!$R$3:$R$27&lt;&gt;"")+(Scenarios!$Y$3:$Y$27&lt;&gt;"")+(Scenarios!$AA$3:$AA$27&lt;&gt;"")+(Scenarios!$AB$3:$AB$27&lt;&gt;""))&gt;0))&gt;0,"⚠ Active manual overrides","✓ No active overrides")</f>
        <v/>
      </c>
    </row>
    <row r="34" ht="15" customHeight="1" s="106">
      <c r="A34" s="23" t="inlineStr">
        <is>
          <t>Capital triggers manually overridden?</t>
        </is>
      </c>
      <c r="B34" s="74">
        <f>IF(COUNTIF('05_Capital_Triggers'!E4:E13,"&lt;&gt;")&gt;0,"⚠ Active","✓ All auto")</f>
        <v/>
      </c>
    </row>
    <row r="35" ht="15" customHeight="1" s="106">
      <c r="A35" s="23" t="inlineStr">
        <is>
          <t>Online use-tax revenue active?</t>
        </is>
      </c>
      <c r="B35" s="74">
        <f>IF('00_Inputs_Dashboard'!$B$38=1,"⚠ Online line included","✓ Off")</f>
        <v/>
      </c>
    </row>
    <row r="36" ht="15" customHeight="1" s="106">
      <c r="A36" s="23" t="inlineStr">
        <is>
          <t>Hotel modeled? (HOT separate from ILA pool)</t>
        </is>
      </c>
      <c r="B36" s="74">
        <f>IF(SUMPRODUCT(--(Scenarios!$C$3:$C$27=TRUE()),--(Scenarios!$E$3:$E$27="rooms"))&gt;0,"⚠ Hotel project active — HOT separate from ILA pool","✓ None")</f>
        <v/>
      </c>
    </row>
    <row r="37" ht="15" customHeight="1" s="106">
      <c r="A37" s="23" t="inlineStr">
        <is>
          <t>Formula errors on Annual Calc?</t>
        </is>
      </c>
      <c r="B37" s="74">
        <f>IF(SUMPRODUCT(--ISERROR('04_Annual_Calculations'!B3:AE40))=0,"✓ Clean","❌ ERRORS")</f>
        <v/>
      </c>
    </row>
    <row r="38" ht="15" customHeight="1" s="106">
      <c r="A38" s="23" t="inlineStr">
        <is>
          <t>Formula errors on Multi-Horizon?</t>
        </is>
      </c>
      <c r="B38" s="74">
        <f>IF(SUMPRODUCT(--ISERROR('03_Multi_Horizon_Results'!B3:F40))=0,"✓ Clean","❌ ERRORS")</f>
        <v/>
      </c>
    </row>
    <row r="39" ht="15" customHeight="1" s="106">
      <c r="A39" s="23" t="inlineStr">
        <is>
          <t>Reserve basis includes capital?</t>
        </is>
      </c>
      <c r="B39" s="74" t="inlineStr">
        <is>
          <t>Yes — Opex + Capital × %; infrastructure rows only included when explicitly linked</t>
        </is>
      </c>
    </row>
    <row r="41" ht="15" customHeight="1" s="106">
      <c r="A41" s="114" t="inlineStr">
        <is>
          <t>Infrastructure Takeoff — selected 10-year physical quantities (informational)</t>
        </is>
      </c>
    </row>
    <row r="42" ht="14.25" customHeight="1" s="106">
      <c r="A42" s="93" t="inlineStr">
        <is>
          <t>Item</t>
        </is>
      </c>
      <c r="B42" s="93" t="inlineStr">
        <is>
          <t>10-year Qty</t>
        </is>
      </c>
      <c r="C42" s="93" t="inlineStr">
        <is>
          <t>Unit</t>
        </is>
      </c>
      <c r="D42" s="93" t="inlineStr">
        <is>
          <t>10-year Cost</t>
        </is>
      </c>
      <c r="E42" s="93" t="inlineStr">
        <is>
          <t>Entity</t>
        </is>
      </c>
      <c r="F42" s="93" t="inlineStr">
        <is>
          <t>Note</t>
        </is>
      </c>
    </row>
    <row r="43" ht="14.25" customHeight="1" s="106">
      <c r="A43" s="12">
        <f>Capital_Items!A5</f>
        <v/>
      </c>
      <c r="B43" s="94">
        <f>Capital_Items!L5</f>
        <v/>
      </c>
      <c r="C43" s="12">
        <f>Capital_Items!D5</f>
        <v/>
      </c>
      <c r="D43" s="13">
        <f>Capital_Items!P5</f>
        <v/>
      </c>
      <c r="E43" s="12">
        <f>Capital_Items!B5</f>
        <v/>
      </c>
      <c r="F43" s="12">
        <f>Capital_Items!R5</f>
        <v/>
      </c>
    </row>
    <row r="44" ht="14.25" customHeight="1" s="106">
      <c r="A44" s="12">
        <f>Capital_Items!A8</f>
        <v/>
      </c>
      <c r="B44" s="94">
        <f>Capital_Items!L8</f>
        <v/>
      </c>
      <c r="C44" s="12">
        <f>Capital_Items!D8</f>
        <v/>
      </c>
      <c r="D44" s="13">
        <f>Capital_Items!P8</f>
        <v/>
      </c>
      <c r="E44" s="12">
        <f>Capital_Items!B8</f>
        <v/>
      </c>
      <c r="F44" s="12">
        <f>Capital_Items!R8</f>
        <v/>
      </c>
    </row>
    <row r="45" ht="14.25" customHeight="1" s="106">
      <c r="A45" s="12">
        <f>Capital_Items!A13</f>
        <v/>
      </c>
      <c r="B45" s="94">
        <f>Capital_Items!L13</f>
        <v/>
      </c>
      <c r="C45" s="12">
        <f>Capital_Items!D13</f>
        <v/>
      </c>
      <c r="D45" s="13">
        <f>Capital_Items!P13</f>
        <v/>
      </c>
      <c r="E45" s="12">
        <f>Capital_Items!B13</f>
        <v/>
      </c>
      <c r="F45" s="12">
        <f>Capital_Items!R13</f>
        <v/>
      </c>
    </row>
    <row r="46" ht="14.25" customHeight="1" s="106">
      <c r="A46" s="12">
        <f>Capital_Items!A6</f>
        <v/>
      </c>
      <c r="B46" s="94">
        <f>Capital_Items!L6</f>
        <v/>
      </c>
      <c r="C46" s="12">
        <f>Capital_Items!D6</f>
        <v/>
      </c>
      <c r="D46" s="13">
        <f>Capital_Items!P6</f>
        <v/>
      </c>
      <c r="E46" s="12">
        <f>Capital_Items!B6</f>
        <v/>
      </c>
      <c r="F46" s="12">
        <f>Capital_Items!R6</f>
        <v/>
      </c>
    </row>
    <row r="47" ht="14.25" customHeight="1" s="106">
      <c r="A47" s="12">
        <f>Capital_Items!A19</f>
        <v/>
      </c>
      <c r="B47" s="94">
        <f>Capital_Items!L19</f>
        <v/>
      </c>
      <c r="C47" s="12">
        <f>Capital_Items!D19</f>
        <v/>
      </c>
      <c r="D47" s="13">
        <f>Capital_Items!P19</f>
        <v/>
      </c>
      <c r="E47" s="12">
        <f>Capital_Items!B19</f>
        <v/>
      </c>
      <c r="F47" s="12">
        <f>Capital_Items!R19</f>
        <v/>
      </c>
    </row>
    <row r="48" ht="14.25" customHeight="1" s="106">
      <c r="A48" s="12">
        <f>Capital_Items!A17</f>
        <v/>
      </c>
      <c r="B48" s="94">
        <f>Capital_Items!L17</f>
        <v/>
      </c>
      <c r="C48" s="12">
        <f>Capital_Items!D17</f>
        <v/>
      </c>
      <c r="D48" s="13">
        <f>Capital_Items!P17</f>
        <v/>
      </c>
      <c r="E48" s="12">
        <f>Capital_Items!B17</f>
        <v/>
      </c>
      <c r="F48" s="12">
        <f>Capital_Items!R17</f>
        <v/>
      </c>
    </row>
    <row r="49" ht="14.25" customHeight="1" s="106">
      <c r="A49" s="12">
        <f>Capital_Items!A21</f>
        <v/>
      </c>
      <c r="B49" s="94">
        <f>Capital_Items!L21</f>
        <v/>
      </c>
      <c r="C49" s="12">
        <f>Capital_Items!D21</f>
        <v/>
      </c>
      <c r="D49" s="13">
        <f>Capital_Items!P21</f>
        <v/>
      </c>
      <c r="E49" s="12">
        <f>Capital_Items!B21</f>
        <v/>
      </c>
      <c r="F49" s="12">
        <f>Capital_Items!R21</f>
        <v/>
      </c>
    </row>
    <row r="50" ht="14.25" customHeight="1" s="106">
      <c r="A50" s="12">
        <f>Capital_Items!A22</f>
        <v/>
      </c>
      <c r="B50" s="94">
        <f>Capital_Items!L22</f>
        <v/>
      </c>
      <c r="C50" s="12">
        <f>Capital_Items!D22</f>
        <v/>
      </c>
      <c r="D50" s="13">
        <f>Capital_Items!P22</f>
        <v/>
      </c>
      <c r="E50" s="12">
        <f>Capital_Items!B22</f>
        <v/>
      </c>
      <c r="F50" s="12">
        <f>Capital_Items!R22</f>
        <v/>
      </c>
    </row>
    <row r="51" ht="14.25" customHeight="1" s="106">
      <c r="A51" s="12">
        <f>Capital_Items!A27</f>
        <v/>
      </c>
      <c r="B51" s="94">
        <f>Capital_Items!L27</f>
        <v/>
      </c>
      <c r="C51" s="12">
        <f>Capital_Items!D27</f>
        <v/>
      </c>
      <c r="D51" s="13">
        <f>Capital_Items!P27</f>
        <v/>
      </c>
      <c r="E51" s="12">
        <f>Capital_Items!B27</f>
        <v/>
      </c>
      <c r="F51" s="12">
        <f>Capital_Items!R27</f>
        <v/>
      </c>
    </row>
    <row r="52" ht="14.25" customHeight="1" s="106">
      <c r="A52" s="12">
        <f>Capital_Items!A10</f>
        <v/>
      </c>
      <c r="B52" s="94">
        <f>Capital_Items!L10</f>
        <v/>
      </c>
      <c r="C52" s="12">
        <f>Capital_Items!D10</f>
        <v/>
      </c>
      <c r="D52" s="13">
        <f>Capital_Items!P10</f>
        <v/>
      </c>
      <c r="E52" s="12">
        <f>Capital_Items!B10</f>
        <v/>
      </c>
      <c r="F52" s="12">
        <f>Capital_Items!R10</f>
        <v/>
      </c>
    </row>
    <row r="55" ht="14.25" customHeight="1" s="106">
      <c r="A55" s="95" t="inlineStr">
        <is>
          <t>Infrastructure fiscal-net inclusion impact</t>
        </is>
      </c>
      <c r="B55" s="95" t="inlineStr">
        <is>
          <t>5-Year</t>
        </is>
      </c>
      <c r="C55" s="95" t="inlineStr">
        <is>
          <t>10-Year</t>
        </is>
      </c>
      <c r="D55" s="95" t="inlineStr">
        <is>
          <t>15-Year</t>
        </is>
      </c>
      <c r="E55" s="95" t="inlineStr">
        <is>
          <t>20-Year</t>
        </is>
      </c>
      <c r="F55" s="95" t="inlineStr">
        <is>
          <t>30-Year</t>
        </is>
      </c>
    </row>
    <row r="56" ht="14.25" customHeight="1" s="106">
      <c r="A56" s="14" t="inlineStr">
        <is>
          <t>Included City infrastructure costs</t>
        </is>
      </c>
      <c r="B56" s="14">
        <f>Capital_Items!X34</f>
        <v/>
      </c>
      <c r="C56" s="14">
        <f>Capital_Items!Y34</f>
        <v/>
      </c>
      <c r="D56" s="14">
        <f>Capital_Items!Z34</f>
        <v/>
      </c>
      <c r="E56" s="14">
        <f>Capital_Items!AA34</f>
        <v/>
      </c>
      <c r="F56" s="14">
        <f>Capital_Items!AB34</f>
        <v/>
      </c>
    </row>
    <row r="57" ht="14.25" customHeight="1" s="106">
      <c r="A57" s="14" t="inlineStr">
        <is>
          <t>Included ESD infrastructure costs</t>
        </is>
      </c>
      <c r="B57" s="14">
        <f>Capital_Items!AC35</f>
        <v/>
      </c>
      <c r="C57" s="14">
        <f>Capital_Items!AD35</f>
        <v/>
      </c>
      <c r="D57" s="14">
        <f>Capital_Items!AE35</f>
        <v/>
      </c>
      <c r="E57" s="14">
        <f>Capital_Items!AF35</f>
        <v/>
      </c>
      <c r="F57" s="14">
        <f>Capital_Items!AG35</f>
        <v/>
      </c>
    </row>
    <row r="58" ht="114.75" customHeight="1" s="106">
      <c r="A58" s="22" t="inlineStr">
        <is>
          <t>Note</t>
        </is>
      </c>
      <c r="B58" s="22" t="inlineStr">
        <is>
          <t>Only rows marked Include in Fiscal Net? = Yes on 11_Infrastructure_Takeoff flow into NET positions.</t>
        </is>
      </c>
      <c r="C58" s="22" t="n"/>
      <c r="D58" s="22" t="n"/>
      <c r="E58" s="22" t="n"/>
      <c r="F58" s="22" t="n"/>
    </row>
  </sheetData>
  <mergeCells count="5">
    <mergeCell ref="A41:F41"/>
    <mergeCell ref="A14:G14"/>
    <mergeCell ref="A1:G1"/>
    <mergeCell ref="A3:G3"/>
    <mergeCell ref="A26:G26"/>
  </mergeCells>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EA9999"/>
    <outlinePr summaryBelow="1" summaryRight="1"/>
    <pageSetUpPr/>
  </sheetPr>
  <dimension ref="A1:D38"/>
  <sheetViews>
    <sheetView topLeftCell="A13" zoomScaleNormal="100" workbookViewId="0">
      <selection activeCell="A1" sqref="A1"/>
    </sheetView>
  </sheetViews>
  <sheetFormatPr baseColWidth="8" defaultColWidth="8.6640625" defaultRowHeight="13.2"/>
  <cols>
    <col width="6" customWidth="1" style="106" min="1" max="1"/>
    <col width="60" customWidth="1" style="106" min="2" max="2"/>
    <col width="14" customWidth="1" style="106" min="3" max="3"/>
    <col width="60" customWidth="1" style="106" min="4" max="4"/>
  </cols>
  <sheetData>
    <row r="1" ht="21.75" customHeight="1" s="106">
      <c r="A1" s="109" t="inlineStr">
        <is>
          <t>QA Checks</t>
        </is>
      </c>
    </row>
    <row r="3" ht="15" customHeight="1" s="106">
      <c r="A3" s="96" t="inlineStr">
        <is>
          <t>#</t>
        </is>
      </c>
      <c r="B3" s="96" t="inlineStr">
        <is>
          <t>Test</t>
        </is>
      </c>
      <c r="C3" s="96" t="inlineStr">
        <is>
          <t>Result</t>
        </is>
      </c>
      <c r="D3" s="96" t="inlineStr">
        <is>
          <t>Notes / Formula</t>
        </is>
      </c>
    </row>
    <row r="4" ht="15" customHeight="1" s="106">
      <c r="A4" s="23" t="n">
        <v>1</v>
      </c>
      <c r="B4" s="23" t="inlineStr">
        <is>
          <t>1. City share + ESD share = 100%</t>
        </is>
      </c>
      <c r="C4" s="97">
        <f>IF(ABS('00_Inputs_Dashboard'!$B$5+'00_Inputs_Dashboard'!$B$7-1)&lt;0.001,"✓ PASS","❌ FAIL")</f>
        <v/>
      </c>
      <c r="D4" s="69" t="inlineStr">
        <is>
          <t>City + ESD must sum to 100%</t>
        </is>
      </c>
    </row>
    <row r="5" ht="15" customHeight="1" s="106">
      <c r="A5" s="23" t="n">
        <v>2</v>
      </c>
      <c r="B5" s="23" t="inlineStr">
        <is>
          <t>2. Pool rate uses normal 1.5% ILA rate</t>
        </is>
      </c>
      <c r="C5" s="97">
        <f>IF(ABS('00_Inputs_Dashboard'!$B$20-0.015)&lt;0.0001,"✓ PASS","⚠ NON-DEFAULT")</f>
        <v/>
      </c>
      <c r="D5" s="69" t="inlineStr">
        <is>
          <t>Informational; user may change for stress testing</t>
        </is>
      </c>
    </row>
    <row r="6" ht="15" customHeight="1" s="106">
      <c r="A6" s="23" t="n">
        <v>3</v>
      </c>
      <c r="B6" s="23" t="inlineStr">
        <is>
          <t>3. Pool rate ≤ 2.0% legal stress ceiling</t>
        </is>
      </c>
      <c r="C6" s="97">
        <f>IF('00_Inputs_Dashboard'!$B$20&lt;=0.02,"✓ PASS","❌ FAIL")</f>
        <v/>
      </c>
      <c r="D6" s="69" t="inlineStr">
        <is>
          <t>Tex Tax Code Ch. 321 cap</t>
        </is>
      </c>
    </row>
    <row r="7" ht="15" customHeight="1" s="106">
      <c r="A7" s="23" t="n">
        <v>4</v>
      </c>
      <c r="B7" s="23" t="inlineStr">
        <is>
          <t>4. No formula errors on Scenario Builder (active rows)</t>
        </is>
      </c>
      <c r="C7" s="97">
        <f>IF(SUMPRODUCT(--ISERROR(Scenarios!I3:Z27))=0,"✓ PASS","❌ FAIL")</f>
        <v/>
      </c>
      <c r="D7" s="69" t="n"/>
    </row>
    <row r="8" ht="15" customHeight="1" s="106">
      <c r="A8" s="23" t="n">
        <v>5</v>
      </c>
      <c r="B8" s="23" t="inlineStr">
        <is>
          <t>5. No formula errors on Annual Calculations</t>
        </is>
      </c>
      <c r="C8" s="97">
        <f>IF(SUMPRODUCT(--ISERROR('04_Annual_Calculations'!B3:AE40))=0,"✓ PASS","❌ FAIL")</f>
        <v/>
      </c>
      <c r="D8" s="69" t="n"/>
    </row>
    <row r="9" ht="15" customHeight="1" s="106">
      <c r="A9" s="23" t="n">
        <v>6</v>
      </c>
      <c r="B9" s="23" t="inlineStr">
        <is>
          <t>6. No formula errors on Multi-Horizon</t>
        </is>
      </c>
      <c r="C9" s="97">
        <f>IF(SUMPRODUCT(--ISERROR('03_Multi_Horizon_Results'!B3:F40))=0,"✓ PASS","❌ FAIL")</f>
        <v/>
      </c>
      <c r="D9" s="69" t="n"/>
    </row>
    <row r="10" ht="15" customHeight="1" s="106">
      <c r="A10" s="23" t="n">
        <v>7</v>
      </c>
      <c r="B10" s="23" t="inlineStr">
        <is>
          <t>7. No negative captured acres anywhere</t>
        </is>
      </c>
      <c r="C10" s="97">
        <f>IF(SUMPRODUCT(--('04_Annual_Calculations'!B5:AE5&lt;0))=0,"✓ PASS","❌ FAIL")</f>
        <v/>
      </c>
      <c r="D10" s="69" t="n"/>
    </row>
    <row r="11" ht="15" customHeight="1" s="106">
      <c r="A11" s="23" t="n">
        <v>8</v>
      </c>
      <c r="B11" s="23" t="inlineStr">
        <is>
          <t>8. No negative residential units</t>
        </is>
      </c>
      <c r="C11" s="97">
        <f>IF(SUMPRODUCT(--('04_Annual_Calculations'!B9:AE9&lt;0))=0,"✓ PASS","❌ FAIL")</f>
        <v/>
      </c>
      <c r="D11" s="69" t="n"/>
    </row>
    <row r="12" ht="15" customHeight="1" s="106">
      <c r="A12" s="23" t="n">
        <v>9</v>
      </c>
      <c r="B12" s="23" t="inlineStr">
        <is>
          <t>9. No negative AV (cumulative)</t>
        </is>
      </c>
      <c r="C12" s="97">
        <f>IF(SUMPRODUCT(--('04_Annual_Calculations'!B11:AE11&lt;0))=0,"✓ PASS","❌ FAIL")</f>
        <v/>
      </c>
      <c r="D12" s="69" t="n"/>
    </row>
    <row r="13" ht="15" customHeight="1" s="106">
      <c r="A13" s="23" t="n">
        <v>10</v>
      </c>
      <c r="B13" s="23" t="inlineStr">
        <is>
          <t>10. No negative taxable sales</t>
        </is>
      </c>
      <c r="C13" s="97">
        <f>IF(SUMPRODUCT(--('04_Annual_Calculations'!B16:AE16&lt;0))=0,"✓ PASS","❌ FAIL")</f>
        <v/>
      </c>
      <c r="D13" s="69" t="n"/>
    </row>
    <row r="14" ht="15" customHeight="1" s="106">
      <c r="A14" s="23" t="n">
        <v>11</v>
      </c>
      <c r="B14" s="23" t="inlineStr">
        <is>
          <t>11. All active project types exist in Type Assumptions</t>
        </is>
      </c>
      <c r="C14" s="97">
        <f>IF(SUMPRODUCT(--(Scenarios!$C$3:$C$27=TRUE()),--(Scenarios!$D$3:$D$27&lt;&gt;""),--((((Scenarios!$D$3:$D$27="Single-Family Subdivision")+(Scenarios!$D$3:$D$27="Single-Family Urban / Patio")+(Scenarios!$D$3:$D$27="Townhome / Condo")+(Scenarios!$D$3:$D$27="Multifamily Apartments")+(Scenarios!$D$3:$D$27="Big-Box / Anchor Retail")+(Scenarios!$D$3:$D$27="Retail Center / Strip")+(Scenarios!$D$3:$D$27="Office / Business Park")+(Scenarios!$D$3:$D$27="Hotel")+(Scenarios!$D$3:$D$27="Manufacturing")+(Scenarios!$D$3:$D$27="Industrial / Logistics")+(Scenarios!$D$3:$D$27="Light Industrial / Flex")+(Scenarios!$D$3:$D$27="Mixed-Use Pad / Vertical")+(Scenarios!$D$3:$D$27="Civic / Institutional")+(Scenarios!$D$3:$D$27="Parks / Open Space")+(Scenarios!$D$3:$D$27="Vacant / Holding Land")))=0))=0,"✓ PASS","❌ FAIL")</f>
        <v/>
      </c>
      <c r="D14" s="69" t="n"/>
    </row>
    <row r="15" ht="15" customHeight="1" s="106">
      <c r="A15" s="23" t="n">
        <v>12</v>
      </c>
      <c r="B15" s="23" t="inlineStr">
        <is>
          <t>12. All active project quantity types are valid</t>
        </is>
      </c>
      <c r="C15" s="97">
        <f>IF(SUMPRODUCT(--(Scenarios!$C$3:$C$27=TRUE()),--(Scenarios!$E$3:$E$27&lt;&gt;""),--((((Scenarios!$E$3:$E$27="lots")+(Scenarios!$E$3:$E$27="units")+(Scenarios!$E$3:$E$27="acres")+(Scenarios!$E$3:$E$27="rooms")+(Scenarios!$E$3:$E$27="sqft")))=0))=0,"✓ PASS","❌ FAIL")</f>
        <v/>
      </c>
      <c r="D15" s="69" t="n"/>
    </row>
    <row r="16" ht="15" customHeight="1" s="106">
      <c r="A16" s="23" t="n">
        <v>13</v>
      </c>
      <c r="B16" s="23" t="inlineStr">
        <is>
          <t>13. Active rows have Start Year and Buildout Years</t>
        </is>
      </c>
      <c r="C16" s="97">
        <f>IF(COUNTIF(Scenarios!$C$3:$C$27,TRUE())=0,"✓ PASS",IF(COUNTIFS(Scenarios!$C$3:$C$27,TRUE(),Scenarios!$J$3:$J$27,"&gt;0",Scenarios!$K$3:$K$27,"&gt;0")=COUNTIF(Scenarios!$C$3:$C$27,TRUE()),"✓ PASS","❌ FAIL"))</f>
        <v/>
      </c>
      <c r="D16" s="69" t="n"/>
    </row>
    <row r="17" ht="15" customHeight="1" s="106">
      <c r="A17" s="23" t="n">
        <v>14</v>
      </c>
      <c r="B17" s="23" t="inlineStr">
        <is>
          <t>14. Active rows have Final Acres &gt; 0</t>
        </is>
      </c>
      <c r="C17" s="97">
        <f>IF(SUMPRODUCT(--(Scenarios!C3:C27=TRUE()),--(Scenarios!I3:I27&lt;=0))=0,"✓ PASS","❌ FAIL")</f>
        <v/>
      </c>
      <c r="D17" s="69" t="n"/>
    </row>
    <row r="18" ht="15" customHeight="1" s="106">
      <c r="A18" s="23" t="n">
        <v>15</v>
      </c>
      <c r="B18" s="23" t="inlineStr">
        <is>
          <t>15. Sales-tax pool = Total taxable sales × pool rate (Option A reconciliation)</t>
        </is>
      </c>
      <c r="C18" s="97">
        <f>IF(ABS('03_Multi_Horizon_Results'!F15-'03_Multi_Horizon_Results'!F14*'00_Inputs_Dashboard'!$B$20)&lt;1,"✓ PASS","❌ FAIL")</f>
        <v/>
      </c>
      <c r="D18" s="69" t="n"/>
    </row>
    <row r="19" ht="15" customHeight="1" s="106">
      <c r="A19" s="23" t="n">
        <v>16</v>
      </c>
      <c r="B19" s="23" t="inlineStr">
        <is>
          <t>16. City sales-tax share = Pool × City share (less EDC carve-out)</t>
        </is>
      </c>
      <c r="C19" s="97">
        <f>IF(ABS('03_Multi_Horizon_Results'!F18-'03_Multi_Horizon_Results'!F15*'00_Inputs_Dashboard'!$B$5*(1-'00_Inputs_Dashboard'!$B$6))&lt;1,"✓ PASS","❌ FAIL")</f>
        <v/>
      </c>
      <c r="D19" s="69" t="n"/>
    </row>
    <row r="20" ht="15" customHeight="1" s="106">
      <c r="A20" s="23" t="n">
        <v>17</v>
      </c>
      <c r="B20" s="23" t="inlineStr">
        <is>
          <t>17. ESD sales-tax share = Pool × ESD share</t>
        </is>
      </c>
      <c r="C20" s="97">
        <f>IF(ABS('03_Multi_Horizon_Results'!F19-'03_Multi_Horizon_Results'!F15*'00_Inputs_Dashboard'!$B$7)&lt;1,"✓ PASS","❌ FAIL")</f>
        <v/>
      </c>
      <c r="D20" s="69" t="n"/>
    </row>
    <row r="21" ht="15" customHeight="1" s="106">
      <c r="A21" s="23" t="n">
        <v>18</v>
      </c>
      <c r="B21" s="23" t="inlineStr">
        <is>
          <t>18. Combined NET = City NET + ESD NET (reconciliation)</t>
        </is>
      </c>
      <c r="C21" s="97">
        <f>IF(ABS('03_Multi_Horizon_Results'!C31-('03_Multi_Horizon_Results'!C29+'03_Multi_Horizon_Results'!C30))&lt;1,"✓ PASS","❌ FAIL")</f>
        <v/>
      </c>
      <c r="D21" s="69" t="n"/>
    </row>
    <row r="22" ht="15" customHeight="1" s="106">
      <c r="A22" s="23" t="n">
        <v>19</v>
      </c>
      <c r="B22" s="23" t="inlineStr">
        <is>
          <t>19. 5-yr City NET reconciles to revenue - cost rows including infrastructure adjustments</t>
        </is>
      </c>
      <c r="C22" s="97">
        <f>IF(ABS('03_Multi_Horizon_Results'!B29-('03_Multi_Horizon_Results'!B18+'03_Multi_Horizon_Results'!B20+'03_Multi_Horizon_Results'!B22-'03_Multi_Horizon_Results'!B23-'03_Multi_Horizon_Results'!B24-'03_Multi_Horizon_Results'!B25))&lt;1,"✓ PASS","❌ FAIL")</f>
        <v/>
      </c>
      <c r="D22" s="69" t="n"/>
    </row>
    <row r="23" ht="15" customHeight="1" s="106">
      <c r="A23" s="23" t="n">
        <v>20</v>
      </c>
      <c r="B23" s="23" t="inlineStr">
        <is>
          <t>20. 10-yr City NET reconciles to revenue - cost rows including infrastructure adjustments</t>
        </is>
      </c>
      <c r="C23" s="97">
        <f>IF(ABS('03_Multi_Horizon_Results'!C29-('03_Multi_Horizon_Results'!C18+'03_Multi_Horizon_Results'!C20+'03_Multi_Horizon_Results'!C22-'03_Multi_Horizon_Results'!C23-'03_Multi_Horizon_Results'!C24-'03_Multi_Horizon_Results'!C25))&lt;1,"✓ PASS","❌ FAIL")</f>
        <v/>
      </c>
      <c r="D23" s="69" t="n"/>
    </row>
    <row r="24" ht="15" customHeight="1" s="106">
      <c r="A24" s="23" t="n">
        <v>21</v>
      </c>
      <c r="B24" s="23" t="inlineStr">
        <is>
          <t>21. 30-yr City NET reconciles to revenue - cost rows including infrastructure adjustments</t>
        </is>
      </c>
      <c r="C24" s="97">
        <f>IF(ABS('03_Multi_Horizon_Results'!F29-('03_Multi_Horizon_Results'!F18+'03_Multi_Horizon_Results'!F20+'03_Multi_Horizon_Results'!F22-'03_Multi_Horizon_Results'!F23-'03_Multi_Horizon_Results'!F24-'03_Multi_Horizon_Results'!F25))&lt;1,"✓ PASS","❌ FAIL")</f>
        <v/>
      </c>
      <c r="D24" s="69" t="n"/>
    </row>
    <row r="25" ht="15" customHeight="1" s="106">
      <c r="A25" s="23" t="n">
        <v>22</v>
      </c>
      <c r="B25" s="23" t="inlineStr">
        <is>
          <t>22. Capital triggers have unit costs &gt; 0</t>
        </is>
      </c>
      <c r="C25" s="97">
        <f>IF(SUMPRODUCT(--('05_Capital_Triggers'!D4:D13&lt;=0))=0,"✓ PASS","❌ FAIL")</f>
        <v/>
      </c>
      <c r="D25" s="69" t="n"/>
    </row>
    <row r="26" ht="15" customHeight="1" s="106">
      <c r="A26" s="23" t="n">
        <v>23</v>
      </c>
      <c r="B26" s="23" t="inlineStr">
        <is>
          <t>23. All 5/10/15/20/30 Output Dashboard NETs are numeric</t>
        </is>
      </c>
      <c r="C26" s="97">
        <f>IF(COUNT('03_Multi_Horizon_Results'!$B$29:$F$31)=15,"✓ PASS","❌ FAIL")</f>
        <v/>
      </c>
      <c r="D26" s="69" t="inlineStr">
        <is>
          <t>Counts 15 numeric cells = City NET / ESD NET / Combined NET × 5 horizons.</t>
        </is>
      </c>
    </row>
    <row r="27" ht="15" customHeight="1" s="106">
      <c r="A27" s="23" t="n">
        <v>24</v>
      </c>
      <c r="B27" s="23" t="inlineStr">
        <is>
          <t>24. Sum check: pool = project + online taxable sales × rate (Option A)</t>
        </is>
      </c>
      <c r="C27" s="97">
        <f>IF(ABS('03_Multi_Horizon_Results'!F15-('03_Multi_Horizon_Results'!F12+'03_Multi_Horizon_Results'!F13)*'00_Inputs_Dashboard'!$B$20)&lt;1,"✓ PASS","❌ FAIL")</f>
        <v/>
      </c>
      <c r="D27" s="69" t="n"/>
    </row>
    <row r="28" ht="15" customHeight="1" s="106">
      <c r="A28" s="23" t="n">
        <v>25</v>
      </c>
      <c r="B28" s="23" t="inlineStr">
        <is>
          <t>25. Online toggle: if online_active=0 then online sales = 0</t>
        </is>
      </c>
      <c r="C28" s="97">
        <f>IF('00_Inputs_Dashboard'!$B$38=0,IF('03_Multi_Horizon_Results'!F13=0,"✓ PASS","❌ FAIL"),"✓ N/A (online on)")</f>
        <v/>
      </c>
      <c r="D28" s="69" t="n"/>
    </row>
    <row r="29" ht="14.25" customHeight="1" s="106">
      <c r="A29" s="98" t="n">
        <v>26</v>
      </c>
      <c r="B29" s="98" t="inlineStr">
        <is>
          <t>26. Infrastructure takeoff horizon quantities are numeric</t>
        </is>
      </c>
      <c r="C29" s="98">
        <f>IF(COUNT(Capital_Items!$F$4:$J$31)=140,"✓ PASS","❌ FAIL")</f>
        <v/>
      </c>
      <c r="D29" s="98" t="inlineStr">
        <is>
          <t>Counts 28 items × 5 horizons = 140 numeric cells</t>
        </is>
      </c>
    </row>
    <row r="30" ht="14.25" customHeight="1" s="106">
      <c r="A30" s="98" t="n">
        <v>27</v>
      </c>
      <c r="B30" s="98" t="inlineStr">
        <is>
          <t>27. Infrastructure takeoff has no negative final quantities</t>
        </is>
      </c>
      <c r="C30" s="98">
        <f>IF(COUNTIF(Capital_Items!$L$4:$L$31,"&lt;0")=0,"✓ PASS","❌ FAIL")</f>
        <v/>
      </c>
      <c r="D30" s="98" t="inlineStr">
        <is>
          <t>Manual Qty +/- may be negative; final quantities must be &gt;= 0</t>
        </is>
      </c>
    </row>
    <row r="31" ht="28.5" customHeight="1" s="106">
      <c r="A31" s="98" t="n">
        <v>28</v>
      </c>
      <c r="B31" s="98" t="inlineStr">
        <is>
          <t>28. Infrastructure final costs are numeric</t>
        </is>
      </c>
      <c r="C31" s="98">
        <f>IF(COUNT(Capital_Items!$P$4:$P$31)=28,"✓ PASS","❌ FAIL")</f>
        <v/>
      </c>
      <c r="D31" s="98" t="inlineStr">
        <is>
          <t>Final Total Cost is driven by qty/unit cost unless total override is entered</t>
        </is>
      </c>
    </row>
    <row r="32" ht="28.5" customHeight="1" s="106">
      <c r="A32" s="98" t="n">
        <v>29</v>
      </c>
      <c r="B32" s="98" t="inlineStr">
        <is>
          <t>29. Infrastructure manual cost overrides are nonnegative</t>
        </is>
      </c>
      <c r="C32" s="98">
        <f>IF(AND(COUNTIF(Capital_Items!$N$4:$O$31,"&lt;0")=0,COUNTIF(Capital_Items!$M$4:$M$31,"&lt;0")=0),"✓ PASS","❌ FAIL")</f>
        <v/>
      </c>
      <c r="D32" s="98" t="inlineStr">
        <is>
          <t>Manual quantity adjustment may be negative; manual cost overrides cannot be negative</t>
        </is>
      </c>
    </row>
    <row r="33" ht="14.25" customHeight="1" s="106">
      <c r="A33" s="98" t="n">
        <v>30</v>
      </c>
      <c r="B33" s="98" t="inlineStr">
        <is>
          <t>30. Dashboard infrastructure summary is numeric</t>
        </is>
      </c>
      <c r="C33" s="98">
        <f>IF(COUNT('06_Output_Dashboard'!$B$43:$B$52)+COUNT('06_Output_Dashboard'!$D$43:$D$52)=20,"✓ PASS","❌ FAIL")</f>
        <v/>
      </c>
      <c r="D33" s="98" t="inlineStr">
        <is>
          <t>10 quantity + 10 cost cells</t>
        </is>
      </c>
    </row>
    <row r="34" ht="14.25" customHeight="1" s="106">
      <c r="A34" s="99" t="n">
        <v>31</v>
      </c>
      <c r="B34" s="99" t="inlineStr">
        <is>
          <t>31. Infrastructure fiscal-net inclusion impact cells are numeric</t>
        </is>
      </c>
      <c r="C34" s="20">
        <f>IF(COUNT(Capital_Items!$X$34:$AB$34)+COUNT(Capital_Items!$AC$35:$AG$35)=10,"✓ PASS","❌ FAIL")</f>
        <v/>
      </c>
      <c r="D34" s="99" t="inlineStr">
        <is>
          <t>Counts City/ESD included-cost summary cells</t>
        </is>
      </c>
    </row>
    <row r="35" ht="14.25" customHeight="1" s="106">
      <c r="A35" s="99" t="n">
        <v>32</v>
      </c>
      <c r="B35" s="99" t="inlineStr">
        <is>
          <t>32. Included infrastructure costs reconcile to Multi-Horizon capital rows</t>
        </is>
      </c>
      <c r="C35" s="20">
        <f>IF(AND(ABS('03_Multi_Horizon_Results'!C24-(SUM('04_Annual_Calculations'!B27:K27)+Capital_Items!Y34))&lt;1,ABS('03_Multi_Horizon_Results'!C27-(SUM('04_Annual_Calculations'!B28:K28)+Capital_Items!AD35))&lt;1),"✓ PASS","❌ FAIL")</f>
        <v/>
      </c>
      <c r="D35" s="99" t="inlineStr">
        <is>
          <t>Capital rows include base capital + explicit infrastructure fiscal inclusions</t>
        </is>
      </c>
    </row>
    <row r="36" ht="14.25" customHeight="1" s="106">
      <c r="A36" s="99" t="n">
        <v>33</v>
      </c>
      <c r="B36" s="99" t="inlineStr">
        <is>
          <t>33. Custom infrastructure line items are available</t>
        </is>
      </c>
      <c r="C36" s="20">
        <f>IF(AND(Capital_Items!A29&lt;&gt;"",Capital_Items!A30&lt;&gt;"",Capital_Items!A31&lt;&gt;""),"✓ PASS","❌ FAIL")</f>
        <v/>
      </c>
      <c r="D36" s="99" t="inlineStr">
        <is>
          <t>At least three custom rows available for unusual items</t>
        </is>
      </c>
    </row>
    <row r="37" ht="14.25" customHeight="1" s="106">
      <c r="A37" s="99" t="n">
        <v>34</v>
      </c>
      <c r="B37" s="99" t="inlineStr">
        <is>
          <t>34. Include-in-fiscal-net rows have valid funding responsibility</t>
        </is>
      </c>
      <c r="C37" s="20">
        <f>IF(SUMPRODUCT(--(Capital_Items!$R$4:$R$31="Yes"),--((Capital_Items!$Q$4:$Q$31&lt;&gt;"City")*(Capital_Items!$Q$4:$Q$31&lt;&gt;"ESD")))=0,"✓ PASS","❌ FAIL")</f>
        <v/>
      </c>
      <c r="D37" s="99" t="inlineStr">
        <is>
          <t>Included rows must be City or ESD to affect NET</t>
        </is>
      </c>
    </row>
    <row r="38" ht="14.25" customHeight="1" s="106">
      <c r="A38" s="99" t="n">
        <v>35</v>
      </c>
      <c r="B38" s="99" t="inlineStr">
        <is>
          <t>35. Fiscal inclusion summary on dashboard is numeric</t>
        </is>
      </c>
      <c r="C38" s="20">
        <f>IF(COUNT('06_Output_Dashboard'!$B$56:$F$57)=10,"✓ PASS","❌ FAIL")</f>
        <v/>
      </c>
      <c r="D38" s="99" t="inlineStr">
        <is>
          <t>Dashboard rows 56-57</t>
        </is>
      </c>
    </row>
  </sheetData>
  <mergeCells count="1">
    <mergeCell ref="A1:D1"/>
  </mergeCells>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B6D7A8"/>
    <outlinePr summaryBelow="1" summaryRight="1"/>
    <pageSetUpPr/>
  </sheetPr>
  <dimension ref="A1:AO54"/>
  <sheetViews>
    <sheetView zoomScaleNormal="100" workbookViewId="0">
      <selection activeCell="A1" sqref="A1"/>
    </sheetView>
  </sheetViews>
  <sheetFormatPr baseColWidth="8" defaultColWidth="8.6640625" defaultRowHeight="13.2"/>
  <cols>
    <col width="10" customWidth="1" style="106" min="1" max="2"/>
    <col width="9" customWidth="1" style="106" min="3" max="3"/>
    <col width="8" customWidth="1" style="106" min="4" max="33"/>
    <col width="11" customWidth="1" style="106" min="34" max="41"/>
  </cols>
  <sheetData>
    <row r="1" ht="21.75" customHeight="1" s="106">
      <c r="A1" s="109" t="inlineStr">
        <is>
          <t>Phase Factors — CPF (rows 4-28) + APF (rows 30-54). Helper for Annual Calculations.</t>
        </is>
      </c>
    </row>
    <row r="2" ht="15" customHeight="1" s="106">
      <c r="A2" s="115" t="inlineStr">
        <is>
          <t>CPF — Cumulative Phase Factor</t>
        </is>
      </c>
    </row>
    <row r="3" ht="15" customHeight="1" s="106">
      <c r="A3" s="46" t="inlineStr">
        <is>
          <t>Project #</t>
        </is>
      </c>
      <c r="B3" s="46" t="inlineStr">
        <is>
          <t>Active?</t>
        </is>
      </c>
      <c r="C3" s="46" t="inlineStr">
        <is>
          <t>Block</t>
        </is>
      </c>
      <c r="D3" s="82" t="inlineStr">
        <is>
          <t>Y1</t>
        </is>
      </c>
      <c r="E3" s="82" t="inlineStr">
        <is>
          <t>Y2</t>
        </is>
      </c>
      <c r="F3" s="82" t="inlineStr">
        <is>
          <t>Y3</t>
        </is>
      </c>
      <c r="G3" s="82" t="inlineStr">
        <is>
          <t>Y4</t>
        </is>
      </c>
      <c r="H3" s="82" t="inlineStr">
        <is>
          <t>Y5</t>
        </is>
      </c>
      <c r="I3" s="82" t="inlineStr">
        <is>
          <t>Y6</t>
        </is>
      </c>
      <c r="J3" s="82" t="inlineStr">
        <is>
          <t>Y7</t>
        </is>
      </c>
      <c r="K3" s="82" t="inlineStr">
        <is>
          <t>Y8</t>
        </is>
      </c>
      <c r="L3" s="82" t="inlineStr">
        <is>
          <t>Y9</t>
        </is>
      </c>
      <c r="M3" s="82" t="inlineStr">
        <is>
          <t>Y10</t>
        </is>
      </c>
      <c r="N3" s="82" t="inlineStr">
        <is>
          <t>Y11</t>
        </is>
      </c>
      <c r="O3" s="82" t="inlineStr">
        <is>
          <t>Y12</t>
        </is>
      </c>
      <c r="P3" s="82" t="inlineStr">
        <is>
          <t>Y13</t>
        </is>
      </c>
      <c r="Q3" s="82" t="inlineStr">
        <is>
          <t>Y14</t>
        </is>
      </c>
      <c r="R3" s="82" t="inlineStr">
        <is>
          <t>Y15</t>
        </is>
      </c>
      <c r="S3" s="82" t="inlineStr">
        <is>
          <t>Y16</t>
        </is>
      </c>
      <c r="T3" s="82" t="inlineStr">
        <is>
          <t>Y17</t>
        </is>
      </c>
      <c r="U3" s="82" t="inlineStr">
        <is>
          <t>Y18</t>
        </is>
      </c>
      <c r="V3" s="82" t="inlineStr">
        <is>
          <t>Y19</t>
        </is>
      </c>
      <c r="W3" s="82" t="inlineStr">
        <is>
          <t>Y20</t>
        </is>
      </c>
      <c r="X3" s="82" t="inlineStr">
        <is>
          <t>Y21</t>
        </is>
      </c>
      <c r="Y3" s="82" t="inlineStr">
        <is>
          <t>Y22</t>
        </is>
      </c>
      <c r="Z3" s="82" t="inlineStr">
        <is>
          <t>Y23</t>
        </is>
      </c>
      <c r="AA3" s="82" t="inlineStr">
        <is>
          <t>Y24</t>
        </is>
      </c>
      <c r="AB3" s="82" t="inlineStr">
        <is>
          <t>Y25</t>
        </is>
      </c>
      <c r="AC3" s="82" t="inlineStr">
        <is>
          <t>Y26</t>
        </is>
      </c>
      <c r="AD3" s="82" t="inlineStr">
        <is>
          <t>Y27</t>
        </is>
      </c>
      <c r="AE3" s="82" t="inlineStr">
        <is>
          <t>Y28</t>
        </is>
      </c>
      <c r="AF3" s="82" t="inlineStr">
        <is>
          <t>Y29</t>
        </is>
      </c>
      <c r="AG3" s="82" t="inlineStr">
        <is>
          <t>Y30</t>
        </is>
      </c>
      <c r="AH3" s="24" t="inlineStr">
        <is>
          <t>c_opex_ac</t>
        </is>
      </c>
      <c r="AI3" s="24" t="inlineStr">
        <is>
          <t>c_opex_res</t>
        </is>
      </c>
      <c r="AJ3" s="24" t="inlineStr">
        <is>
          <t>c_opex_sf</t>
        </is>
      </c>
      <c r="AK3" s="24" t="inlineStr">
        <is>
          <t>c_opex_unit</t>
        </is>
      </c>
      <c r="AL3" s="24" t="inlineStr">
        <is>
          <t>e_opex_ac</t>
        </is>
      </c>
      <c r="AM3" s="24" t="inlineStr">
        <is>
          <t>e_opex_res</t>
        </is>
      </c>
      <c r="AN3" s="24" t="inlineStr">
        <is>
          <t>e_opex_sf</t>
        </is>
      </c>
      <c r="AO3" s="24" t="inlineStr">
        <is>
          <t>e_opex_unit</t>
        </is>
      </c>
    </row>
    <row r="4" ht="15" customHeight="1" s="106">
      <c r="A4" t="n">
        <v>1</v>
      </c>
      <c r="B4">
        <f>Scenarios!$C$3</f>
        <v/>
      </c>
      <c r="C4" t="inlineStr">
        <is>
          <t>CPF</t>
        </is>
      </c>
      <c r="D4" s="207">
        <f>MAX(0,MIN(1,(1-Scenarios!$J$3+1)/MAX(1,Scenarios!$K$3)))</f>
        <v/>
      </c>
      <c r="E4" s="207">
        <f>MAX(0,MIN(1,(2-Scenarios!$J$3+1)/MAX(1,Scenarios!$K$3)))</f>
        <v/>
      </c>
      <c r="F4" s="207">
        <f>MAX(0,MIN(1,(3-Scenarios!$J$3+1)/MAX(1,Scenarios!$K$3)))</f>
        <v/>
      </c>
      <c r="G4" s="207">
        <f>MAX(0,MIN(1,(4-Scenarios!$J$3+1)/MAX(1,Scenarios!$K$3)))</f>
        <v/>
      </c>
      <c r="H4" s="207">
        <f>MAX(0,MIN(1,(5-Scenarios!$J$3+1)/MAX(1,Scenarios!$K$3)))</f>
        <v/>
      </c>
      <c r="I4" s="207">
        <f>MAX(0,MIN(1,(6-Scenarios!$J$3+1)/MAX(1,Scenarios!$K$3)))</f>
        <v/>
      </c>
      <c r="J4" s="207">
        <f>MAX(0,MIN(1,(7-Scenarios!$J$3+1)/MAX(1,Scenarios!$K$3)))</f>
        <v/>
      </c>
      <c r="K4" s="207">
        <f>MAX(0,MIN(1,(8-Scenarios!$J$3+1)/MAX(1,Scenarios!$K$3)))</f>
        <v/>
      </c>
      <c r="L4" s="207">
        <f>MAX(0,MIN(1,(9-Scenarios!$J$3+1)/MAX(1,Scenarios!$K$3)))</f>
        <v/>
      </c>
      <c r="M4" s="207">
        <f>MAX(0,MIN(1,(10-Scenarios!$J$3+1)/MAX(1,Scenarios!$K$3)))</f>
        <v/>
      </c>
      <c r="N4" s="207">
        <f>MAX(0,MIN(1,(11-Scenarios!$J$3+1)/MAX(1,Scenarios!$K$3)))</f>
        <v/>
      </c>
      <c r="O4" s="207">
        <f>MAX(0,MIN(1,(12-Scenarios!$J$3+1)/MAX(1,Scenarios!$K$3)))</f>
        <v/>
      </c>
      <c r="P4" s="207">
        <f>MAX(0,MIN(1,(13-Scenarios!$J$3+1)/MAX(1,Scenarios!$K$3)))</f>
        <v/>
      </c>
      <c r="Q4" s="207">
        <f>MAX(0,MIN(1,(14-Scenarios!$J$3+1)/MAX(1,Scenarios!$K$3)))</f>
        <v/>
      </c>
      <c r="R4" s="207">
        <f>MAX(0,MIN(1,(15-Scenarios!$J$3+1)/MAX(1,Scenarios!$K$3)))</f>
        <v/>
      </c>
      <c r="S4" s="207">
        <f>MAX(0,MIN(1,(16-Scenarios!$J$3+1)/MAX(1,Scenarios!$K$3)))</f>
        <v/>
      </c>
      <c r="T4" s="207">
        <f>MAX(0,MIN(1,(17-Scenarios!$J$3+1)/MAX(1,Scenarios!$K$3)))</f>
        <v/>
      </c>
      <c r="U4" s="207">
        <f>MAX(0,MIN(1,(18-Scenarios!$J$3+1)/MAX(1,Scenarios!$K$3)))</f>
        <v/>
      </c>
      <c r="V4" s="207">
        <f>MAX(0,MIN(1,(19-Scenarios!$J$3+1)/MAX(1,Scenarios!$K$3)))</f>
        <v/>
      </c>
      <c r="W4" s="207">
        <f>MAX(0,MIN(1,(20-Scenarios!$J$3+1)/MAX(1,Scenarios!$K$3)))</f>
        <v/>
      </c>
      <c r="X4" s="207">
        <f>MAX(0,MIN(1,(21-Scenarios!$J$3+1)/MAX(1,Scenarios!$K$3)))</f>
        <v/>
      </c>
      <c r="Y4" s="207">
        <f>MAX(0,MIN(1,(22-Scenarios!$J$3+1)/MAX(1,Scenarios!$K$3)))</f>
        <v/>
      </c>
      <c r="Z4" s="207">
        <f>MAX(0,MIN(1,(23-Scenarios!$J$3+1)/MAX(1,Scenarios!$K$3)))</f>
        <v/>
      </c>
      <c r="AA4" s="207">
        <f>MAX(0,MIN(1,(24-Scenarios!$J$3+1)/MAX(1,Scenarios!$K$3)))</f>
        <v/>
      </c>
      <c r="AB4" s="207">
        <f>MAX(0,MIN(1,(25-Scenarios!$J$3+1)/MAX(1,Scenarios!$K$3)))</f>
        <v/>
      </c>
      <c r="AC4" s="207">
        <f>MAX(0,MIN(1,(26-Scenarios!$J$3+1)/MAX(1,Scenarios!$K$3)))</f>
        <v/>
      </c>
      <c r="AD4" s="207">
        <f>MAX(0,MIN(1,(27-Scenarios!$J$3+1)/MAX(1,Scenarios!$K$3)))</f>
        <v/>
      </c>
      <c r="AE4" s="207">
        <f>MAX(0,MIN(1,(28-Scenarios!$J$3+1)/MAX(1,Scenarios!$K$3)))</f>
        <v/>
      </c>
      <c r="AF4" s="207">
        <f>MAX(0,MIN(1,(29-Scenarios!$J$3+1)/MAX(1,Scenarios!$K$3)))</f>
        <v/>
      </c>
      <c r="AG4" s="207">
        <f>MAX(0,MIN(1,(30-Scenarios!$J$3+1)/MAX(1,Scenarios!$K$3)))</f>
        <v/>
      </c>
      <c r="AH4" s="208">
        <f>IFERROR(VLOOKUP(Scenarios!$D$3,'02_Type_Assumptions'!$A$4:$Z$18,13,FALSE()),0)</f>
        <v/>
      </c>
      <c r="AI4" s="208">
        <f>IFERROR(VLOOKUP(Scenarios!$D$3,'02_Type_Assumptions'!$A$4:$Z$18,14,FALSE()),0)</f>
        <v/>
      </c>
      <c r="AJ4" s="208">
        <f>IFERROR(VLOOKUP(Scenarios!$D$3,'02_Type_Assumptions'!$A$4:$Z$18,15,FALSE()),0)</f>
        <v/>
      </c>
      <c r="AK4" s="208">
        <f>IFERROR(VLOOKUP(Scenarios!$D$3,'02_Type_Assumptions'!$A$4:$Z$18,16,FALSE()),0)</f>
        <v/>
      </c>
      <c r="AL4" s="208">
        <f>IFERROR(VLOOKUP(Scenarios!$D$3,'02_Type_Assumptions'!$A$4:$Z$18,17,FALSE()),0)</f>
        <v/>
      </c>
      <c r="AM4" s="208">
        <f>IFERROR(VLOOKUP(Scenarios!$D$3,'02_Type_Assumptions'!$A$4:$Z$18,18,FALSE()),0)</f>
        <v/>
      </c>
      <c r="AN4" s="208">
        <f>IFERROR(VLOOKUP(Scenarios!$D$3,'02_Type_Assumptions'!$A$4:$Z$18,19,FALSE()),0)</f>
        <v/>
      </c>
      <c r="AO4" s="208">
        <f>IFERROR(VLOOKUP(Scenarios!$D$3,'02_Type_Assumptions'!$A$4:$Z$18,20,FALSE()),0)</f>
        <v/>
      </c>
    </row>
    <row r="5" ht="15" customHeight="1" s="106">
      <c r="A5" t="n">
        <v>2</v>
      </c>
      <c r="B5">
        <f>Scenarios!$C$4</f>
        <v/>
      </c>
      <c r="C5" t="inlineStr">
        <is>
          <t>CPF</t>
        </is>
      </c>
      <c r="D5" s="207">
        <f>MAX(0,MIN(1,(1-Scenarios!$J$4+1)/MAX(1,Scenarios!$K$4)))</f>
        <v/>
      </c>
      <c r="E5" s="207">
        <f>MAX(0,MIN(1,(2-Scenarios!$J$4+1)/MAX(1,Scenarios!$K$4)))</f>
        <v/>
      </c>
      <c r="F5" s="207">
        <f>MAX(0,MIN(1,(3-Scenarios!$J$4+1)/MAX(1,Scenarios!$K$4)))</f>
        <v/>
      </c>
      <c r="G5" s="207">
        <f>MAX(0,MIN(1,(4-Scenarios!$J$4+1)/MAX(1,Scenarios!$K$4)))</f>
        <v/>
      </c>
      <c r="H5" s="207">
        <f>MAX(0,MIN(1,(5-Scenarios!$J$4+1)/MAX(1,Scenarios!$K$4)))</f>
        <v/>
      </c>
      <c r="I5" s="207">
        <f>MAX(0,MIN(1,(6-Scenarios!$J$4+1)/MAX(1,Scenarios!$K$4)))</f>
        <v/>
      </c>
      <c r="J5" s="207">
        <f>MAX(0,MIN(1,(7-Scenarios!$J$4+1)/MAX(1,Scenarios!$K$4)))</f>
        <v/>
      </c>
      <c r="K5" s="207">
        <f>MAX(0,MIN(1,(8-Scenarios!$J$4+1)/MAX(1,Scenarios!$K$4)))</f>
        <v/>
      </c>
      <c r="L5" s="207">
        <f>MAX(0,MIN(1,(9-Scenarios!$J$4+1)/MAX(1,Scenarios!$K$4)))</f>
        <v/>
      </c>
      <c r="M5" s="207">
        <f>MAX(0,MIN(1,(10-Scenarios!$J$4+1)/MAX(1,Scenarios!$K$4)))</f>
        <v/>
      </c>
      <c r="N5" s="207">
        <f>MAX(0,MIN(1,(11-Scenarios!$J$4+1)/MAX(1,Scenarios!$K$4)))</f>
        <v/>
      </c>
      <c r="O5" s="207">
        <f>MAX(0,MIN(1,(12-Scenarios!$J$4+1)/MAX(1,Scenarios!$K$4)))</f>
        <v/>
      </c>
      <c r="P5" s="207">
        <f>MAX(0,MIN(1,(13-Scenarios!$J$4+1)/MAX(1,Scenarios!$K$4)))</f>
        <v/>
      </c>
      <c r="Q5" s="207">
        <f>MAX(0,MIN(1,(14-Scenarios!$J$4+1)/MAX(1,Scenarios!$K$4)))</f>
        <v/>
      </c>
      <c r="R5" s="207">
        <f>MAX(0,MIN(1,(15-Scenarios!$J$4+1)/MAX(1,Scenarios!$K$4)))</f>
        <v/>
      </c>
      <c r="S5" s="207">
        <f>MAX(0,MIN(1,(16-Scenarios!$J$4+1)/MAX(1,Scenarios!$K$4)))</f>
        <v/>
      </c>
      <c r="T5" s="207">
        <f>MAX(0,MIN(1,(17-Scenarios!$J$4+1)/MAX(1,Scenarios!$K$4)))</f>
        <v/>
      </c>
      <c r="U5" s="207">
        <f>MAX(0,MIN(1,(18-Scenarios!$J$4+1)/MAX(1,Scenarios!$K$4)))</f>
        <v/>
      </c>
      <c r="V5" s="207">
        <f>MAX(0,MIN(1,(19-Scenarios!$J$4+1)/MAX(1,Scenarios!$K$4)))</f>
        <v/>
      </c>
      <c r="W5" s="207">
        <f>MAX(0,MIN(1,(20-Scenarios!$J$4+1)/MAX(1,Scenarios!$K$4)))</f>
        <v/>
      </c>
      <c r="X5" s="207">
        <f>MAX(0,MIN(1,(21-Scenarios!$J$4+1)/MAX(1,Scenarios!$K$4)))</f>
        <v/>
      </c>
      <c r="Y5" s="207">
        <f>MAX(0,MIN(1,(22-Scenarios!$J$4+1)/MAX(1,Scenarios!$K$4)))</f>
        <v/>
      </c>
      <c r="Z5" s="207">
        <f>MAX(0,MIN(1,(23-Scenarios!$J$4+1)/MAX(1,Scenarios!$K$4)))</f>
        <v/>
      </c>
      <c r="AA5" s="207">
        <f>MAX(0,MIN(1,(24-Scenarios!$J$4+1)/MAX(1,Scenarios!$K$4)))</f>
        <v/>
      </c>
      <c r="AB5" s="207">
        <f>MAX(0,MIN(1,(25-Scenarios!$J$4+1)/MAX(1,Scenarios!$K$4)))</f>
        <v/>
      </c>
      <c r="AC5" s="207">
        <f>MAX(0,MIN(1,(26-Scenarios!$J$4+1)/MAX(1,Scenarios!$K$4)))</f>
        <v/>
      </c>
      <c r="AD5" s="207">
        <f>MAX(0,MIN(1,(27-Scenarios!$J$4+1)/MAX(1,Scenarios!$K$4)))</f>
        <v/>
      </c>
      <c r="AE5" s="207">
        <f>MAX(0,MIN(1,(28-Scenarios!$J$4+1)/MAX(1,Scenarios!$K$4)))</f>
        <v/>
      </c>
      <c r="AF5" s="207">
        <f>MAX(0,MIN(1,(29-Scenarios!$J$4+1)/MAX(1,Scenarios!$K$4)))</f>
        <v/>
      </c>
      <c r="AG5" s="207">
        <f>MAX(0,MIN(1,(30-Scenarios!$J$4+1)/MAX(1,Scenarios!$K$4)))</f>
        <v/>
      </c>
      <c r="AH5" s="208">
        <f>IFERROR(VLOOKUP(Scenarios!$D$4,'02_Type_Assumptions'!$A$4:$Z$18,13,FALSE()),0)</f>
        <v/>
      </c>
      <c r="AI5" s="208">
        <f>IFERROR(VLOOKUP(Scenarios!$D$4,'02_Type_Assumptions'!$A$4:$Z$18,14,FALSE()),0)</f>
        <v/>
      </c>
      <c r="AJ5" s="208">
        <f>IFERROR(VLOOKUP(Scenarios!$D$4,'02_Type_Assumptions'!$A$4:$Z$18,15,FALSE()),0)</f>
        <v/>
      </c>
      <c r="AK5" s="208">
        <f>IFERROR(VLOOKUP(Scenarios!$D$4,'02_Type_Assumptions'!$A$4:$Z$18,16,FALSE()),0)</f>
        <v/>
      </c>
      <c r="AL5" s="208">
        <f>IFERROR(VLOOKUP(Scenarios!$D$4,'02_Type_Assumptions'!$A$4:$Z$18,17,FALSE()),0)</f>
        <v/>
      </c>
      <c r="AM5" s="208">
        <f>IFERROR(VLOOKUP(Scenarios!$D$4,'02_Type_Assumptions'!$A$4:$Z$18,18,FALSE()),0)</f>
        <v/>
      </c>
      <c r="AN5" s="208">
        <f>IFERROR(VLOOKUP(Scenarios!$D$4,'02_Type_Assumptions'!$A$4:$Z$18,19,FALSE()),0)</f>
        <v/>
      </c>
      <c r="AO5" s="208">
        <f>IFERROR(VLOOKUP(Scenarios!$D$4,'02_Type_Assumptions'!$A$4:$Z$18,20,FALSE()),0)</f>
        <v/>
      </c>
    </row>
    <row r="6" ht="15" customHeight="1" s="106">
      <c r="A6" t="n">
        <v>3</v>
      </c>
      <c r="B6">
        <f>Scenarios!$C$5</f>
        <v/>
      </c>
      <c r="C6" t="inlineStr">
        <is>
          <t>CPF</t>
        </is>
      </c>
      <c r="D6" s="207">
        <f>MAX(0,MIN(1,(1-Scenarios!$J$5+1)/MAX(1,Scenarios!$K$5)))</f>
        <v/>
      </c>
      <c r="E6" s="207">
        <f>MAX(0,MIN(1,(2-Scenarios!$J$5+1)/MAX(1,Scenarios!$K$5)))</f>
        <v/>
      </c>
      <c r="F6" s="207">
        <f>MAX(0,MIN(1,(3-Scenarios!$J$5+1)/MAX(1,Scenarios!$K$5)))</f>
        <v/>
      </c>
      <c r="G6" s="207">
        <f>MAX(0,MIN(1,(4-Scenarios!$J$5+1)/MAX(1,Scenarios!$K$5)))</f>
        <v/>
      </c>
      <c r="H6" s="207">
        <f>MAX(0,MIN(1,(5-Scenarios!$J$5+1)/MAX(1,Scenarios!$K$5)))</f>
        <v/>
      </c>
      <c r="I6" s="207">
        <f>MAX(0,MIN(1,(6-Scenarios!$J$5+1)/MAX(1,Scenarios!$K$5)))</f>
        <v/>
      </c>
      <c r="J6" s="207">
        <f>MAX(0,MIN(1,(7-Scenarios!$J$5+1)/MAX(1,Scenarios!$K$5)))</f>
        <v/>
      </c>
      <c r="K6" s="207">
        <f>MAX(0,MIN(1,(8-Scenarios!$J$5+1)/MAX(1,Scenarios!$K$5)))</f>
        <v/>
      </c>
      <c r="L6" s="207">
        <f>MAX(0,MIN(1,(9-Scenarios!$J$5+1)/MAX(1,Scenarios!$K$5)))</f>
        <v/>
      </c>
      <c r="M6" s="207">
        <f>MAX(0,MIN(1,(10-Scenarios!$J$5+1)/MAX(1,Scenarios!$K$5)))</f>
        <v/>
      </c>
      <c r="N6" s="207">
        <f>MAX(0,MIN(1,(11-Scenarios!$J$5+1)/MAX(1,Scenarios!$K$5)))</f>
        <v/>
      </c>
      <c r="O6" s="207">
        <f>MAX(0,MIN(1,(12-Scenarios!$J$5+1)/MAX(1,Scenarios!$K$5)))</f>
        <v/>
      </c>
      <c r="P6" s="207">
        <f>MAX(0,MIN(1,(13-Scenarios!$J$5+1)/MAX(1,Scenarios!$K$5)))</f>
        <v/>
      </c>
      <c r="Q6" s="207">
        <f>MAX(0,MIN(1,(14-Scenarios!$J$5+1)/MAX(1,Scenarios!$K$5)))</f>
        <v/>
      </c>
      <c r="R6" s="207">
        <f>MAX(0,MIN(1,(15-Scenarios!$J$5+1)/MAX(1,Scenarios!$K$5)))</f>
        <v/>
      </c>
      <c r="S6" s="207">
        <f>MAX(0,MIN(1,(16-Scenarios!$J$5+1)/MAX(1,Scenarios!$K$5)))</f>
        <v/>
      </c>
      <c r="T6" s="207">
        <f>MAX(0,MIN(1,(17-Scenarios!$J$5+1)/MAX(1,Scenarios!$K$5)))</f>
        <v/>
      </c>
      <c r="U6" s="207">
        <f>MAX(0,MIN(1,(18-Scenarios!$J$5+1)/MAX(1,Scenarios!$K$5)))</f>
        <v/>
      </c>
      <c r="V6" s="207">
        <f>MAX(0,MIN(1,(19-Scenarios!$J$5+1)/MAX(1,Scenarios!$K$5)))</f>
        <v/>
      </c>
      <c r="W6" s="207">
        <f>MAX(0,MIN(1,(20-Scenarios!$J$5+1)/MAX(1,Scenarios!$K$5)))</f>
        <v/>
      </c>
      <c r="X6" s="207">
        <f>MAX(0,MIN(1,(21-Scenarios!$J$5+1)/MAX(1,Scenarios!$K$5)))</f>
        <v/>
      </c>
      <c r="Y6" s="207">
        <f>MAX(0,MIN(1,(22-Scenarios!$J$5+1)/MAX(1,Scenarios!$K$5)))</f>
        <v/>
      </c>
      <c r="Z6" s="207">
        <f>MAX(0,MIN(1,(23-Scenarios!$J$5+1)/MAX(1,Scenarios!$K$5)))</f>
        <v/>
      </c>
      <c r="AA6" s="207">
        <f>MAX(0,MIN(1,(24-Scenarios!$J$5+1)/MAX(1,Scenarios!$K$5)))</f>
        <v/>
      </c>
      <c r="AB6" s="207">
        <f>MAX(0,MIN(1,(25-Scenarios!$J$5+1)/MAX(1,Scenarios!$K$5)))</f>
        <v/>
      </c>
      <c r="AC6" s="207">
        <f>MAX(0,MIN(1,(26-Scenarios!$J$5+1)/MAX(1,Scenarios!$K$5)))</f>
        <v/>
      </c>
      <c r="AD6" s="207">
        <f>MAX(0,MIN(1,(27-Scenarios!$J$5+1)/MAX(1,Scenarios!$K$5)))</f>
        <v/>
      </c>
      <c r="AE6" s="207">
        <f>MAX(0,MIN(1,(28-Scenarios!$J$5+1)/MAX(1,Scenarios!$K$5)))</f>
        <v/>
      </c>
      <c r="AF6" s="207">
        <f>MAX(0,MIN(1,(29-Scenarios!$J$5+1)/MAX(1,Scenarios!$K$5)))</f>
        <v/>
      </c>
      <c r="AG6" s="207">
        <f>MAX(0,MIN(1,(30-Scenarios!$J$5+1)/MAX(1,Scenarios!$K$5)))</f>
        <v/>
      </c>
      <c r="AH6" s="208">
        <f>IFERROR(VLOOKUP(Scenarios!$D$5,'02_Type_Assumptions'!$A$4:$Z$18,13,FALSE()),0)</f>
        <v/>
      </c>
      <c r="AI6" s="208">
        <f>IFERROR(VLOOKUP(Scenarios!$D$5,'02_Type_Assumptions'!$A$4:$Z$18,14,FALSE()),0)</f>
        <v/>
      </c>
      <c r="AJ6" s="208">
        <f>IFERROR(VLOOKUP(Scenarios!$D$5,'02_Type_Assumptions'!$A$4:$Z$18,15,FALSE()),0)</f>
        <v/>
      </c>
      <c r="AK6" s="208">
        <f>IFERROR(VLOOKUP(Scenarios!$D$5,'02_Type_Assumptions'!$A$4:$Z$18,16,FALSE()),0)</f>
        <v/>
      </c>
      <c r="AL6" s="208">
        <f>IFERROR(VLOOKUP(Scenarios!$D$5,'02_Type_Assumptions'!$A$4:$Z$18,17,FALSE()),0)</f>
        <v/>
      </c>
      <c r="AM6" s="208">
        <f>IFERROR(VLOOKUP(Scenarios!$D$5,'02_Type_Assumptions'!$A$4:$Z$18,18,FALSE()),0)</f>
        <v/>
      </c>
      <c r="AN6" s="208">
        <f>IFERROR(VLOOKUP(Scenarios!$D$5,'02_Type_Assumptions'!$A$4:$Z$18,19,FALSE()),0)</f>
        <v/>
      </c>
      <c r="AO6" s="208">
        <f>IFERROR(VLOOKUP(Scenarios!$D$5,'02_Type_Assumptions'!$A$4:$Z$18,20,FALSE()),0)</f>
        <v/>
      </c>
    </row>
    <row r="7" ht="15" customHeight="1" s="106">
      <c r="A7" t="n">
        <v>4</v>
      </c>
      <c r="B7">
        <f>Scenarios!$C$6</f>
        <v/>
      </c>
      <c r="C7" t="inlineStr">
        <is>
          <t>CPF</t>
        </is>
      </c>
      <c r="D7" s="207">
        <f>MAX(0,MIN(1,(1-Scenarios!$J$6+1)/MAX(1,Scenarios!$K$6)))</f>
        <v/>
      </c>
      <c r="E7" s="207">
        <f>MAX(0,MIN(1,(2-Scenarios!$J$6+1)/MAX(1,Scenarios!$K$6)))</f>
        <v/>
      </c>
      <c r="F7" s="207">
        <f>MAX(0,MIN(1,(3-Scenarios!$J$6+1)/MAX(1,Scenarios!$K$6)))</f>
        <v/>
      </c>
      <c r="G7" s="207">
        <f>MAX(0,MIN(1,(4-Scenarios!$J$6+1)/MAX(1,Scenarios!$K$6)))</f>
        <v/>
      </c>
      <c r="H7" s="207">
        <f>MAX(0,MIN(1,(5-Scenarios!$J$6+1)/MAX(1,Scenarios!$K$6)))</f>
        <v/>
      </c>
      <c r="I7" s="207">
        <f>MAX(0,MIN(1,(6-Scenarios!$J$6+1)/MAX(1,Scenarios!$K$6)))</f>
        <v/>
      </c>
      <c r="J7" s="207">
        <f>MAX(0,MIN(1,(7-Scenarios!$J$6+1)/MAX(1,Scenarios!$K$6)))</f>
        <v/>
      </c>
      <c r="K7" s="207">
        <f>MAX(0,MIN(1,(8-Scenarios!$J$6+1)/MAX(1,Scenarios!$K$6)))</f>
        <v/>
      </c>
      <c r="L7" s="207">
        <f>MAX(0,MIN(1,(9-Scenarios!$J$6+1)/MAX(1,Scenarios!$K$6)))</f>
        <v/>
      </c>
      <c r="M7" s="207">
        <f>MAX(0,MIN(1,(10-Scenarios!$J$6+1)/MAX(1,Scenarios!$K$6)))</f>
        <v/>
      </c>
      <c r="N7" s="207">
        <f>MAX(0,MIN(1,(11-Scenarios!$J$6+1)/MAX(1,Scenarios!$K$6)))</f>
        <v/>
      </c>
      <c r="O7" s="207">
        <f>MAX(0,MIN(1,(12-Scenarios!$J$6+1)/MAX(1,Scenarios!$K$6)))</f>
        <v/>
      </c>
      <c r="P7" s="207">
        <f>MAX(0,MIN(1,(13-Scenarios!$J$6+1)/MAX(1,Scenarios!$K$6)))</f>
        <v/>
      </c>
      <c r="Q7" s="207">
        <f>MAX(0,MIN(1,(14-Scenarios!$J$6+1)/MAX(1,Scenarios!$K$6)))</f>
        <v/>
      </c>
      <c r="R7" s="207">
        <f>MAX(0,MIN(1,(15-Scenarios!$J$6+1)/MAX(1,Scenarios!$K$6)))</f>
        <v/>
      </c>
      <c r="S7" s="207">
        <f>MAX(0,MIN(1,(16-Scenarios!$J$6+1)/MAX(1,Scenarios!$K$6)))</f>
        <v/>
      </c>
      <c r="T7" s="207">
        <f>MAX(0,MIN(1,(17-Scenarios!$J$6+1)/MAX(1,Scenarios!$K$6)))</f>
        <v/>
      </c>
      <c r="U7" s="207">
        <f>MAX(0,MIN(1,(18-Scenarios!$J$6+1)/MAX(1,Scenarios!$K$6)))</f>
        <v/>
      </c>
      <c r="V7" s="207">
        <f>MAX(0,MIN(1,(19-Scenarios!$J$6+1)/MAX(1,Scenarios!$K$6)))</f>
        <v/>
      </c>
      <c r="W7" s="207">
        <f>MAX(0,MIN(1,(20-Scenarios!$J$6+1)/MAX(1,Scenarios!$K$6)))</f>
        <v/>
      </c>
      <c r="X7" s="207">
        <f>MAX(0,MIN(1,(21-Scenarios!$J$6+1)/MAX(1,Scenarios!$K$6)))</f>
        <v/>
      </c>
      <c r="Y7" s="207">
        <f>MAX(0,MIN(1,(22-Scenarios!$J$6+1)/MAX(1,Scenarios!$K$6)))</f>
        <v/>
      </c>
      <c r="Z7" s="207">
        <f>MAX(0,MIN(1,(23-Scenarios!$J$6+1)/MAX(1,Scenarios!$K$6)))</f>
        <v/>
      </c>
      <c r="AA7" s="207">
        <f>MAX(0,MIN(1,(24-Scenarios!$J$6+1)/MAX(1,Scenarios!$K$6)))</f>
        <v/>
      </c>
      <c r="AB7" s="207">
        <f>MAX(0,MIN(1,(25-Scenarios!$J$6+1)/MAX(1,Scenarios!$K$6)))</f>
        <v/>
      </c>
      <c r="AC7" s="207">
        <f>MAX(0,MIN(1,(26-Scenarios!$J$6+1)/MAX(1,Scenarios!$K$6)))</f>
        <v/>
      </c>
      <c r="AD7" s="207">
        <f>MAX(0,MIN(1,(27-Scenarios!$J$6+1)/MAX(1,Scenarios!$K$6)))</f>
        <v/>
      </c>
      <c r="AE7" s="207">
        <f>MAX(0,MIN(1,(28-Scenarios!$J$6+1)/MAX(1,Scenarios!$K$6)))</f>
        <v/>
      </c>
      <c r="AF7" s="207">
        <f>MAX(0,MIN(1,(29-Scenarios!$J$6+1)/MAX(1,Scenarios!$K$6)))</f>
        <v/>
      </c>
      <c r="AG7" s="207">
        <f>MAX(0,MIN(1,(30-Scenarios!$J$6+1)/MAX(1,Scenarios!$K$6)))</f>
        <v/>
      </c>
      <c r="AH7" s="208">
        <f>IFERROR(VLOOKUP(Scenarios!$D$6,'02_Type_Assumptions'!$A$4:$Z$18,13,FALSE()),0)</f>
        <v/>
      </c>
      <c r="AI7" s="208">
        <f>IFERROR(VLOOKUP(Scenarios!$D$6,'02_Type_Assumptions'!$A$4:$Z$18,14,FALSE()),0)</f>
        <v/>
      </c>
      <c r="AJ7" s="208">
        <f>IFERROR(VLOOKUP(Scenarios!$D$6,'02_Type_Assumptions'!$A$4:$Z$18,15,FALSE()),0)</f>
        <v/>
      </c>
      <c r="AK7" s="208">
        <f>IFERROR(VLOOKUP(Scenarios!$D$6,'02_Type_Assumptions'!$A$4:$Z$18,16,FALSE()),0)</f>
        <v/>
      </c>
      <c r="AL7" s="208">
        <f>IFERROR(VLOOKUP(Scenarios!$D$6,'02_Type_Assumptions'!$A$4:$Z$18,17,FALSE()),0)</f>
        <v/>
      </c>
      <c r="AM7" s="208">
        <f>IFERROR(VLOOKUP(Scenarios!$D$6,'02_Type_Assumptions'!$A$4:$Z$18,18,FALSE()),0)</f>
        <v/>
      </c>
      <c r="AN7" s="208">
        <f>IFERROR(VLOOKUP(Scenarios!$D$6,'02_Type_Assumptions'!$A$4:$Z$18,19,FALSE()),0)</f>
        <v/>
      </c>
      <c r="AO7" s="208">
        <f>IFERROR(VLOOKUP(Scenarios!$D$6,'02_Type_Assumptions'!$A$4:$Z$18,20,FALSE()),0)</f>
        <v/>
      </c>
    </row>
    <row r="8" ht="15" customHeight="1" s="106">
      <c r="A8" t="n">
        <v>5</v>
      </c>
      <c r="B8">
        <f>Scenarios!$C$7</f>
        <v/>
      </c>
      <c r="C8" t="inlineStr">
        <is>
          <t>CPF</t>
        </is>
      </c>
      <c r="D8" s="207">
        <f>MAX(0,MIN(1,(1-Scenarios!$J$7+1)/MAX(1,Scenarios!$K$7)))</f>
        <v/>
      </c>
      <c r="E8" s="207">
        <f>MAX(0,MIN(1,(2-Scenarios!$J$7+1)/MAX(1,Scenarios!$K$7)))</f>
        <v/>
      </c>
      <c r="F8" s="207">
        <f>MAX(0,MIN(1,(3-Scenarios!$J$7+1)/MAX(1,Scenarios!$K$7)))</f>
        <v/>
      </c>
      <c r="G8" s="207">
        <f>MAX(0,MIN(1,(4-Scenarios!$J$7+1)/MAX(1,Scenarios!$K$7)))</f>
        <v/>
      </c>
      <c r="H8" s="207">
        <f>MAX(0,MIN(1,(5-Scenarios!$J$7+1)/MAX(1,Scenarios!$K$7)))</f>
        <v/>
      </c>
      <c r="I8" s="207">
        <f>MAX(0,MIN(1,(6-Scenarios!$J$7+1)/MAX(1,Scenarios!$K$7)))</f>
        <v/>
      </c>
      <c r="J8" s="207">
        <f>MAX(0,MIN(1,(7-Scenarios!$J$7+1)/MAX(1,Scenarios!$K$7)))</f>
        <v/>
      </c>
      <c r="K8" s="207">
        <f>MAX(0,MIN(1,(8-Scenarios!$J$7+1)/MAX(1,Scenarios!$K$7)))</f>
        <v/>
      </c>
      <c r="L8" s="207">
        <f>MAX(0,MIN(1,(9-Scenarios!$J$7+1)/MAX(1,Scenarios!$K$7)))</f>
        <v/>
      </c>
      <c r="M8" s="207">
        <f>MAX(0,MIN(1,(10-Scenarios!$J$7+1)/MAX(1,Scenarios!$K$7)))</f>
        <v/>
      </c>
      <c r="N8" s="207">
        <f>MAX(0,MIN(1,(11-Scenarios!$J$7+1)/MAX(1,Scenarios!$K$7)))</f>
        <v/>
      </c>
      <c r="O8" s="207">
        <f>MAX(0,MIN(1,(12-Scenarios!$J$7+1)/MAX(1,Scenarios!$K$7)))</f>
        <v/>
      </c>
      <c r="P8" s="207">
        <f>MAX(0,MIN(1,(13-Scenarios!$J$7+1)/MAX(1,Scenarios!$K$7)))</f>
        <v/>
      </c>
      <c r="Q8" s="207">
        <f>MAX(0,MIN(1,(14-Scenarios!$J$7+1)/MAX(1,Scenarios!$K$7)))</f>
        <v/>
      </c>
      <c r="R8" s="207">
        <f>MAX(0,MIN(1,(15-Scenarios!$J$7+1)/MAX(1,Scenarios!$K$7)))</f>
        <v/>
      </c>
      <c r="S8" s="207">
        <f>MAX(0,MIN(1,(16-Scenarios!$J$7+1)/MAX(1,Scenarios!$K$7)))</f>
        <v/>
      </c>
      <c r="T8" s="207">
        <f>MAX(0,MIN(1,(17-Scenarios!$J$7+1)/MAX(1,Scenarios!$K$7)))</f>
        <v/>
      </c>
      <c r="U8" s="207">
        <f>MAX(0,MIN(1,(18-Scenarios!$J$7+1)/MAX(1,Scenarios!$K$7)))</f>
        <v/>
      </c>
      <c r="V8" s="207">
        <f>MAX(0,MIN(1,(19-Scenarios!$J$7+1)/MAX(1,Scenarios!$K$7)))</f>
        <v/>
      </c>
      <c r="W8" s="207">
        <f>MAX(0,MIN(1,(20-Scenarios!$J$7+1)/MAX(1,Scenarios!$K$7)))</f>
        <v/>
      </c>
      <c r="X8" s="207">
        <f>MAX(0,MIN(1,(21-Scenarios!$J$7+1)/MAX(1,Scenarios!$K$7)))</f>
        <v/>
      </c>
      <c r="Y8" s="207">
        <f>MAX(0,MIN(1,(22-Scenarios!$J$7+1)/MAX(1,Scenarios!$K$7)))</f>
        <v/>
      </c>
      <c r="Z8" s="207">
        <f>MAX(0,MIN(1,(23-Scenarios!$J$7+1)/MAX(1,Scenarios!$K$7)))</f>
        <v/>
      </c>
      <c r="AA8" s="207">
        <f>MAX(0,MIN(1,(24-Scenarios!$J$7+1)/MAX(1,Scenarios!$K$7)))</f>
        <v/>
      </c>
      <c r="AB8" s="207">
        <f>MAX(0,MIN(1,(25-Scenarios!$J$7+1)/MAX(1,Scenarios!$K$7)))</f>
        <v/>
      </c>
      <c r="AC8" s="207">
        <f>MAX(0,MIN(1,(26-Scenarios!$J$7+1)/MAX(1,Scenarios!$K$7)))</f>
        <v/>
      </c>
      <c r="AD8" s="207">
        <f>MAX(0,MIN(1,(27-Scenarios!$J$7+1)/MAX(1,Scenarios!$K$7)))</f>
        <v/>
      </c>
      <c r="AE8" s="207">
        <f>MAX(0,MIN(1,(28-Scenarios!$J$7+1)/MAX(1,Scenarios!$K$7)))</f>
        <v/>
      </c>
      <c r="AF8" s="207">
        <f>MAX(0,MIN(1,(29-Scenarios!$J$7+1)/MAX(1,Scenarios!$K$7)))</f>
        <v/>
      </c>
      <c r="AG8" s="207">
        <f>MAX(0,MIN(1,(30-Scenarios!$J$7+1)/MAX(1,Scenarios!$K$7)))</f>
        <v/>
      </c>
      <c r="AH8" s="208">
        <f>IFERROR(VLOOKUP(Scenarios!$D$7,'02_Type_Assumptions'!$A$4:$Z$18,13,FALSE()),0)</f>
        <v/>
      </c>
      <c r="AI8" s="208">
        <f>IFERROR(VLOOKUP(Scenarios!$D$7,'02_Type_Assumptions'!$A$4:$Z$18,14,FALSE()),0)</f>
        <v/>
      </c>
      <c r="AJ8" s="208">
        <f>IFERROR(VLOOKUP(Scenarios!$D$7,'02_Type_Assumptions'!$A$4:$Z$18,15,FALSE()),0)</f>
        <v/>
      </c>
      <c r="AK8" s="208">
        <f>IFERROR(VLOOKUP(Scenarios!$D$7,'02_Type_Assumptions'!$A$4:$Z$18,16,FALSE()),0)</f>
        <v/>
      </c>
      <c r="AL8" s="208">
        <f>IFERROR(VLOOKUP(Scenarios!$D$7,'02_Type_Assumptions'!$A$4:$Z$18,17,FALSE()),0)</f>
        <v/>
      </c>
      <c r="AM8" s="208">
        <f>IFERROR(VLOOKUP(Scenarios!$D$7,'02_Type_Assumptions'!$A$4:$Z$18,18,FALSE()),0)</f>
        <v/>
      </c>
      <c r="AN8" s="208">
        <f>IFERROR(VLOOKUP(Scenarios!$D$7,'02_Type_Assumptions'!$A$4:$Z$18,19,FALSE()),0)</f>
        <v/>
      </c>
      <c r="AO8" s="208">
        <f>IFERROR(VLOOKUP(Scenarios!$D$7,'02_Type_Assumptions'!$A$4:$Z$18,20,FALSE()),0)</f>
        <v/>
      </c>
    </row>
    <row r="9" ht="15" customHeight="1" s="106">
      <c r="A9" t="n">
        <v>6</v>
      </c>
      <c r="B9">
        <f>Scenarios!$C$8</f>
        <v/>
      </c>
      <c r="C9" t="inlineStr">
        <is>
          <t>CPF</t>
        </is>
      </c>
      <c r="D9" s="207">
        <f>MAX(0,MIN(1,(1-Scenarios!$J$8+1)/MAX(1,Scenarios!$K$8)))</f>
        <v/>
      </c>
      <c r="E9" s="207">
        <f>MAX(0,MIN(1,(2-Scenarios!$J$8+1)/MAX(1,Scenarios!$K$8)))</f>
        <v/>
      </c>
      <c r="F9" s="207">
        <f>MAX(0,MIN(1,(3-Scenarios!$J$8+1)/MAX(1,Scenarios!$K$8)))</f>
        <v/>
      </c>
      <c r="G9" s="207">
        <f>MAX(0,MIN(1,(4-Scenarios!$J$8+1)/MAX(1,Scenarios!$K$8)))</f>
        <v/>
      </c>
      <c r="H9" s="207">
        <f>MAX(0,MIN(1,(5-Scenarios!$J$8+1)/MAX(1,Scenarios!$K$8)))</f>
        <v/>
      </c>
      <c r="I9" s="207">
        <f>MAX(0,MIN(1,(6-Scenarios!$J$8+1)/MAX(1,Scenarios!$K$8)))</f>
        <v/>
      </c>
      <c r="J9" s="207">
        <f>MAX(0,MIN(1,(7-Scenarios!$J$8+1)/MAX(1,Scenarios!$K$8)))</f>
        <v/>
      </c>
      <c r="K9" s="207">
        <f>MAX(0,MIN(1,(8-Scenarios!$J$8+1)/MAX(1,Scenarios!$K$8)))</f>
        <v/>
      </c>
      <c r="L9" s="207">
        <f>MAX(0,MIN(1,(9-Scenarios!$J$8+1)/MAX(1,Scenarios!$K$8)))</f>
        <v/>
      </c>
      <c r="M9" s="207">
        <f>MAX(0,MIN(1,(10-Scenarios!$J$8+1)/MAX(1,Scenarios!$K$8)))</f>
        <v/>
      </c>
      <c r="N9" s="207">
        <f>MAX(0,MIN(1,(11-Scenarios!$J$8+1)/MAX(1,Scenarios!$K$8)))</f>
        <v/>
      </c>
      <c r="O9" s="207">
        <f>MAX(0,MIN(1,(12-Scenarios!$J$8+1)/MAX(1,Scenarios!$K$8)))</f>
        <v/>
      </c>
      <c r="P9" s="207">
        <f>MAX(0,MIN(1,(13-Scenarios!$J$8+1)/MAX(1,Scenarios!$K$8)))</f>
        <v/>
      </c>
      <c r="Q9" s="207">
        <f>MAX(0,MIN(1,(14-Scenarios!$J$8+1)/MAX(1,Scenarios!$K$8)))</f>
        <v/>
      </c>
      <c r="R9" s="207">
        <f>MAX(0,MIN(1,(15-Scenarios!$J$8+1)/MAX(1,Scenarios!$K$8)))</f>
        <v/>
      </c>
      <c r="S9" s="207">
        <f>MAX(0,MIN(1,(16-Scenarios!$J$8+1)/MAX(1,Scenarios!$K$8)))</f>
        <v/>
      </c>
      <c r="T9" s="207">
        <f>MAX(0,MIN(1,(17-Scenarios!$J$8+1)/MAX(1,Scenarios!$K$8)))</f>
        <v/>
      </c>
      <c r="U9" s="207">
        <f>MAX(0,MIN(1,(18-Scenarios!$J$8+1)/MAX(1,Scenarios!$K$8)))</f>
        <v/>
      </c>
      <c r="V9" s="207">
        <f>MAX(0,MIN(1,(19-Scenarios!$J$8+1)/MAX(1,Scenarios!$K$8)))</f>
        <v/>
      </c>
      <c r="W9" s="207">
        <f>MAX(0,MIN(1,(20-Scenarios!$J$8+1)/MAX(1,Scenarios!$K$8)))</f>
        <v/>
      </c>
      <c r="X9" s="207">
        <f>MAX(0,MIN(1,(21-Scenarios!$J$8+1)/MAX(1,Scenarios!$K$8)))</f>
        <v/>
      </c>
      <c r="Y9" s="207">
        <f>MAX(0,MIN(1,(22-Scenarios!$J$8+1)/MAX(1,Scenarios!$K$8)))</f>
        <v/>
      </c>
      <c r="Z9" s="207">
        <f>MAX(0,MIN(1,(23-Scenarios!$J$8+1)/MAX(1,Scenarios!$K$8)))</f>
        <v/>
      </c>
      <c r="AA9" s="207">
        <f>MAX(0,MIN(1,(24-Scenarios!$J$8+1)/MAX(1,Scenarios!$K$8)))</f>
        <v/>
      </c>
      <c r="AB9" s="207">
        <f>MAX(0,MIN(1,(25-Scenarios!$J$8+1)/MAX(1,Scenarios!$K$8)))</f>
        <v/>
      </c>
      <c r="AC9" s="207">
        <f>MAX(0,MIN(1,(26-Scenarios!$J$8+1)/MAX(1,Scenarios!$K$8)))</f>
        <v/>
      </c>
      <c r="AD9" s="207">
        <f>MAX(0,MIN(1,(27-Scenarios!$J$8+1)/MAX(1,Scenarios!$K$8)))</f>
        <v/>
      </c>
      <c r="AE9" s="207">
        <f>MAX(0,MIN(1,(28-Scenarios!$J$8+1)/MAX(1,Scenarios!$K$8)))</f>
        <v/>
      </c>
      <c r="AF9" s="207">
        <f>MAX(0,MIN(1,(29-Scenarios!$J$8+1)/MAX(1,Scenarios!$K$8)))</f>
        <v/>
      </c>
      <c r="AG9" s="207">
        <f>MAX(0,MIN(1,(30-Scenarios!$J$8+1)/MAX(1,Scenarios!$K$8)))</f>
        <v/>
      </c>
      <c r="AH9" s="208">
        <f>IFERROR(VLOOKUP(Scenarios!$D$8,'02_Type_Assumptions'!$A$4:$Z$18,13,FALSE()),0)</f>
        <v/>
      </c>
      <c r="AI9" s="208">
        <f>IFERROR(VLOOKUP(Scenarios!$D$8,'02_Type_Assumptions'!$A$4:$Z$18,14,FALSE()),0)</f>
        <v/>
      </c>
      <c r="AJ9" s="208">
        <f>IFERROR(VLOOKUP(Scenarios!$D$8,'02_Type_Assumptions'!$A$4:$Z$18,15,FALSE()),0)</f>
        <v/>
      </c>
      <c r="AK9" s="208">
        <f>IFERROR(VLOOKUP(Scenarios!$D$8,'02_Type_Assumptions'!$A$4:$Z$18,16,FALSE()),0)</f>
        <v/>
      </c>
      <c r="AL9" s="208">
        <f>IFERROR(VLOOKUP(Scenarios!$D$8,'02_Type_Assumptions'!$A$4:$Z$18,17,FALSE()),0)</f>
        <v/>
      </c>
      <c r="AM9" s="208">
        <f>IFERROR(VLOOKUP(Scenarios!$D$8,'02_Type_Assumptions'!$A$4:$Z$18,18,FALSE()),0)</f>
        <v/>
      </c>
      <c r="AN9" s="208">
        <f>IFERROR(VLOOKUP(Scenarios!$D$8,'02_Type_Assumptions'!$A$4:$Z$18,19,FALSE()),0)</f>
        <v/>
      </c>
      <c r="AO9" s="208">
        <f>IFERROR(VLOOKUP(Scenarios!$D$8,'02_Type_Assumptions'!$A$4:$Z$18,20,FALSE()),0)</f>
        <v/>
      </c>
    </row>
    <row r="10" ht="15" customHeight="1" s="106">
      <c r="A10" t="n">
        <v>7</v>
      </c>
      <c r="B10">
        <f>Scenarios!$C$9</f>
        <v/>
      </c>
      <c r="C10" t="inlineStr">
        <is>
          <t>CPF</t>
        </is>
      </c>
      <c r="D10" s="207">
        <f>MAX(0,MIN(1,(1-Scenarios!$J$9+1)/MAX(1,Scenarios!$K$9)))</f>
        <v/>
      </c>
      <c r="E10" s="207">
        <f>MAX(0,MIN(1,(2-Scenarios!$J$9+1)/MAX(1,Scenarios!$K$9)))</f>
        <v/>
      </c>
      <c r="F10" s="207">
        <f>MAX(0,MIN(1,(3-Scenarios!$J$9+1)/MAX(1,Scenarios!$K$9)))</f>
        <v/>
      </c>
      <c r="G10" s="207">
        <f>MAX(0,MIN(1,(4-Scenarios!$J$9+1)/MAX(1,Scenarios!$K$9)))</f>
        <v/>
      </c>
      <c r="H10" s="207">
        <f>MAX(0,MIN(1,(5-Scenarios!$J$9+1)/MAX(1,Scenarios!$K$9)))</f>
        <v/>
      </c>
      <c r="I10" s="207">
        <f>MAX(0,MIN(1,(6-Scenarios!$J$9+1)/MAX(1,Scenarios!$K$9)))</f>
        <v/>
      </c>
      <c r="J10" s="207">
        <f>MAX(0,MIN(1,(7-Scenarios!$J$9+1)/MAX(1,Scenarios!$K$9)))</f>
        <v/>
      </c>
      <c r="K10" s="207">
        <f>MAX(0,MIN(1,(8-Scenarios!$J$9+1)/MAX(1,Scenarios!$K$9)))</f>
        <v/>
      </c>
      <c r="L10" s="207">
        <f>MAX(0,MIN(1,(9-Scenarios!$J$9+1)/MAX(1,Scenarios!$K$9)))</f>
        <v/>
      </c>
      <c r="M10" s="207">
        <f>MAX(0,MIN(1,(10-Scenarios!$J$9+1)/MAX(1,Scenarios!$K$9)))</f>
        <v/>
      </c>
      <c r="N10" s="207">
        <f>MAX(0,MIN(1,(11-Scenarios!$J$9+1)/MAX(1,Scenarios!$K$9)))</f>
        <v/>
      </c>
      <c r="O10" s="207">
        <f>MAX(0,MIN(1,(12-Scenarios!$J$9+1)/MAX(1,Scenarios!$K$9)))</f>
        <v/>
      </c>
      <c r="P10" s="207">
        <f>MAX(0,MIN(1,(13-Scenarios!$J$9+1)/MAX(1,Scenarios!$K$9)))</f>
        <v/>
      </c>
      <c r="Q10" s="207">
        <f>MAX(0,MIN(1,(14-Scenarios!$J$9+1)/MAX(1,Scenarios!$K$9)))</f>
        <v/>
      </c>
      <c r="R10" s="207">
        <f>MAX(0,MIN(1,(15-Scenarios!$J$9+1)/MAX(1,Scenarios!$K$9)))</f>
        <v/>
      </c>
      <c r="S10" s="207">
        <f>MAX(0,MIN(1,(16-Scenarios!$J$9+1)/MAX(1,Scenarios!$K$9)))</f>
        <v/>
      </c>
      <c r="T10" s="207">
        <f>MAX(0,MIN(1,(17-Scenarios!$J$9+1)/MAX(1,Scenarios!$K$9)))</f>
        <v/>
      </c>
      <c r="U10" s="207">
        <f>MAX(0,MIN(1,(18-Scenarios!$J$9+1)/MAX(1,Scenarios!$K$9)))</f>
        <v/>
      </c>
      <c r="V10" s="207">
        <f>MAX(0,MIN(1,(19-Scenarios!$J$9+1)/MAX(1,Scenarios!$K$9)))</f>
        <v/>
      </c>
      <c r="W10" s="207">
        <f>MAX(0,MIN(1,(20-Scenarios!$J$9+1)/MAX(1,Scenarios!$K$9)))</f>
        <v/>
      </c>
      <c r="X10" s="207">
        <f>MAX(0,MIN(1,(21-Scenarios!$J$9+1)/MAX(1,Scenarios!$K$9)))</f>
        <v/>
      </c>
      <c r="Y10" s="207">
        <f>MAX(0,MIN(1,(22-Scenarios!$J$9+1)/MAX(1,Scenarios!$K$9)))</f>
        <v/>
      </c>
      <c r="Z10" s="207">
        <f>MAX(0,MIN(1,(23-Scenarios!$J$9+1)/MAX(1,Scenarios!$K$9)))</f>
        <v/>
      </c>
      <c r="AA10" s="207">
        <f>MAX(0,MIN(1,(24-Scenarios!$J$9+1)/MAX(1,Scenarios!$K$9)))</f>
        <v/>
      </c>
      <c r="AB10" s="207">
        <f>MAX(0,MIN(1,(25-Scenarios!$J$9+1)/MAX(1,Scenarios!$K$9)))</f>
        <v/>
      </c>
      <c r="AC10" s="207">
        <f>MAX(0,MIN(1,(26-Scenarios!$J$9+1)/MAX(1,Scenarios!$K$9)))</f>
        <v/>
      </c>
      <c r="AD10" s="207">
        <f>MAX(0,MIN(1,(27-Scenarios!$J$9+1)/MAX(1,Scenarios!$K$9)))</f>
        <v/>
      </c>
      <c r="AE10" s="207">
        <f>MAX(0,MIN(1,(28-Scenarios!$J$9+1)/MAX(1,Scenarios!$K$9)))</f>
        <v/>
      </c>
      <c r="AF10" s="207">
        <f>MAX(0,MIN(1,(29-Scenarios!$J$9+1)/MAX(1,Scenarios!$K$9)))</f>
        <v/>
      </c>
      <c r="AG10" s="207">
        <f>MAX(0,MIN(1,(30-Scenarios!$J$9+1)/MAX(1,Scenarios!$K$9)))</f>
        <v/>
      </c>
      <c r="AH10" s="208">
        <f>IFERROR(VLOOKUP(Scenarios!$D$9,'02_Type_Assumptions'!$A$4:$Z$18,13,FALSE()),0)</f>
        <v/>
      </c>
      <c r="AI10" s="208">
        <f>IFERROR(VLOOKUP(Scenarios!$D$9,'02_Type_Assumptions'!$A$4:$Z$18,14,FALSE()),0)</f>
        <v/>
      </c>
      <c r="AJ10" s="208">
        <f>IFERROR(VLOOKUP(Scenarios!$D$9,'02_Type_Assumptions'!$A$4:$Z$18,15,FALSE()),0)</f>
        <v/>
      </c>
      <c r="AK10" s="208">
        <f>IFERROR(VLOOKUP(Scenarios!$D$9,'02_Type_Assumptions'!$A$4:$Z$18,16,FALSE()),0)</f>
        <v/>
      </c>
      <c r="AL10" s="208">
        <f>IFERROR(VLOOKUP(Scenarios!$D$9,'02_Type_Assumptions'!$A$4:$Z$18,17,FALSE()),0)</f>
        <v/>
      </c>
      <c r="AM10" s="208">
        <f>IFERROR(VLOOKUP(Scenarios!$D$9,'02_Type_Assumptions'!$A$4:$Z$18,18,FALSE()),0)</f>
        <v/>
      </c>
      <c r="AN10" s="208">
        <f>IFERROR(VLOOKUP(Scenarios!$D$9,'02_Type_Assumptions'!$A$4:$Z$18,19,FALSE()),0)</f>
        <v/>
      </c>
      <c r="AO10" s="208">
        <f>IFERROR(VLOOKUP(Scenarios!$D$9,'02_Type_Assumptions'!$A$4:$Z$18,20,FALSE()),0)</f>
        <v/>
      </c>
    </row>
    <row r="11" ht="15" customHeight="1" s="106">
      <c r="A11" t="n">
        <v>8</v>
      </c>
      <c r="B11">
        <f>Scenarios!$C$10</f>
        <v/>
      </c>
      <c r="C11" t="inlineStr">
        <is>
          <t>CPF</t>
        </is>
      </c>
      <c r="D11" s="207">
        <f>MAX(0,MIN(1,(1-Scenarios!$J$10+1)/MAX(1,Scenarios!$K$10)))</f>
        <v/>
      </c>
      <c r="E11" s="207">
        <f>MAX(0,MIN(1,(2-Scenarios!$J$10+1)/MAX(1,Scenarios!$K$10)))</f>
        <v/>
      </c>
      <c r="F11" s="207">
        <f>MAX(0,MIN(1,(3-Scenarios!$J$10+1)/MAX(1,Scenarios!$K$10)))</f>
        <v/>
      </c>
      <c r="G11" s="207">
        <f>MAX(0,MIN(1,(4-Scenarios!$J$10+1)/MAX(1,Scenarios!$K$10)))</f>
        <v/>
      </c>
      <c r="H11" s="207">
        <f>MAX(0,MIN(1,(5-Scenarios!$J$10+1)/MAX(1,Scenarios!$K$10)))</f>
        <v/>
      </c>
      <c r="I11" s="207">
        <f>MAX(0,MIN(1,(6-Scenarios!$J$10+1)/MAX(1,Scenarios!$K$10)))</f>
        <v/>
      </c>
      <c r="J11" s="207">
        <f>MAX(0,MIN(1,(7-Scenarios!$J$10+1)/MAX(1,Scenarios!$K$10)))</f>
        <v/>
      </c>
      <c r="K11" s="207">
        <f>MAX(0,MIN(1,(8-Scenarios!$J$10+1)/MAX(1,Scenarios!$K$10)))</f>
        <v/>
      </c>
      <c r="L11" s="207">
        <f>MAX(0,MIN(1,(9-Scenarios!$J$10+1)/MAX(1,Scenarios!$K$10)))</f>
        <v/>
      </c>
      <c r="M11" s="207">
        <f>MAX(0,MIN(1,(10-Scenarios!$J$10+1)/MAX(1,Scenarios!$K$10)))</f>
        <v/>
      </c>
      <c r="N11" s="207">
        <f>MAX(0,MIN(1,(11-Scenarios!$J$10+1)/MAX(1,Scenarios!$K$10)))</f>
        <v/>
      </c>
      <c r="O11" s="207">
        <f>MAX(0,MIN(1,(12-Scenarios!$J$10+1)/MAX(1,Scenarios!$K$10)))</f>
        <v/>
      </c>
      <c r="P11" s="207">
        <f>MAX(0,MIN(1,(13-Scenarios!$J$10+1)/MAX(1,Scenarios!$K$10)))</f>
        <v/>
      </c>
      <c r="Q11" s="207">
        <f>MAX(0,MIN(1,(14-Scenarios!$J$10+1)/MAX(1,Scenarios!$K$10)))</f>
        <v/>
      </c>
      <c r="R11" s="207">
        <f>MAX(0,MIN(1,(15-Scenarios!$J$10+1)/MAX(1,Scenarios!$K$10)))</f>
        <v/>
      </c>
      <c r="S11" s="207">
        <f>MAX(0,MIN(1,(16-Scenarios!$J$10+1)/MAX(1,Scenarios!$K$10)))</f>
        <v/>
      </c>
      <c r="T11" s="207">
        <f>MAX(0,MIN(1,(17-Scenarios!$J$10+1)/MAX(1,Scenarios!$K$10)))</f>
        <v/>
      </c>
      <c r="U11" s="207">
        <f>MAX(0,MIN(1,(18-Scenarios!$J$10+1)/MAX(1,Scenarios!$K$10)))</f>
        <v/>
      </c>
      <c r="V11" s="207">
        <f>MAX(0,MIN(1,(19-Scenarios!$J$10+1)/MAX(1,Scenarios!$K$10)))</f>
        <v/>
      </c>
      <c r="W11" s="207">
        <f>MAX(0,MIN(1,(20-Scenarios!$J$10+1)/MAX(1,Scenarios!$K$10)))</f>
        <v/>
      </c>
      <c r="X11" s="207">
        <f>MAX(0,MIN(1,(21-Scenarios!$J$10+1)/MAX(1,Scenarios!$K$10)))</f>
        <v/>
      </c>
      <c r="Y11" s="207">
        <f>MAX(0,MIN(1,(22-Scenarios!$J$10+1)/MAX(1,Scenarios!$K$10)))</f>
        <v/>
      </c>
      <c r="Z11" s="207">
        <f>MAX(0,MIN(1,(23-Scenarios!$J$10+1)/MAX(1,Scenarios!$K$10)))</f>
        <v/>
      </c>
      <c r="AA11" s="207">
        <f>MAX(0,MIN(1,(24-Scenarios!$J$10+1)/MAX(1,Scenarios!$K$10)))</f>
        <v/>
      </c>
      <c r="AB11" s="207">
        <f>MAX(0,MIN(1,(25-Scenarios!$J$10+1)/MAX(1,Scenarios!$K$10)))</f>
        <v/>
      </c>
      <c r="AC11" s="207">
        <f>MAX(0,MIN(1,(26-Scenarios!$J$10+1)/MAX(1,Scenarios!$K$10)))</f>
        <v/>
      </c>
      <c r="AD11" s="207">
        <f>MAX(0,MIN(1,(27-Scenarios!$J$10+1)/MAX(1,Scenarios!$K$10)))</f>
        <v/>
      </c>
      <c r="AE11" s="207">
        <f>MAX(0,MIN(1,(28-Scenarios!$J$10+1)/MAX(1,Scenarios!$K$10)))</f>
        <v/>
      </c>
      <c r="AF11" s="207">
        <f>MAX(0,MIN(1,(29-Scenarios!$J$10+1)/MAX(1,Scenarios!$K$10)))</f>
        <v/>
      </c>
      <c r="AG11" s="207">
        <f>MAX(0,MIN(1,(30-Scenarios!$J$10+1)/MAX(1,Scenarios!$K$10)))</f>
        <v/>
      </c>
      <c r="AH11" s="208">
        <f>IFERROR(VLOOKUP(Scenarios!$D$10,'02_Type_Assumptions'!$A$4:$Z$18,13,FALSE()),0)</f>
        <v/>
      </c>
      <c r="AI11" s="208">
        <f>IFERROR(VLOOKUP(Scenarios!$D$10,'02_Type_Assumptions'!$A$4:$Z$18,14,FALSE()),0)</f>
        <v/>
      </c>
      <c r="AJ11" s="208">
        <f>IFERROR(VLOOKUP(Scenarios!$D$10,'02_Type_Assumptions'!$A$4:$Z$18,15,FALSE()),0)</f>
        <v/>
      </c>
      <c r="AK11" s="208">
        <f>IFERROR(VLOOKUP(Scenarios!$D$10,'02_Type_Assumptions'!$A$4:$Z$18,16,FALSE()),0)</f>
        <v/>
      </c>
      <c r="AL11" s="208">
        <f>IFERROR(VLOOKUP(Scenarios!$D$10,'02_Type_Assumptions'!$A$4:$Z$18,17,FALSE()),0)</f>
        <v/>
      </c>
      <c r="AM11" s="208">
        <f>IFERROR(VLOOKUP(Scenarios!$D$10,'02_Type_Assumptions'!$A$4:$Z$18,18,FALSE()),0)</f>
        <v/>
      </c>
      <c r="AN11" s="208">
        <f>IFERROR(VLOOKUP(Scenarios!$D$10,'02_Type_Assumptions'!$A$4:$Z$18,19,FALSE()),0)</f>
        <v/>
      </c>
      <c r="AO11" s="208">
        <f>IFERROR(VLOOKUP(Scenarios!$D$10,'02_Type_Assumptions'!$A$4:$Z$18,20,FALSE()),0)</f>
        <v/>
      </c>
    </row>
    <row r="12" ht="15" customHeight="1" s="106">
      <c r="A12" t="n">
        <v>9</v>
      </c>
      <c r="B12">
        <f>Scenarios!$C$11</f>
        <v/>
      </c>
      <c r="C12" t="inlineStr">
        <is>
          <t>CPF</t>
        </is>
      </c>
      <c r="D12" s="207">
        <f>MAX(0,MIN(1,(1-Scenarios!$J$11+1)/MAX(1,Scenarios!$K$11)))</f>
        <v/>
      </c>
      <c r="E12" s="207">
        <f>MAX(0,MIN(1,(2-Scenarios!$J$11+1)/MAX(1,Scenarios!$K$11)))</f>
        <v/>
      </c>
      <c r="F12" s="207">
        <f>MAX(0,MIN(1,(3-Scenarios!$J$11+1)/MAX(1,Scenarios!$K$11)))</f>
        <v/>
      </c>
      <c r="G12" s="207">
        <f>MAX(0,MIN(1,(4-Scenarios!$J$11+1)/MAX(1,Scenarios!$K$11)))</f>
        <v/>
      </c>
      <c r="H12" s="207">
        <f>MAX(0,MIN(1,(5-Scenarios!$J$11+1)/MAX(1,Scenarios!$K$11)))</f>
        <v/>
      </c>
      <c r="I12" s="207">
        <f>MAX(0,MIN(1,(6-Scenarios!$J$11+1)/MAX(1,Scenarios!$K$11)))</f>
        <v/>
      </c>
      <c r="J12" s="207">
        <f>MAX(0,MIN(1,(7-Scenarios!$J$11+1)/MAX(1,Scenarios!$K$11)))</f>
        <v/>
      </c>
      <c r="K12" s="207">
        <f>MAX(0,MIN(1,(8-Scenarios!$J$11+1)/MAX(1,Scenarios!$K$11)))</f>
        <v/>
      </c>
      <c r="L12" s="207">
        <f>MAX(0,MIN(1,(9-Scenarios!$J$11+1)/MAX(1,Scenarios!$K$11)))</f>
        <v/>
      </c>
      <c r="M12" s="207">
        <f>MAX(0,MIN(1,(10-Scenarios!$J$11+1)/MAX(1,Scenarios!$K$11)))</f>
        <v/>
      </c>
      <c r="N12" s="207">
        <f>MAX(0,MIN(1,(11-Scenarios!$J$11+1)/MAX(1,Scenarios!$K$11)))</f>
        <v/>
      </c>
      <c r="O12" s="207">
        <f>MAX(0,MIN(1,(12-Scenarios!$J$11+1)/MAX(1,Scenarios!$K$11)))</f>
        <v/>
      </c>
      <c r="P12" s="207">
        <f>MAX(0,MIN(1,(13-Scenarios!$J$11+1)/MAX(1,Scenarios!$K$11)))</f>
        <v/>
      </c>
      <c r="Q12" s="207">
        <f>MAX(0,MIN(1,(14-Scenarios!$J$11+1)/MAX(1,Scenarios!$K$11)))</f>
        <v/>
      </c>
      <c r="R12" s="207">
        <f>MAX(0,MIN(1,(15-Scenarios!$J$11+1)/MAX(1,Scenarios!$K$11)))</f>
        <v/>
      </c>
      <c r="S12" s="207">
        <f>MAX(0,MIN(1,(16-Scenarios!$J$11+1)/MAX(1,Scenarios!$K$11)))</f>
        <v/>
      </c>
      <c r="T12" s="207">
        <f>MAX(0,MIN(1,(17-Scenarios!$J$11+1)/MAX(1,Scenarios!$K$11)))</f>
        <v/>
      </c>
      <c r="U12" s="207">
        <f>MAX(0,MIN(1,(18-Scenarios!$J$11+1)/MAX(1,Scenarios!$K$11)))</f>
        <v/>
      </c>
      <c r="V12" s="207">
        <f>MAX(0,MIN(1,(19-Scenarios!$J$11+1)/MAX(1,Scenarios!$K$11)))</f>
        <v/>
      </c>
      <c r="W12" s="207">
        <f>MAX(0,MIN(1,(20-Scenarios!$J$11+1)/MAX(1,Scenarios!$K$11)))</f>
        <v/>
      </c>
      <c r="X12" s="207">
        <f>MAX(0,MIN(1,(21-Scenarios!$J$11+1)/MAX(1,Scenarios!$K$11)))</f>
        <v/>
      </c>
      <c r="Y12" s="207">
        <f>MAX(0,MIN(1,(22-Scenarios!$J$11+1)/MAX(1,Scenarios!$K$11)))</f>
        <v/>
      </c>
      <c r="Z12" s="207">
        <f>MAX(0,MIN(1,(23-Scenarios!$J$11+1)/MAX(1,Scenarios!$K$11)))</f>
        <v/>
      </c>
      <c r="AA12" s="207">
        <f>MAX(0,MIN(1,(24-Scenarios!$J$11+1)/MAX(1,Scenarios!$K$11)))</f>
        <v/>
      </c>
      <c r="AB12" s="207">
        <f>MAX(0,MIN(1,(25-Scenarios!$J$11+1)/MAX(1,Scenarios!$K$11)))</f>
        <v/>
      </c>
      <c r="AC12" s="207">
        <f>MAX(0,MIN(1,(26-Scenarios!$J$11+1)/MAX(1,Scenarios!$K$11)))</f>
        <v/>
      </c>
      <c r="AD12" s="207">
        <f>MAX(0,MIN(1,(27-Scenarios!$J$11+1)/MAX(1,Scenarios!$K$11)))</f>
        <v/>
      </c>
      <c r="AE12" s="207">
        <f>MAX(0,MIN(1,(28-Scenarios!$J$11+1)/MAX(1,Scenarios!$K$11)))</f>
        <v/>
      </c>
      <c r="AF12" s="207">
        <f>MAX(0,MIN(1,(29-Scenarios!$J$11+1)/MAX(1,Scenarios!$K$11)))</f>
        <v/>
      </c>
      <c r="AG12" s="207">
        <f>MAX(0,MIN(1,(30-Scenarios!$J$11+1)/MAX(1,Scenarios!$K$11)))</f>
        <v/>
      </c>
      <c r="AH12" s="208">
        <f>IFERROR(VLOOKUP(Scenarios!$D$11,'02_Type_Assumptions'!$A$4:$Z$18,13,FALSE()),0)</f>
        <v/>
      </c>
      <c r="AI12" s="208">
        <f>IFERROR(VLOOKUP(Scenarios!$D$11,'02_Type_Assumptions'!$A$4:$Z$18,14,FALSE()),0)</f>
        <v/>
      </c>
      <c r="AJ12" s="208">
        <f>IFERROR(VLOOKUP(Scenarios!$D$11,'02_Type_Assumptions'!$A$4:$Z$18,15,FALSE()),0)</f>
        <v/>
      </c>
      <c r="AK12" s="208">
        <f>IFERROR(VLOOKUP(Scenarios!$D$11,'02_Type_Assumptions'!$A$4:$Z$18,16,FALSE()),0)</f>
        <v/>
      </c>
      <c r="AL12" s="208">
        <f>IFERROR(VLOOKUP(Scenarios!$D$11,'02_Type_Assumptions'!$A$4:$Z$18,17,FALSE()),0)</f>
        <v/>
      </c>
      <c r="AM12" s="208">
        <f>IFERROR(VLOOKUP(Scenarios!$D$11,'02_Type_Assumptions'!$A$4:$Z$18,18,FALSE()),0)</f>
        <v/>
      </c>
      <c r="AN12" s="208">
        <f>IFERROR(VLOOKUP(Scenarios!$D$11,'02_Type_Assumptions'!$A$4:$Z$18,19,FALSE()),0)</f>
        <v/>
      </c>
      <c r="AO12" s="208">
        <f>IFERROR(VLOOKUP(Scenarios!$D$11,'02_Type_Assumptions'!$A$4:$Z$18,20,FALSE()),0)</f>
        <v/>
      </c>
    </row>
    <row r="13" ht="15" customHeight="1" s="106">
      <c r="A13" t="n">
        <v>10</v>
      </c>
      <c r="B13">
        <f>Scenarios!$C$12</f>
        <v/>
      </c>
      <c r="C13" t="inlineStr">
        <is>
          <t>CPF</t>
        </is>
      </c>
      <c r="D13" s="207">
        <f>MAX(0,MIN(1,(1-Scenarios!$J$12+1)/MAX(1,Scenarios!$K$12)))</f>
        <v/>
      </c>
      <c r="E13" s="207">
        <f>MAX(0,MIN(1,(2-Scenarios!$J$12+1)/MAX(1,Scenarios!$K$12)))</f>
        <v/>
      </c>
      <c r="F13" s="207">
        <f>MAX(0,MIN(1,(3-Scenarios!$J$12+1)/MAX(1,Scenarios!$K$12)))</f>
        <v/>
      </c>
      <c r="G13" s="207">
        <f>MAX(0,MIN(1,(4-Scenarios!$J$12+1)/MAX(1,Scenarios!$K$12)))</f>
        <v/>
      </c>
      <c r="H13" s="207">
        <f>MAX(0,MIN(1,(5-Scenarios!$J$12+1)/MAX(1,Scenarios!$K$12)))</f>
        <v/>
      </c>
      <c r="I13" s="207">
        <f>MAX(0,MIN(1,(6-Scenarios!$J$12+1)/MAX(1,Scenarios!$K$12)))</f>
        <v/>
      </c>
      <c r="J13" s="207">
        <f>MAX(0,MIN(1,(7-Scenarios!$J$12+1)/MAX(1,Scenarios!$K$12)))</f>
        <v/>
      </c>
      <c r="K13" s="207">
        <f>MAX(0,MIN(1,(8-Scenarios!$J$12+1)/MAX(1,Scenarios!$K$12)))</f>
        <v/>
      </c>
      <c r="L13" s="207">
        <f>MAX(0,MIN(1,(9-Scenarios!$J$12+1)/MAX(1,Scenarios!$K$12)))</f>
        <v/>
      </c>
      <c r="M13" s="207">
        <f>MAX(0,MIN(1,(10-Scenarios!$J$12+1)/MAX(1,Scenarios!$K$12)))</f>
        <v/>
      </c>
      <c r="N13" s="207">
        <f>MAX(0,MIN(1,(11-Scenarios!$J$12+1)/MAX(1,Scenarios!$K$12)))</f>
        <v/>
      </c>
      <c r="O13" s="207">
        <f>MAX(0,MIN(1,(12-Scenarios!$J$12+1)/MAX(1,Scenarios!$K$12)))</f>
        <v/>
      </c>
      <c r="P13" s="207">
        <f>MAX(0,MIN(1,(13-Scenarios!$J$12+1)/MAX(1,Scenarios!$K$12)))</f>
        <v/>
      </c>
      <c r="Q13" s="207">
        <f>MAX(0,MIN(1,(14-Scenarios!$J$12+1)/MAX(1,Scenarios!$K$12)))</f>
        <v/>
      </c>
      <c r="R13" s="207">
        <f>MAX(0,MIN(1,(15-Scenarios!$J$12+1)/MAX(1,Scenarios!$K$12)))</f>
        <v/>
      </c>
      <c r="S13" s="207">
        <f>MAX(0,MIN(1,(16-Scenarios!$J$12+1)/MAX(1,Scenarios!$K$12)))</f>
        <v/>
      </c>
      <c r="T13" s="207">
        <f>MAX(0,MIN(1,(17-Scenarios!$J$12+1)/MAX(1,Scenarios!$K$12)))</f>
        <v/>
      </c>
      <c r="U13" s="207">
        <f>MAX(0,MIN(1,(18-Scenarios!$J$12+1)/MAX(1,Scenarios!$K$12)))</f>
        <v/>
      </c>
      <c r="V13" s="207">
        <f>MAX(0,MIN(1,(19-Scenarios!$J$12+1)/MAX(1,Scenarios!$K$12)))</f>
        <v/>
      </c>
      <c r="W13" s="207">
        <f>MAX(0,MIN(1,(20-Scenarios!$J$12+1)/MAX(1,Scenarios!$K$12)))</f>
        <v/>
      </c>
      <c r="X13" s="207">
        <f>MAX(0,MIN(1,(21-Scenarios!$J$12+1)/MAX(1,Scenarios!$K$12)))</f>
        <v/>
      </c>
      <c r="Y13" s="207">
        <f>MAX(0,MIN(1,(22-Scenarios!$J$12+1)/MAX(1,Scenarios!$K$12)))</f>
        <v/>
      </c>
      <c r="Z13" s="207">
        <f>MAX(0,MIN(1,(23-Scenarios!$J$12+1)/MAX(1,Scenarios!$K$12)))</f>
        <v/>
      </c>
      <c r="AA13" s="207">
        <f>MAX(0,MIN(1,(24-Scenarios!$J$12+1)/MAX(1,Scenarios!$K$12)))</f>
        <v/>
      </c>
      <c r="AB13" s="207">
        <f>MAX(0,MIN(1,(25-Scenarios!$J$12+1)/MAX(1,Scenarios!$K$12)))</f>
        <v/>
      </c>
      <c r="AC13" s="207">
        <f>MAX(0,MIN(1,(26-Scenarios!$J$12+1)/MAX(1,Scenarios!$K$12)))</f>
        <v/>
      </c>
      <c r="AD13" s="207">
        <f>MAX(0,MIN(1,(27-Scenarios!$J$12+1)/MAX(1,Scenarios!$K$12)))</f>
        <v/>
      </c>
      <c r="AE13" s="207">
        <f>MAX(0,MIN(1,(28-Scenarios!$J$12+1)/MAX(1,Scenarios!$K$12)))</f>
        <v/>
      </c>
      <c r="AF13" s="207">
        <f>MAX(0,MIN(1,(29-Scenarios!$J$12+1)/MAX(1,Scenarios!$K$12)))</f>
        <v/>
      </c>
      <c r="AG13" s="207">
        <f>MAX(0,MIN(1,(30-Scenarios!$J$12+1)/MAX(1,Scenarios!$K$12)))</f>
        <v/>
      </c>
      <c r="AH13" s="208">
        <f>IFERROR(VLOOKUP(Scenarios!$D$12,'02_Type_Assumptions'!$A$4:$Z$18,13,FALSE()),0)</f>
        <v/>
      </c>
      <c r="AI13" s="208">
        <f>IFERROR(VLOOKUP(Scenarios!$D$12,'02_Type_Assumptions'!$A$4:$Z$18,14,FALSE()),0)</f>
        <v/>
      </c>
      <c r="AJ13" s="208">
        <f>IFERROR(VLOOKUP(Scenarios!$D$12,'02_Type_Assumptions'!$A$4:$Z$18,15,FALSE()),0)</f>
        <v/>
      </c>
      <c r="AK13" s="208">
        <f>IFERROR(VLOOKUP(Scenarios!$D$12,'02_Type_Assumptions'!$A$4:$Z$18,16,FALSE()),0)</f>
        <v/>
      </c>
      <c r="AL13" s="208">
        <f>IFERROR(VLOOKUP(Scenarios!$D$12,'02_Type_Assumptions'!$A$4:$Z$18,17,FALSE()),0)</f>
        <v/>
      </c>
      <c r="AM13" s="208">
        <f>IFERROR(VLOOKUP(Scenarios!$D$12,'02_Type_Assumptions'!$A$4:$Z$18,18,FALSE()),0)</f>
        <v/>
      </c>
      <c r="AN13" s="208">
        <f>IFERROR(VLOOKUP(Scenarios!$D$12,'02_Type_Assumptions'!$A$4:$Z$18,19,FALSE()),0)</f>
        <v/>
      </c>
      <c r="AO13" s="208">
        <f>IFERROR(VLOOKUP(Scenarios!$D$12,'02_Type_Assumptions'!$A$4:$Z$18,20,FALSE()),0)</f>
        <v/>
      </c>
    </row>
    <row r="14" ht="15" customHeight="1" s="106">
      <c r="A14" t="n">
        <v>11</v>
      </c>
      <c r="B14">
        <f>Scenarios!$C$13</f>
        <v/>
      </c>
      <c r="C14" t="inlineStr">
        <is>
          <t>CPF</t>
        </is>
      </c>
      <c r="D14" s="207">
        <f>MAX(0,MIN(1,(1-Scenarios!$J$13+1)/MAX(1,Scenarios!$K$13)))</f>
        <v/>
      </c>
      <c r="E14" s="207">
        <f>MAX(0,MIN(1,(2-Scenarios!$J$13+1)/MAX(1,Scenarios!$K$13)))</f>
        <v/>
      </c>
      <c r="F14" s="207">
        <f>MAX(0,MIN(1,(3-Scenarios!$J$13+1)/MAX(1,Scenarios!$K$13)))</f>
        <v/>
      </c>
      <c r="G14" s="207">
        <f>MAX(0,MIN(1,(4-Scenarios!$J$13+1)/MAX(1,Scenarios!$K$13)))</f>
        <v/>
      </c>
      <c r="H14" s="207">
        <f>MAX(0,MIN(1,(5-Scenarios!$J$13+1)/MAX(1,Scenarios!$K$13)))</f>
        <v/>
      </c>
      <c r="I14" s="207">
        <f>MAX(0,MIN(1,(6-Scenarios!$J$13+1)/MAX(1,Scenarios!$K$13)))</f>
        <v/>
      </c>
      <c r="J14" s="207">
        <f>MAX(0,MIN(1,(7-Scenarios!$J$13+1)/MAX(1,Scenarios!$K$13)))</f>
        <v/>
      </c>
      <c r="K14" s="207">
        <f>MAX(0,MIN(1,(8-Scenarios!$J$13+1)/MAX(1,Scenarios!$K$13)))</f>
        <v/>
      </c>
      <c r="L14" s="207">
        <f>MAX(0,MIN(1,(9-Scenarios!$J$13+1)/MAX(1,Scenarios!$K$13)))</f>
        <v/>
      </c>
      <c r="M14" s="207">
        <f>MAX(0,MIN(1,(10-Scenarios!$J$13+1)/MAX(1,Scenarios!$K$13)))</f>
        <v/>
      </c>
      <c r="N14" s="207">
        <f>MAX(0,MIN(1,(11-Scenarios!$J$13+1)/MAX(1,Scenarios!$K$13)))</f>
        <v/>
      </c>
      <c r="O14" s="207">
        <f>MAX(0,MIN(1,(12-Scenarios!$J$13+1)/MAX(1,Scenarios!$K$13)))</f>
        <v/>
      </c>
      <c r="P14" s="207">
        <f>MAX(0,MIN(1,(13-Scenarios!$J$13+1)/MAX(1,Scenarios!$K$13)))</f>
        <v/>
      </c>
      <c r="Q14" s="207">
        <f>MAX(0,MIN(1,(14-Scenarios!$J$13+1)/MAX(1,Scenarios!$K$13)))</f>
        <v/>
      </c>
      <c r="R14" s="207">
        <f>MAX(0,MIN(1,(15-Scenarios!$J$13+1)/MAX(1,Scenarios!$K$13)))</f>
        <v/>
      </c>
      <c r="S14" s="207">
        <f>MAX(0,MIN(1,(16-Scenarios!$J$13+1)/MAX(1,Scenarios!$K$13)))</f>
        <v/>
      </c>
      <c r="T14" s="207">
        <f>MAX(0,MIN(1,(17-Scenarios!$J$13+1)/MAX(1,Scenarios!$K$13)))</f>
        <v/>
      </c>
      <c r="U14" s="207">
        <f>MAX(0,MIN(1,(18-Scenarios!$J$13+1)/MAX(1,Scenarios!$K$13)))</f>
        <v/>
      </c>
      <c r="V14" s="207">
        <f>MAX(0,MIN(1,(19-Scenarios!$J$13+1)/MAX(1,Scenarios!$K$13)))</f>
        <v/>
      </c>
      <c r="W14" s="207">
        <f>MAX(0,MIN(1,(20-Scenarios!$J$13+1)/MAX(1,Scenarios!$K$13)))</f>
        <v/>
      </c>
      <c r="X14" s="207">
        <f>MAX(0,MIN(1,(21-Scenarios!$J$13+1)/MAX(1,Scenarios!$K$13)))</f>
        <v/>
      </c>
      <c r="Y14" s="207">
        <f>MAX(0,MIN(1,(22-Scenarios!$J$13+1)/MAX(1,Scenarios!$K$13)))</f>
        <v/>
      </c>
      <c r="Z14" s="207">
        <f>MAX(0,MIN(1,(23-Scenarios!$J$13+1)/MAX(1,Scenarios!$K$13)))</f>
        <v/>
      </c>
      <c r="AA14" s="207">
        <f>MAX(0,MIN(1,(24-Scenarios!$J$13+1)/MAX(1,Scenarios!$K$13)))</f>
        <v/>
      </c>
      <c r="AB14" s="207">
        <f>MAX(0,MIN(1,(25-Scenarios!$J$13+1)/MAX(1,Scenarios!$K$13)))</f>
        <v/>
      </c>
      <c r="AC14" s="207">
        <f>MAX(0,MIN(1,(26-Scenarios!$J$13+1)/MAX(1,Scenarios!$K$13)))</f>
        <v/>
      </c>
      <c r="AD14" s="207">
        <f>MAX(0,MIN(1,(27-Scenarios!$J$13+1)/MAX(1,Scenarios!$K$13)))</f>
        <v/>
      </c>
      <c r="AE14" s="207">
        <f>MAX(0,MIN(1,(28-Scenarios!$J$13+1)/MAX(1,Scenarios!$K$13)))</f>
        <v/>
      </c>
      <c r="AF14" s="207">
        <f>MAX(0,MIN(1,(29-Scenarios!$J$13+1)/MAX(1,Scenarios!$K$13)))</f>
        <v/>
      </c>
      <c r="AG14" s="207">
        <f>MAX(0,MIN(1,(30-Scenarios!$J$13+1)/MAX(1,Scenarios!$K$13)))</f>
        <v/>
      </c>
      <c r="AH14" s="208">
        <f>IFERROR(VLOOKUP(Scenarios!$D$13,'02_Type_Assumptions'!$A$4:$Z$18,13,FALSE()),0)</f>
        <v/>
      </c>
      <c r="AI14" s="208">
        <f>IFERROR(VLOOKUP(Scenarios!$D$13,'02_Type_Assumptions'!$A$4:$Z$18,14,FALSE()),0)</f>
        <v/>
      </c>
      <c r="AJ14" s="208">
        <f>IFERROR(VLOOKUP(Scenarios!$D$13,'02_Type_Assumptions'!$A$4:$Z$18,15,FALSE()),0)</f>
        <v/>
      </c>
      <c r="AK14" s="208">
        <f>IFERROR(VLOOKUP(Scenarios!$D$13,'02_Type_Assumptions'!$A$4:$Z$18,16,FALSE()),0)</f>
        <v/>
      </c>
      <c r="AL14" s="208">
        <f>IFERROR(VLOOKUP(Scenarios!$D$13,'02_Type_Assumptions'!$A$4:$Z$18,17,FALSE()),0)</f>
        <v/>
      </c>
      <c r="AM14" s="208">
        <f>IFERROR(VLOOKUP(Scenarios!$D$13,'02_Type_Assumptions'!$A$4:$Z$18,18,FALSE()),0)</f>
        <v/>
      </c>
      <c r="AN14" s="208">
        <f>IFERROR(VLOOKUP(Scenarios!$D$13,'02_Type_Assumptions'!$A$4:$Z$18,19,FALSE()),0)</f>
        <v/>
      </c>
      <c r="AO14" s="208">
        <f>IFERROR(VLOOKUP(Scenarios!$D$13,'02_Type_Assumptions'!$A$4:$Z$18,20,FALSE()),0)</f>
        <v/>
      </c>
    </row>
    <row r="15" ht="15" customHeight="1" s="106">
      <c r="A15" t="n">
        <v>12</v>
      </c>
      <c r="B15">
        <f>Scenarios!$C$14</f>
        <v/>
      </c>
      <c r="C15" t="inlineStr">
        <is>
          <t>CPF</t>
        </is>
      </c>
      <c r="D15" s="207">
        <f>MAX(0,MIN(1,(1-Scenarios!$J$14+1)/MAX(1,Scenarios!$K$14)))</f>
        <v/>
      </c>
      <c r="E15" s="207">
        <f>MAX(0,MIN(1,(2-Scenarios!$J$14+1)/MAX(1,Scenarios!$K$14)))</f>
        <v/>
      </c>
      <c r="F15" s="207">
        <f>MAX(0,MIN(1,(3-Scenarios!$J$14+1)/MAX(1,Scenarios!$K$14)))</f>
        <v/>
      </c>
      <c r="G15" s="207">
        <f>MAX(0,MIN(1,(4-Scenarios!$J$14+1)/MAX(1,Scenarios!$K$14)))</f>
        <v/>
      </c>
      <c r="H15" s="207">
        <f>MAX(0,MIN(1,(5-Scenarios!$J$14+1)/MAX(1,Scenarios!$K$14)))</f>
        <v/>
      </c>
      <c r="I15" s="207">
        <f>MAX(0,MIN(1,(6-Scenarios!$J$14+1)/MAX(1,Scenarios!$K$14)))</f>
        <v/>
      </c>
      <c r="J15" s="207">
        <f>MAX(0,MIN(1,(7-Scenarios!$J$14+1)/MAX(1,Scenarios!$K$14)))</f>
        <v/>
      </c>
      <c r="K15" s="207">
        <f>MAX(0,MIN(1,(8-Scenarios!$J$14+1)/MAX(1,Scenarios!$K$14)))</f>
        <v/>
      </c>
      <c r="L15" s="207">
        <f>MAX(0,MIN(1,(9-Scenarios!$J$14+1)/MAX(1,Scenarios!$K$14)))</f>
        <v/>
      </c>
      <c r="M15" s="207">
        <f>MAX(0,MIN(1,(10-Scenarios!$J$14+1)/MAX(1,Scenarios!$K$14)))</f>
        <v/>
      </c>
      <c r="N15" s="207">
        <f>MAX(0,MIN(1,(11-Scenarios!$J$14+1)/MAX(1,Scenarios!$K$14)))</f>
        <v/>
      </c>
      <c r="O15" s="207">
        <f>MAX(0,MIN(1,(12-Scenarios!$J$14+1)/MAX(1,Scenarios!$K$14)))</f>
        <v/>
      </c>
      <c r="P15" s="207">
        <f>MAX(0,MIN(1,(13-Scenarios!$J$14+1)/MAX(1,Scenarios!$K$14)))</f>
        <v/>
      </c>
      <c r="Q15" s="207">
        <f>MAX(0,MIN(1,(14-Scenarios!$J$14+1)/MAX(1,Scenarios!$K$14)))</f>
        <v/>
      </c>
      <c r="R15" s="207">
        <f>MAX(0,MIN(1,(15-Scenarios!$J$14+1)/MAX(1,Scenarios!$K$14)))</f>
        <v/>
      </c>
      <c r="S15" s="207">
        <f>MAX(0,MIN(1,(16-Scenarios!$J$14+1)/MAX(1,Scenarios!$K$14)))</f>
        <v/>
      </c>
      <c r="T15" s="207">
        <f>MAX(0,MIN(1,(17-Scenarios!$J$14+1)/MAX(1,Scenarios!$K$14)))</f>
        <v/>
      </c>
      <c r="U15" s="207">
        <f>MAX(0,MIN(1,(18-Scenarios!$J$14+1)/MAX(1,Scenarios!$K$14)))</f>
        <v/>
      </c>
      <c r="V15" s="207">
        <f>MAX(0,MIN(1,(19-Scenarios!$J$14+1)/MAX(1,Scenarios!$K$14)))</f>
        <v/>
      </c>
      <c r="W15" s="207">
        <f>MAX(0,MIN(1,(20-Scenarios!$J$14+1)/MAX(1,Scenarios!$K$14)))</f>
        <v/>
      </c>
      <c r="X15" s="207">
        <f>MAX(0,MIN(1,(21-Scenarios!$J$14+1)/MAX(1,Scenarios!$K$14)))</f>
        <v/>
      </c>
      <c r="Y15" s="207">
        <f>MAX(0,MIN(1,(22-Scenarios!$J$14+1)/MAX(1,Scenarios!$K$14)))</f>
        <v/>
      </c>
      <c r="Z15" s="207">
        <f>MAX(0,MIN(1,(23-Scenarios!$J$14+1)/MAX(1,Scenarios!$K$14)))</f>
        <v/>
      </c>
      <c r="AA15" s="207">
        <f>MAX(0,MIN(1,(24-Scenarios!$J$14+1)/MAX(1,Scenarios!$K$14)))</f>
        <v/>
      </c>
      <c r="AB15" s="207">
        <f>MAX(0,MIN(1,(25-Scenarios!$J$14+1)/MAX(1,Scenarios!$K$14)))</f>
        <v/>
      </c>
      <c r="AC15" s="207">
        <f>MAX(0,MIN(1,(26-Scenarios!$J$14+1)/MAX(1,Scenarios!$K$14)))</f>
        <v/>
      </c>
      <c r="AD15" s="207">
        <f>MAX(0,MIN(1,(27-Scenarios!$J$14+1)/MAX(1,Scenarios!$K$14)))</f>
        <v/>
      </c>
      <c r="AE15" s="207">
        <f>MAX(0,MIN(1,(28-Scenarios!$J$14+1)/MAX(1,Scenarios!$K$14)))</f>
        <v/>
      </c>
      <c r="AF15" s="207">
        <f>MAX(0,MIN(1,(29-Scenarios!$J$14+1)/MAX(1,Scenarios!$K$14)))</f>
        <v/>
      </c>
      <c r="AG15" s="207">
        <f>MAX(0,MIN(1,(30-Scenarios!$J$14+1)/MAX(1,Scenarios!$K$14)))</f>
        <v/>
      </c>
      <c r="AH15" s="208">
        <f>IFERROR(VLOOKUP(Scenarios!$D$14,'02_Type_Assumptions'!$A$4:$Z$18,13,FALSE()),0)</f>
        <v/>
      </c>
      <c r="AI15" s="208">
        <f>IFERROR(VLOOKUP(Scenarios!$D$14,'02_Type_Assumptions'!$A$4:$Z$18,14,FALSE()),0)</f>
        <v/>
      </c>
      <c r="AJ15" s="208">
        <f>IFERROR(VLOOKUP(Scenarios!$D$14,'02_Type_Assumptions'!$A$4:$Z$18,15,FALSE()),0)</f>
        <v/>
      </c>
      <c r="AK15" s="208">
        <f>IFERROR(VLOOKUP(Scenarios!$D$14,'02_Type_Assumptions'!$A$4:$Z$18,16,FALSE()),0)</f>
        <v/>
      </c>
      <c r="AL15" s="208">
        <f>IFERROR(VLOOKUP(Scenarios!$D$14,'02_Type_Assumptions'!$A$4:$Z$18,17,FALSE()),0)</f>
        <v/>
      </c>
      <c r="AM15" s="208">
        <f>IFERROR(VLOOKUP(Scenarios!$D$14,'02_Type_Assumptions'!$A$4:$Z$18,18,FALSE()),0)</f>
        <v/>
      </c>
      <c r="AN15" s="208">
        <f>IFERROR(VLOOKUP(Scenarios!$D$14,'02_Type_Assumptions'!$A$4:$Z$18,19,FALSE()),0)</f>
        <v/>
      </c>
      <c r="AO15" s="208">
        <f>IFERROR(VLOOKUP(Scenarios!$D$14,'02_Type_Assumptions'!$A$4:$Z$18,20,FALSE()),0)</f>
        <v/>
      </c>
    </row>
    <row r="16" ht="15" customHeight="1" s="106">
      <c r="A16" t="n">
        <v>13</v>
      </c>
      <c r="B16">
        <f>Scenarios!$C$15</f>
        <v/>
      </c>
      <c r="C16" t="inlineStr">
        <is>
          <t>CPF</t>
        </is>
      </c>
      <c r="D16" s="207">
        <f>MAX(0,MIN(1,(1-Scenarios!$J$15+1)/MAX(1,Scenarios!$K$15)))</f>
        <v/>
      </c>
      <c r="E16" s="207">
        <f>MAX(0,MIN(1,(2-Scenarios!$J$15+1)/MAX(1,Scenarios!$K$15)))</f>
        <v/>
      </c>
      <c r="F16" s="207">
        <f>MAX(0,MIN(1,(3-Scenarios!$J$15+1)/MAX(1,Scenarios!$K$15)))</f>
        <v/>
      </c>
      <c r="G16" s="207">
        <f>MAX(0,MIN(1,(4-Scenarios!$J$15+1)/MAX(1,Scenarios!$K$15)))</f>
        <v/>
      </c>
      <c r="H16" s="207">
        <f>MAX(0,MIN(1,(5-Scenarios!$J$15+1)/MAX(1,Scenarios!$K$15)))</f>
        <v/>
      </c>
      <c r="I16" s="207">
        <f>MAX(0,MIN(1,(6-Scenarios!$J$15+1)/MAX(1,Scenarios!$K$15)))</f>
        <v/>
      </c>
      <c r="J16" s="207">
        <f>MAX(0,MIN(1,(7-Scenarios!$J$15+1)/MAX(1,Scenarios!$K$15)))</f>
        <v/>
      </c>
      <c r="K16" s="207">
        <f>MAX(0,MIN(1,(8-Scenarios!$J$15+1)/MAX(1,Scenarios!$K$15)))</f>
        <v/>
      </c>
      <c r="L16" s="207">
        <f>MAX(0,MIN(1,(9-Scenarios!$J$15+1)/MAX(1,Scenarios!$K$15)))</f>
        <v/>
      </c>
      <c r="M16" s="207">
        <f>MAX(0,MIN(1,(10-Scenarios!$J$15+1)/MAX(1,Scenarios!$K$15)))</f>
        <v/>
      </c>
      <c r="N16" s="207">
        <f>MAX(0,MIN(1,(11-Scenarios!$J$15+1)/MAX(1,Scenarios!$K$15)))</f>
        <v/>
      </c>
      <c r="O16" s="207">
        <f>MAX(0,MIN(1,(12-Scenarios!$J$15+1)/MAX(1,Scenarios!$K$15)))</f>
        <v/>
      </c>
      <c r="P16" s="207">
        <f>MAX(0,MIN(1,(13-Scenarios!$J$15+1)/MAX(1,Scenarios!$K$15)))</f>
        <v/>
      </c>
      <c r="Q16" s="207">
        <f>MAX(0,MIN(1,(14-Scenarios!$J$15+1)/MAX(1,Scenarios!$K$15)))</f>
        <v/>
      </c>
      <c r="R16" s="207">
        <f>MAX(0,MIN(1,(15-Scenarios!$J$15+1)/MAX(1,Scenarios!$K$15)))</f>
        <v/>
      </c>
      <c r="S16" s="207">
        <f>MAX(0,MIN(1,(16-Scenarios!$J$15+1)/MAX(1,Scenarios!$K$15)))</f>
        <v/>
      </c>
      <c r="T16" s="207">
        <f>MAX(0,MIN(1,(17-Scenarios!$J$15+1)/MAX(1,Scenarios!$K$15)))</f>
        <v/>
      </c>
      <c r="U16" s="207">
        <f>MAX(0,MIN(1,(18-Scenarios!$J$15+1)/MAX(1,Scenarios!$K$15)))</f>
        <v/>
      </c>
      <c r="V16" s="207">
        <f>MAX(0,MIN(1,(19-Scenarios!$J$15+1)/MAX(1,Scenarios!$K$15)))</f>
        <v/>
      </c>
      <c r="W16" s="207">
        <f>MAX(0,MIN(1,(20-Scenarios!$J$15+1)/MAX(1,Scenarios!$K$15)))</f>
        <v/>
      </c>
      <c r="X16" s="207">
        <f>MAX(0,MIN(1,(21-Scenarios!$J$15+1)/MAX(1,Scenarios!$K$15)))</f>
        <v/>
      </c>
      <c r="Y16" s="207">
        <f>MAX(0,MIN(1,(22-Scenarios!$J$15+1)/MAX(1,Scenarios!$K$15)))</f>
        <v/>
      </c>
      <c r="Z16" s="207">
        <f>MAX(0,MIN(1,(23-Scenarios!$J$15+1)/MAX(1,Scenarios!$K$15)))</f>
        <v/>
      </c>
      <c r="AA16" s="207">
        <f>MAX(0,MIN(1,(24-Scenarios!$J$15+1)/MAX(1,Scenarios!$K$15)))</f>
        <v/>
      </c>
      <c r="AB16" s="207">
        <f>MAX(0,MIN(1,(25-Scenarios!$J$15+1)/MAX(1,Scenarios!$K$15)))</f>
        <v/>
      </c>
      <c r="AC16" s="207">
        <f>MAX(0,MIN(1,(26-Scenarios!$J$15+1)/MAX(1,Scenarios!$K$15)))</f>
        <v/>
      </c>
      <c r="AD16" s="207">
        <f>MAX(0,MIN(1,(27-Scenarios!$J$15+1)/MAX(1,Scenarios!$K$15)))</f>
        <v/>
      </c>
      <c r="AE16" s="207">
        <f>MAX(0,MIN(1,(28-Scenarios!$J$15+1)/MAX(1,Scenarios!$K$15)))</f>
        <v/>
      </c>
      <c r="AF16" s="207">
        <f>MAX(0,MIN(1,(29-Scenarios!$J$15+1)/MAX(1,Scenarios!$K$15)))</f>
        <v/>
      </c>
      <c r="AG16" s="207">
        <f>MAX(0,MIN(1,(30-Scenarios!$J$15+1)/MAX(1,Scenarios!$K$15)))</f>
        <v/>
      </c>
      <c r="AH16" s="208">
        <f>IFERROR(VLOOKUP(Scenarios!$D$15,'02_Type_Assumptions'!$A$4:$Z$18,13,FALSE()),0)</f>
        <v/>
      </c>
      <c r="AI16" s="208">
        <f>IFERROR(VLOOKUP(Scenarios!$D$15,'02_Type_Assumptions'!$A$4:$Z$18,14,FALSE()),0)</f>
        <v/>
      </c>
      <c r="AJ16" s="208">
        <f>IFERROR(VLOOKUP(Scenarios!$D$15,'02_Type_Assumptions'!$A$4:$Z$18,15,FALSE()),0)</f>
        <v/>
      </c>
      <c r="AK16" s="208">
        <f>IFERROR(VLOOKUP(Scenarios!$D$15,'02_Type_Assumptions'!$A$4:$Z$18,16,FALSE()),0)</f>
        <v/>
      </c>
      <c r="AL16" s="208">
        <f>IFERROR(VLOOKUP(Scenarios!$D$15,'02_Type_Assumptions'!$A$4:$Z$18,17,FALSE()),0)</f>
        <v/>
      </c>
      <c r="AM16" s="208">
        <f>IFERROR(VLOOKUP(Scenarios!$D$15,'02_Type_Assumptions'!$A$4:$Z$18,18,FALSE()),0)</f>
        <v/>
      </c>
      <c r="AN16" s="208">
        <f>IFERROR(VLOOKUP(Scenarios!$D$15,'02_Type_Assumptions'!$A$4:$Z$18,19,FALSE()),0)</f>
        <v/>
      </c>
      <c r="AO16" s="208">
        <f>IFERROR(VLOOKUP(Scenarios!$D$15,'02_Type_Assumptions'!$A$4:$Z$18,20,FALSE()),0)</f>
        <v/>
      </c>
    </row>
    <row r="17" ht="15" customHeight="1" s="106">
      <c r="A17" t="n">
        <v>14</v>
      </c>
      <c r="B17">
        <f>Scenarios!$C$16</f>
        <v/>
      </c>
      <c r="C17" t="inlineStr">
        <is>
          <t>CPF</t>
        </is>
      </c>
      <c r="D17" s="207">
        <f>MAX(0,MIN(1,(1-Scenarios!$J$16+1)/MAX(1,Scenarios!$K$16)))</f>
        <v/>
      </c>
      <c r="E17" s="207">
        <f>MAX(0,MIN(1,(2-Scenarios!$J$16+1)/MAX(1,Scenarios!$K$16)))</f>
        <v/>
      </c>
      <c r="F17" s="207">
        <f>MAX(0,MIN(1,(3-Scenarios!$J$16+1)/MAX(1,Scenarios!$K$16)))</f>
        <v/>
      </c>
      <c r="G17" s="207">
        <f>MAX(0,MIN(1,(4-Scenarios!$J$16+1)/MAX(1,Scenarios!$K$16)))</f>
        <v/>
      </c>
      <c r="H17" s="207">
        <f>MAX(0,MIN(1,(5-Scenarios!$J$16+1)/MAX(1,Scenarios!$K$16)))</f>
        <v/>
      </c>
      <c r="I17" s="207">
        <f>MAX(0,MIN(1,(6-Scenarios!$J$16+1)/MAX(1,Scenarios!$K$16)))</f>
        <v/>
      </c>
      <c r="J17" s="207">
        <f>MAX(0,MIN(1,(7-Scenarios!$J$16+1)/MAX(1,Scenarios!$K$16)))</f>
        <v/>
      </c>
      <c r="K17" s="207">
        <f>MAX(0,MIN(1,(8-Scenarios!$J$16+1)/MAX(1,Scenarios!$K$16)))</f>
        <v/>
      </c>
      <c r="L17" s="207">
        <f>MAX(0,MIN(1,(9-Scenarios!$J$16+1)/MAX(1,Scenarios!$K$16)))</f>
        <v/>
      </c>
      <c r="M17" s="207">
        <f>MAX(0,MIN(1,(10-Scenarios!$J$16+1)/MAX(1,Scenarios!$K$16)))</f>
        <v/>
      </c>
      <c r="N17" s="207">
        <f>MAX(0,MIN(1,(11-Scenarios!$J$16+1)/MAX(1,Scenarios!$K$16)))</f>
        <v/>
      </c>
      <c r="O17" s="207">
        <f>MAX(0,MIN(1,(12-Scenarios!$J$16+1)/MAX(1,Scenarios!$K$16)))</f>
        <v/>
      </c>
      <c r="P17" s="207">
        <f>MAX(0,MIN(1,(13-Scenarios!$J$16+1)/MAX(1,Scenarios!$K$16)))</f>
        <v/>
      </c>
      <c r="Q17" s="207">
        <f>MAX(0,MIN(1,(14-Scenarios!$J$16+1)/MAX(1,Scenarios!$K$16)))</f>
        <v/>
      </c>
      <c r="R17" s="207">
        <f>MAX(0,MIN(1,(15-Scenarios!$J$16+1)/MAX(1,Scenarios!$K$16)))</f>
        <v/>
      </c>
      <c r="S17" s="207">
        <f>MAX(0,MIN(1,(16-Scenarios!$J$16+1)/MAX(1,Scenarios!$K$16)))</f>
        <v/>
      </c>
      <c r="T17" s="207">
        <f>MAX(0,MIN(1,(17-Scenarios!$J$16+1)/MAX(1,Scenarios!$K$16)))</f>
        <v/>
      </c>
      <c r="U17" s="207">
        <f>MAX(0,MIN(1,(18-Scenarios!$J$16+1)/MAX(1,Scenarios!$K$16)))</f>
        <v/>
      </c>
      <c r="V17" s="207">
        <f>MAX(0,MIN(1,(19-Scenarios!$J$16+1)/MAX(1,Scenarios!$K$16)))</f>
        <v/>
      </c>
      <c r="W17" s="207">
        <f>MAX(0,MIN(1,(20-Scenarios!$J$16+1)/MAX(1,Scenarios!$K$16)))</f>
        <v/>
      </c>
      <c r="X17" s="207">
        <f>MAX(0,MIN(1,(21-Scenarios!$J$16+1)/MAX(1,Scenarios!$K$16)))</f>
        <v/>
      </c>
      <c r="Y17" s="207">
        <f>MAX(0,MIN(1,(22-Scenarios!$J$16+1)/MAX(1,Scenarios!$K$16)))</f>
        <v/>
      </c>
      <c r="Z17" s="207">
        <f>MAX(0,MIN(1,(23-Scenarios!$J$16+1)/MAX(1,Scenarios!$K$16)))</f>
        <v/>
      </c>
      <c r="AA17" s="207">
        <f>MAX(0,MIN(1,(24-Scenarios!$J$16+1)/MAX(1,Scenarios!$K$16)))</f>
        <v/>
      </c>
      <c r="AB17" s="207">
        <f>MAX(0,MIN(1,(25-Scenarios!$J$16+1)/MAX(1,Scenarios!$K$16)))</f>
        <v/>
      </c>
      <c r="AC17" s="207">
        <f>MAX(0,MIN(1,(26-Scenarios!$J$16+1)/MAX(1,Scenarios!$K$16)))</f>
        <v/>
      </c>
      <c r="AD17" s="207">
        <f>MAX(0,MIN(1,(27-Scenarios!$J$16+1)/MAX(1,Scenarios!$K$16)))</f>
        <v/>
      </c>
      <c r="AE17" s="207">
        <f>MAX(0,MIN(1,(28-Scenarios!$J$16+1)/MAX(1,Scenarios!$K$16)))</f>
        <v/>
      </c>
      <c r="AF17" s="207">
        <f>MAX(0,MIN(1,(29-Scenarios!$J$16+1)/MAX(1,Scenarios!$K$16)))</f>
        <v/>
      </c>
      <c r="AG17" s="207">
        <f>MAX(0,MIN(1,(30-Scenarios!$J$16+1)/MAX(1,Scenarios!$K$16)))</f>
        <v/>
      </c>
      <c r="AH17" s="208">
        <f>IFERROR(VLOOKUP(Scenarios!$D$16,'02_Type_Assumptions'!$A$4:$Z$18,13,FALSE()),0)</f>
        <v/>
      </c>
      <c r="AI17" s="208">
        <f>IFERROR(VLOOKUP(Scenarios!$D$16,'02_Type_Assumptions'!$A$4:$Z$18,14,FALSE()),0)</f>
        <v/>
      </c>
      <c r="AJ17" s="208">
        <f>IFERROR(VLOOKUP(Scenarios!$D$16,'02_Type_Assumptions'!$A$4:$Z$18,15,FALSE()),0)</f>
        <v/>
      </c>
      <c r="AK17" s="208">
        <f>IFERROR(VLOOKUP(Scenarios!$D$16,'02_Type_Assumptions'!$A$4:$Z$18,16,FALSE()),0)</f>
        <v/>
      </c>
      <c r="AL17" s="208">
        <f>IFERROR(VLOOKUP(Scenarios!$D$16,'02_Type_Assumptions'!$A$4:$Z$18,17,FALSE()),0)</f>
        <v/>
      </c>
      <c r="AM17" s="208">
        <f>IFERROR(VLOOKUP(Scenarios!$D$16,'02_Type_Assumptions'!$A$4:$Z$18,18,FALSE()),0)</f>
        <v/>
      </c>
      <c r="AN17" s="208">
        <f>IFERROR(VLOOKUP(Scenarios!$D$16,'02_Type_Assumptions'!$A$4:$Z$18,19,FALSE()),0)</f>
        <v/>
      </c>
      <c r="AO17" s="208">
        <f>IFERROR(VLOOKUP(Scenarios!$D$16,'02_Type_Assumptions'!$A$4:$Z$18,20,FALSE()),0)</f>
        <v/>
      </c>
    </row>
    <row r="18" ht="15" customHeight="1" s="106">
      <c r="A18" t="n">
        <v>15</v>
      </c>
      <c r="B18">
        <f>Scenarios!$C$17</f>
        <v/>
      </c>
      <c r="C18" t="inlineStr">
        <is>
          <t>CPF</t>
        </is>
      </c>
      <c r="D18" s="207">
        <f>MAX(0,MIN(1,(1-Scenarios!$J$17+1)/MAX(1,Scenarios!$K$17)))</f>
        <v/>
      </c>
      <c r="E18" s="207">
        <f>MAX(0,MIN(1,(2-Scenarios!$J$17+1)/MAX(1,Scenarios!$K$17)))</f>
        <v/>
      </c>
      <c r="F18" s="207">
        <f>MAX(0,MIN(1,(3-Scenarios!$J$17+1)/MAX(1,Scenarios!$K$17)))</f>
        <v/>
      </c>
      <c r="G18" s="207">
        <f>MAX(0,MIN(1,(4-Scenarios!$J$17+1)/MAX(1,Scenarios!$K$17)))</f>
        <v/>
      </c>
      <c r="H18" s="207">
        <f>MAX(0,MIN(1,(5-Scenarios!$J$17+1)/MAX(1,Scenarios!$K$17)))</f>
        <v/>
      </c>
      <c r="I18" s="207">
        <f>MAX(0,MIN(1,(6-Scenarios!$J$17+1)/MAX(1,Scenarios!$K$17)))</f>
        <v/>
      </c>
      <c r="J18" s="207">
        <f>MAX(0,MIN(1,(7-Scenarios!$J$17+1)/MAX(1,Scenarios!$K$17)))</f>
        <v/>
      </c>
      <c r="K18" s="207">
        <f>MAX(0,MIN(1,(8-Scenarios!$J$17+1)/MAX(1,Scenarios!$K$17)))</f>
        <v/>
      </c>
      <c r="L18" s="207">
        <f>MAX(0,MIN(1,(9-Scenarios!$J$17+1)/MAX(1,Scenarios!$K$17)))</f>
        <v/>
      </c>
      <c r="M18" s="207">
        <f>MAX(0,MIN(1,(10-Scenarios!$J$17+1)/MAX(1,Scenarios!$K$17)))</f>
        <v/>
      </c>
      <c r="N18" s="207">
        <f>MAX(0,MIN(1,(11-Scenarios!$J$17+1)/MAX(1,Scenarios!$K$17)))</f>
        <v/>
      </c>
      <c r="O18" s="207">
        <f>MAX(0,MIN(1,(12-Scenarios!$J$17+1)/MAX(1,Scenarios!$K$17)))</f>
        <v/>
      </c>
      <c r="P18" s="207">
        <f>MAX(0,MIN(1,(13-Scenarios!$J$17+1)/MAX(1,Scenarios!$K$17)))</f>
        <v/>
      </c>
      <c r="Q18" s="207">
        <f>MAX(0,MIN(1,(14-Scenarios!$J$17+1)/MAX(1,Scenarios!$K$17)))</f>
        <v/>
      </c>
      <c r="R18" s="207">
        <f>MAX(0,MIN(1,(15-Scenarios!$J$17+1)/MAX(1,Scenarios!$K$17)))</f>
        <v/>
      </c>
      <c r="S18" s="207">
        <f>MAX(0,MIN(1,(16-Scenarios!$J$17+1)/MAX(1,Scenarios!$K$17)))</f>
        <v/>
      </c>
      <c r="T18" s="207">
        <f>MAX(0,MIN(1,(17-Scenarios!$J$17+1)/MAX(1,Scenarios!$K$17)))</f>
        <v/>
      </c>
      <c r="U18" s="207">
        <f>MAX(0,MIN(1,(18-Scenarios!$J$17+1)/MAX(1,Scenarios!$K$17)))</f>
        <v/>
      </c>
      <c r="V18" s="207">
        <f>MAX(0,MIN(1,(19-Scenarios!$J$17+1)/MAX(1,Scenarios!$K$17)))</f>
        <v/>
      </c>
      <c r="W18" s="207">
        <f>MAX(0,MIN(1,(20-Scenarios!$J$17+1)/MAX(1,Scenarios!$K$17)))</f>
        <v/>
      </c>
      <c r="X18" s="207">
        <f>MAX(0,MIN(1,(21-Scenarios!$J$17+1)/MAX(1,Scenarios!$K$17)))</f>
        <v/>
      </c>
      <c r="Y18" s="207">
        <f>MAX(0,MIN(1,(22-Scenarios!$J$17+1)/MAX(1,Scenarios!$K$17)))</f>
        <v/>
      </c>
      <c r="Z18" s="207">
        <f>MAX(0,MIN(1,(23-Scenarios!$J$17+1)/MAX(1,Scenarios!$K$17)))</f>
        <v/>
      </c>
      <c r="AA18" s="207">
        <f>MAX(0,MIN(1,(24-Scenarios!$J$17+1)/MAX(1,Scenarios!$K$17)))</f>
        <v/>
      </c>
      <c r="AB18" s="207">
        <f>MAX(0,MIN(1,(25-Scenarios!$J$17+1)/MAX(1,Scenarios!$K$17)))</f>
        <v/>
      </c>
      <c r="AC18" s="207">
        <f>MAX(0,MIN(1,(26-Scenarios!$J$17+1)/MAX(1,Scenarios!$K$17)))</f>
        <v/>
      </c>
      <c r="AD18" s="207">
        <f>MAX(0,MIN(1,(27-Scenarios!$J$17+1)/MAX(1,Scenarios!$K$17)))</f>
        <v/>
      </c>
      <c r="AE18" s="207">
        <f>MAX(0,MIN(1,(28-Scenarios!$J$17+1)/MAX(1,Scenarios!$K$17)))</f>
        <v/>
      </c>
      <c r="AF18" s="207">
        <f>MAX(0,MIN(1,(29-Scenarios!$J$17+1)/MAX(1,Scenarios!$K$17)))</f>
        <v/>
      </c>
      <c r="AG18" s="207">
        <f>MAX(0,MIN(1,(30-Scenarios!$J$17+1)/MAX(1,Scenarios!$K$17)))</f>
        <v/>
      </c>
      <c r="AH18" s="208">
        <f>IFERROR(VLOOKUP(Scenarios!$D$17,'02_Type_Assumptions'!$A$4:$Z$18,13,FALSE()),0)</f>
        <v/>
      </c>
      <c r="AI18" s="208">
        <f>IFERROR(VLOOKUP(Scenarios!$D$17,'02_Type_Assumptions'!$A$4:$Z$18,14,FALSE()),0)</f>
        <v/>
      </c>
      <c r="AJ18" s="208">
        <f>IFERROR(VLOOKUP(Scenarios!$D$17,'02_Type_Assumptions'!$A$4:$Z$18,15,FALSE()),0)</f>
        <v/>
      </c>
      <c r="AK18" s="208">
        <f>IFERROR(VLOOKUP(Scenarios!$D$17,'02_Type_Assumptions'!$A$4:$Z$18,16,FALSE()),0)</f>
        <v/>
      </c>
      <c r="AL18" s="208">
        <f>IFERROR(VLOOKUP(Scenarios!$D$17,'02_Type_Assumptions'!$A$4:$Z$18,17,FALSE()),0)</f>
        <v/>
      </c>
      <c r="AM18" s="208">
        <f>IFERROR(VLOOKUP(Scenarios!$D$17,'02_Type_Assumptions'!$A$4:$Z$18,18,FALSE()),0)</f>
        <v/>
      </c>
      <c r="AN18" s="208">
        <f>IFERROR(VLOOKUP(Scenarios!$D$17,'02_Type_Assumptions'!$A$4:$Z$18,19,FALSE()),0)</f>
        <v/>
      </c>
      <c r="AO18" s="208">
        <f>IFERROR(VLOOKUP(Scenarios!$D$17,'02_Type_Assumptions'!$A$4:$Z$18,20,FALSE()),0)</f>
        <v/>
      </c>
    </row>
    <row r="19" ht="15" customHeight="1" s="106">
      <c r="A19" t="n">
        <v>16</v>
      </c>
      <c r="B19">
        <f>Scenarios!$C$18</f>
        <v/>
      </c>
      <c r="C19" t="inlineStr">
        <is>
          <t>CPF</t>
        </is>
      </c>
      <c r="D19" s="207">
        <f>MAX(0,MIN(1,(1-Scenarios!$J$18+1)/MAX(1,Scenarios!$K$18)))</f>
        <v/>
      </c>
      <c r="E19" s="207">
        <f>MAX(0,MIN(1,(2-Scenarios!$J$18+1)/MAX(1,Scenarios!$K$18)))</f>
        <v/>
      </c>
      <c r="F19" s="207">
        <f>MAX(0,MIN(1,(3-Scenarios!$J$18+1)/MAX(1,Scenarios!$K$18)))</f>
        <v/>
      </c>
      <c r="G19" s="207">
        <f>MAX(0,MIN(1,(4-Scenarios!$J$18+1)/MAX(1,Scenarios!$K$18)))</f>
        <v/>
      </c>
      <c r="H19" s="207">
        <f>MAX(0,MIN(1,(5-Scenarios!$J$18+1)/MAX(1,Scenarios!$K$18)))</f>
        <v/>
      </c>
      <c r="I19" s="207">
        <f>MAX(0,MIN(1,(6-Scenarios!$J$18+1)/MAX(1,Scenarios!$K$18)))</f>
        <v/>
      </c>
      <c r="J19" s="207">
        <f>MAX(0,MIN(1,(7-Scenarios!$J$18+1)/MAX(1,Scenarios!$K$18)))</f>
        <v/>
      </c>
      <c r="K19" s="207">
        <f>MAX(0,MIN(1,(8-Scenarios!$J$18+1)/MAX(1,Scenarios!$K$18)))</f>
        <v/>
      </c>
      <c r="L19" s="207">
        <f>MAX(0,MIN(1,(9-Scenarios!$J$18+1)/MAX(1,Scenarios!$K$18)))</f>
        <v/>
      </c>
      <c r="M19" s="207">
        <f>MAX(0,MIN(1,(10-Scenarios!$J$18+1)/MAX(1,Scenarios!$K$18)))</f>
        <v/>
      </c>
      <c r="N19" s="207">
        <f>MAX(0,MIN(1,(11-Scenarios!$J$18+1)/MAX(1,Scenarios!$K$18)))</f>
        <v/>
      </c>
      <c r="O19" s="207">
        <f>MAX(0,MIN(1,(12-Scenarios!$J$18+1)/MAX(1,Scenarios!$K$18)))</f>
        <v/>
      </c>
      <c r="P19" s="207">
        <f>MAX(0,MIN(1,(13-Scenarios!$J$18+1)/MAX(1,Scenarios!$K$18)))</f>
        <v/>
      </c>
      <c r="Q19" s="207">
        <f>MAX(0,MIN(1,(14-Scenarios!$J$18+1)/MAX(1,Scenarios!$K$18)))</f>
        <v/>
      </c>
      <c r="R19" s="207">
        <f>MAX(0,MIN(1,(15-Scenarios!$J$18+1)/MAX(1,Scenarios!$K$18)))</f>
        <v/>
      </c>
      <c r="S19" s="207">
        <f>MAX(0,MIN(1,(16-Scenarios!$J$18+1)/MAX(1,Scenarios!$K$18)))</f>
        <v/>
      </c>
      <c r="T19" s="207">
        <f>MAX(0,MIN(1,(17-Scenarios!$J$18+1)/MAX(1,Scenarios!$K$18)))</f>
        <v/>
      </c>
      <c r="U19" s="207">
        <f>MAX(0,MIN(1,(18-Scenarios!$J$18+1)/MAX(1,Scenarios!$K$18)))</f>
        <v/>
      </c>
      <c r="V19" s="207">
        <f>MAX(0,MIN(1,(19-Scenarios!$J$18+1)/MAX(1,Scenarios!$K$18)))</f>
        <v/>
      </c>
      <c r="W19" s="207">
        <f>MAX(0,MIN(1,(20-Scenarios!$J$18+1)/MAX(1,Scenarios!$K$18)))</f>
        <v/>
      </c>
      <c r="X19" s="207">
        <f>MAX(0,MIN(1,(21-Scenarios!$J$18+1)/MAX(1,Scenarios!$K$18)))</f>
        <v/>
      </c>
      <c r="Y19" s="207">
        <f>MAX(0,MIN(1,(22-Scenarios!$J$18+1)/MAX(1,Scenarios!$K$18)))</f>
        <v/>
      </c>
      <c r="Z19" s="207">
        <f>MAX(0,MIN(1,(23-Scenarios!$J$18+1)/MAX(1,Scenarios!$K$18)))</f>
        <v/>
      </c>
      <c r="AA19" s="207">
        <f>MAX(0,MIN(1,(24-Scenarios!$J$18+1)/MAX(1,Scenarios!$K$18)))</f>
        <v/>
      </c>
      <c r="AB19" s="207">
        <f>MAX(0,MIN(1,(25-Scenarios!$J$18+1)/MAX(1,Scenarios!$K$18)))</f>
        <v/>
      </c>
      <c r="AC19" s="207">
        <f>MAX(0,MIN(1,(26-Scenarios!$J$18+1)/MAX(1,Scenarios!$K$18)))</f>
        <v/>
      </c>
      <c r="AD19" s="207">
        <f>MAX(0,MIN(1,(27-Scenarios!$J$18+1)/MAX(1,Scenarios!$K$18)))</f>
        <v/>
      </c>
      <c r="AE19" s="207">
        <f>MAX(0,MIN(1,(28-Scenarios!$J$18+1)/MAX(1,Scenarios!$K$18)))</f>
        <v/>
      </c>
      <c r="AF19" s="207">
        <f>MAX(0,MIN(1,(29-Scenarios!$J$18+1)/MAX(1,Scenarios!$K$18)))</f>
        <v/>
      </c>
      <c r="AG19" s="207">
        <f>MAX(0,MIN(1,(30-Scenarios!$J$18+1)/MAX(1,Scenarios!$K$18)))</f>
        <v/>
      </c>
      <c r="AH19" s="208">
        <f>IFERROR(VLOOKUP(Scenarios!$D$18,'02_Type_Assumptions'!$A$4:$Z$18,13,FALSE()),0)</f>
        <v/>
      </c>
      <c r="AI19" s="208">
        <f>IFERROR(VLOOKUP(Scenarios!$D$18,'02_Type_Assumptions'!$A$4:$Z$18,14,FALSE()),0)</f>
        <v/>
      </c>
      <c r="AJ19" s="208">
        <f>IFERROR(VLOOKUP(Scenarios!$D$18,'02_Type_Assumptions'!$A$4:$Z$18,15,FALSE()),0)</f>
        <v/>
      </c>
      <c r="AK19" s="208">
        <f>IFERROR(VLOOKUP(Scenarios!$D$18,'02_Type_Assumptions'!$A$4:$Z$18,16,FALSE()),0)</f>
        <v/>
      </c>
      <c r="AL19" s="208">
        <f>IFERROR(VLOOKUP(Scenarios!$D$18,'02_Type_Assumptions'!$A$4:$Z$18,17,FALSE()),0)</f>
        <v/>
      </c>
      <c r="AM19" s="208">
        <f>IFERROR(VLOOKUP(Scenarios!$D$18,'02_Type_Assumptions'!$A$4:$Z$18,18,FALSE()),0)</f>
        <v/>
      </c>
      <c r="AN19" s="208">
        <f>IFERROR(VLOOKUP(Scenarios!$D$18,'02_Type_Assumptions'!$A$4:$Z$18,19,FALSE()),0)</f>
        <v/>
      </c>
      <c r="AO19" s="208">
        <f>IFERROR(VLOOKUP(Scenarios!$D$18,'02_Type_Assumptions'!$A$4:$Z$18,20,FALSE()),0)</f>
        <v/>
      </c>
    </row>
    <row r="20" ht="15" customHeight="1" s="106">
      <c r="A20" t="n">
        <v>17</v>
      </c>
      <c r="B20">
        <f>Scenarios!$C$19</f>
        <v/>
      </c>
      <c r="C20" t="inlineStr">
        <is>
          <t>CPF</t>
        </is>
      </c>
      <c r="D20" s="207">
        <f>MAX(0,MIN(1,(1-Scenarios!$J$19+1)/MAX(1,Scenarios!$K$19)))</f>
        <v/>
      </c>
      <c r="E20" s="207">
        <f>MAX(0,MIN(1,(2-Scenarios!$J$19+1)/MAX(1,Scenarios!$K$19)))</f>
        <v/>
      </c>
      <c r="F20" s="207">
        <f>MAX(0,MIN(1,(3-Scenarios!$J$19+1)/MAX(1,Scenarios!$K$19)))</f>
        <v/>
      </c>
      <c r="G20" s="207">
        <f>MAX(0,MIN(1,(4-Scenarios!$J$19+1)/MAX(1,Scenarios!$K$19)))</f>
        <v/>
      </c>
      <c r="H20" s="207">
        <f>MAX(0,MIN(1,(5-Scenarios!$J$19+1)/MAX(1,Scenarios!$K$19)))</f>
        <v/>
      </c>
      <c r="I20" s="207">
        <f>MAX(0,MIN(1,(6-Scenarios!$J$19+1)/MAX(1,Scenarios!$K$19)))</f>
        <v/>
      </c>
      <c r="J20" s="207">
        <f>MAX(0,MIN(1,(7-Scenarios!$J$19+1)/MAX(1,Scenarios!$K$19)))</f>
        <v/>
      </c>
      <c r="K20" s="207">
        <f>MAX(0,MIN(1,(8-Scenarios!$J$19+1)/MAX(1,Scenarios!$K$19)))</f>
        <v/>
      </c>
      <c r="L20" s="207">
        <f>MAX(0,MIN(1,(9-Scenarios!$J$19+1)/MAX(1,Scenarios!$K$19)))</f>
        <v/>
      </c>
      <c r="M20" s="207">
        <f>MAX(0,MIN(1,(10-Scenarios!$J$19+1)/MAX(1,Scenarios!$K$19)))</f>
        <v/>
      </c>
      <c r="N20" s="207">
        <f>MAX(0,MIN(1,(11-Scenarios!$J$19+1)/MAX(1,Scenarios!$K$19)))</f>
        <v/>
      </c>
      <c r="O20" s="207">
        <f>MAX(0,MIN(1,(12-Scenarios!$J$19+1)/MAX(1,Scenarios!$K$19)))</f>
        <v/>
      </c>
      <c r="P20" s="207">
        <f>MAX(0,MIN(1,(13-Scenarios!$J$19+1)/MAX(1,Scenarios!$K$19)))</f>
        <v/>
      </c>
      <c r="Q20" s="207">
        <f>MAX(0,MIN(1,(14-Scenarios!$J$19+1)/MAX(1,Scenarios!$K$19)))</f>
        <v/>
      </c>
      <c r="R20" s="207">
        <f>MAX(0,MIN(1,(15-Scenarios!$J$19+1)/MAX(1,Scenarios!$K$19)))</f>
        <v/>
      </c>
      <c r="S20" s="207">
        <f>MAX(0,MIN(1,(16-Scenarios!$J$19+1)/MAX(1,Scenarios!$K$19)))</f>
        <v/>
      </c>
      <c r="T20" s="207">
        <f>MAX(0,MIN(1,(17-Scenarios!$J$19+1)/MAX(1,Scenarios!$K$19)))</f>
        <v/>
      </c>
      <c r="U20" s="207">
        <f>MAX(0,MIN(1,(18-Scenarios!$J$19+1)/MAX(1,Scenarios!$K$19)))</f>
        <v/>
      </c>
      <c r="V20" s="207">
        <f>MAX(0,MIN(1,(19-Scenarios!$J$19+1)/MAX(1,Scenarios!$K$19)))</f>
        <v/>
      </c>
      <c r="W20" s="207">
        <f>MAX(0,MIN(1,(20-Scenarios!$J$19+1)/MAX(1,Scenarios!$K$19)))</f>
        <v/>
      </c>
      <c r="X20" s="207">
        <f>MAX(0,MIN(1,(21-Scenarios!$J$19+1)/MAX(1,Scenarios!$K$19)))</f>
        <v/>
      </c>
      <c r="Y20" s="207">
        <f>MAX(0,MIN(1,(22-Scenarios!$J$19+1)/MAX(1,Scenarios!$K$19)))</f>
        <v/>
      </c>
      <c r="Z20" s="207">
        <f>MAX(0,MIN(1,(23-Scenarios!$J$19+1)/MAX(1,Scenarios!$K$19)))</f>
        <v/>
      </c>
      <c r="AA20" s="207">
        <f>MAX(0,MIN(1,(24-Scenarios!$J$19+1)/MAX(1,Scenarios!$K$19)))</f>
        <v/>
      </c>
      <c r="AB20" s="207">
        <f>MAX(0,MIN(1,(25-Scenarios!$J$19+1)/MAX(1,Scenarios!$K$19)))</f>
        <v/>
      </c>
      <c r="AC20" s="207">
        <f>MAX(0,MIN(1,(26-Scenarios!$J$19+1)/MAX(1,Scenarios!$K$19)))</f>
        <v/>
      </c>
      <c r="AD20" s="207">
        <f>MAX(0,MIN(1,(27-Scenarios!$J$19+1)/MAX(1,Scenarios!$K$19)))</f>
        <v/>
      </c>
      <c r="AE20" s="207">
        <f>MAX(0,MIN(1,(28-Scenarios!$J$19+1)/MAX(1,Scenarios!$K$19)))</f>
        <v/>
      </c>
      <c r="AF20" s="207">
        <f>MAX(0,MIN(1,(29-Scenarios!$J$19+1)/MAX(1,Scenarios!$K$19)))</f>
        <v/>
      </c>
      <c r="AG20" s="207">
        <f>MAX(0,MIN(1,(30-Scenarios!$J$19+1)/MAX(1,Scenarios!$K$19)))</f>
        <v/>
      </c>
      <c r="AH20" s="208">
        <f>IFERROR(VLOOKUP(Scenarios!$D$19,'02_Type_Assumptions'!$A$4:$Z$18,13,FALSE()),0)</f>
        <v/>
      </c>
      <c r="AI20" s="208">
        <f>IFERROR(VLOOKUP(Scenarios!$D$19,'02_Type_Assumptions'!$A$4:$Z$18,14,FALSE()),0)</f>
        <v/>
      </c>
      <c r="AJ20" s="208">
        <f>IFERROR(VLOOKUP(Scenarios!$D$19,'02_Type_Assumptions'!$A$4:$Z$18,15,FALSE()),0)</f>
        <v/>
      </c>
      <c r="AK20" s="208">
        <f>IFERROR(VLOOKUP(Scenarios!$D$19,'02_Type_Assumptions'!$A$4:$Z$18,16,FALSE()),0)</f>
        <v/>
      </c>
      <c r="AL20" s="208">
        <f>IFERROR(VLOOKUP(Scenarios!$D$19,'02_Type_Assumptions'!$A$4:$Z$18,17,FALSE()),0)</f>
        <v/>
      </c>
      <c r="AM20" s="208">
        <f>IFERROR(VLOOKUP(Scenarios!$D$19,'02_Type_Assumptions'!$A$4:$Z$18,18,FALSE()),0)</f>
        <v/>
      </c>
      <c r="AN20" s="208">
        <f>IFERROR(VLOOKUP(Scenarios!$D$19,'02_Type_Assumptions'!$A$4:$Z$18,19,FALSE()),0)</f>
        <v/>
      </c>
      <c r="AO20" s="208">
        <f>IFERROR(VLOOKUP(Scenarios!$D$19,'02_Type_Assumptions'!$A$4:$Z$18,20,FALSE()),0)</f>
        <v/>
      </c>
    </row>
    <row r="21" ht="15" customHeight="1" s="106">
      <c r="A21" t="n">
        <v>18</v>
      </c>
      <c r="B21">
        <f>Scenarios!$C$20</f>
        <v/>
      </c>
      <c r="C21" t="inlineStr">
        <is>
          <t>CPF</t>
        </is>
      </c>
      <c r="D21" s="207">
        <f>MAX(0,MIN(1,(1-Scenarios!$J$20+1)/MAX(1,Scenarios!$K$20)))</f>
        <v/>
      </c>
      <c r="E21" s="207">
        <f>MAX(0,MIN(1,(2-Scenarios!$J$20+1)/MAX(1,Scenarios!$K$20)))</f>
        <v/>
      </c>
      <c r="F21" s="207">
        <f>MAX(0,MIN(1,(3-Scenarios!$J$20+1)/MAX(1,Scenarios!$K$20)))</f>
        <v/>
      </c>
      <c r="G21" s="207">
        <f>MAX(0,MIN(1,(4-Scenarios!$J$20+1)/MAX(1,Scenarios!$K$20)))</f>
        <v/>
      </c>
      <c r="H21" s="207">
        <f>MAX(0,MIN(1,(5-Scenarios!$J$20+1)/MAX(1,Scenarios!$K$20)))</f>
        <v/>
      </c>
      <c r="I21" s="207">
        <f>MAX(0,MIN(1,(6-Scenarios!$J$20+1)/MAX(1,Scenarios!$K$20)))</f>
        <v/>
      </c>
      <c r="J21" s="207">
        <f>MAX(0,MIN(1,(7-Scenarios!$J$20+1)/MAX(1,Scenarios!$K$20)))</f>
        <v/>
      </c>
      <c r="K21" s="207">
        <f>MAX(0,MIN(1,(8-Scenarios!$J$20+1)/MAX(1,Scenarios!$K$20)))</f>
        <v/>
      </c>
      <c r="L21" s="207">
        <f>MAX(0,MIN(1,(9-Scenarios!$J$20+1)/MAX(1,Scenarios!$K$20)))</f>
        <v/>
      </c>
      <c r="M21" s="207">
        <f>MAX(0,MIN(1,(10-Scenarios!$J$20+1)/MAX(1,Scenarios!$K$20)))</f>
        <v/>
      </c>
      <c r="N21" s="207">
        <f>MAX(0,MIN(1,(11-Scenarios!$J$20+1)/MAX(1,Scenarios!$K$20)))</f>
        <v/>
      </c>
      <c r="O21" s="207">
        <f>MAX(0,MIN(1,(12-Scenarios!$J$20+1)/MAX(1,Scenarios!$K$20)))</f>
        <v/>
      </c>
      <c r="P21" s="207">
        <f>MAX(0,MIN(1,(13-Scenarios!$J$20+1)/MAX(1,Scenarios!$K$20)))</f>
        <v/>
      </c>
      <c r="Q21" s="207">
        <f>MAX(0,MIN(1,(14-Scenarios!$J$20+1)/MAX(1,Scenarios!$K$20)))</f>
        <v/>
      </c>
      <c r="R21" s="207">
        <f>MAX(0,MIN(1,(15-Scenarios!$J$20+1)/MAX(1,Scenarios!$K$20)))</f>
        <v/>
      </c>
      <c r="S21" s="207">
        <f>MAX(0,MIN(1,(16-Scenarios!$J$20+1)/MAX(1,Scenarios!$K$20)))</f>
        <v/>
      </c>
      <c r="T21" s="207">
        <f>MAX(0,MIN(1,(17-Scenarios!$J$20+1)/MAX(1,Scenarios!$K$20)))</f>
        <v/>
      </c>
      <c r="U21" s="207">
        <f>MAX(0,MIN(1,(18-Scenarios!$J$20+1)/MAX(1,Scenarios!$K$20)))</f>
        <v/>
      </c>
      <c r="V21" s="207">
        <f>MAX(0,MIN(1,(19-Scenarios!$J$20+1)/MAX(1,Scenarios!$K$20)))</f>
        <v/>
      </c>
      <c r="W21" s="207">
        <f>MAX(0,MIN(1,(20-Scenarios!$J$20+1)/MAX(1,Scenarios!$K$20)))</f>
        <v/>
      </c>
      <c r="X21" s="207">
        <f>MAX(0,MIN(1,(21-Scenarios!$J$20+1)/MAX(1,Scenarios!$K$20)))</f>
        <v/>
      </c>
      <c r="Y21" s="207">
        <f>MAX(0,MIN(1,(22-Scenarios!$J$20+1)/MAX(1,Scenarios!$K$20)))</f>
        <v/>
      </c>
      <c r="Z21" s="207">
        <f>MAX(0,MIN(1,(23-Scenarios!$J$20+1)/MAX(1,Scenarios!$K$20)))</f>
        <v/>
      </c>
      <c r="AA21" s="207">
        <f>MAX(0,MIN(1,(24-Scenarios!$J$20+1)/MAX(1,Scenarios!$K$20)))</f>
        <v/>
      </c>
      <c r="AB21" s="207">
        <f>MAX(0,MIN(1,(25-Scenarios!$J$20+1)/MAX(1,Scenarios!$K$20)))</f>
        <v/>
      </c>
      <c r="AC21" s="207">
        <f>MAX(0,MIN(1,(26-Scenarios!$J$20+1)/MAX(1,Scenarios!$K$20)))</f>
        <v/>
      </c>
      <c r="AD21" s="207">
        <f>MAX(0,MIN(1,(27-Scenarios!$J$20+1)/MAX(1,Scenarios!$K$20)))</f>
        <v/>
      </c>
      <c r="AE21" s="207">
        <f>MAX(0,MIN(1,(28-Scenarios!$J$20+1)/MAX(1,Scenarios!$K$20)))</f>
        <v/>
      </c>
      <c r="AF21" s="207">
        <f>MAX(0,MIN(1,(29-Scenarios!$J$20+1)/MAX(1,Scenarios!$K$20)))</f>
        <v/>
      </c>
      <c r="AG21" s="207">
        <f>MAX(0,MIN(1,(30-Scenarios!$J$20+1)/MAX(1,Scenarios!$K$20)))</f>
        <v/>
      </c>
      <c r="AH21" s="208">
        <f>IFERROR(VLOOKUP(Scenarios!$D$20,'02_Type_Assumptions'!$A$4:$Z$18,13,FALSE()),0)</f>
        <v/>
      </c>
      <c r="AI21" s="208">
        <f>IFERROR(VLOOKUP(Scenarios!$D$20,'02_Type_Assumptions'!$A$4:$Z$18,14,FALSE()),0)</f>
        <v/>
      </c>
      <c r="AJ21" s="208">
        <f>IFERROR(VLOOKUP(Scenarios!$D$20,'02_Type_Assumptions'!$A$4:$Z$18,15,FALSE()),0)</f>
        <v/>
      </c>
      <c r="AK21" s="208">
        <f>IFERROR(VLOOKUP(Scenarios!$D$20,'02_Type_Assumptions'!$A$4:$Z$18,16,FALSE()),0)</f>
        <v/>
      </c>
      <c r="AL21" s="208">
        <f>IFERROR(VLOOKUP(Scenarios!$D$20,'02_Type_Assumptions'!$A$4:$Z$18,17,FALSE()),0)</f>
        <v/>
      </c>
      <c r="AM21" s="208">
        <f>IFERROR(VLOOKUP(Scenarios!$D$20,'02_Type_Assumptions'!$A$4:$Z$18,18,FALSE()),0)</f>
        <v/>
      </c>
      <c r="AN21" s="208">
        <f>IFERROR(VLOOKUP(Scenarios!$D$20,'02_Type_Assumptions'!$A$4:$Z$18,19,FALSE()),0)</f>
        <v/>
      </c>
      <c r="AO21" s="208">
        <f>IFERROR(VLOOKUP(Scenarios!$D$20,'02_Type_Assumptions'!$A$4:$Z$18,20,FALSE()),0)</f>
        <v/>
      </c>
    </row>
    <row r="22" ht="15" customHeight="1" s="106">
      <c r="A22" t="n">
        <v>19</v>
      </c>
      <c r="B22">
        <f>Scenarios!$C$21</f>
        <v/>
      </c>
      <c r="C22" t="inlineStr">
        <is>
          <t>CPF</t>
        </is>
      </c>
      <c r="D22" s="207">
        <f>MAX(0,MIN(1,(1-Scenarios!$J$21+1)/MAX(1,Scenarios!$K$21)))</f>
        <v/>
      </c>
      <c r="E22" s="207">
        <f>MAX(0,MIN(1,(2-Scenarios!$J$21+1)/MAX(1,Scenarios!$K$21)))</f>
        <v/>
      </c>
      <c r="F22" s="207">
        <f>MAX(0,MIN(1,(3-Scenarios!$J$21+1)/MAX(1,Scenarios!$K$21)))</f>
        <v/>
      </c>
      <c r="G22" s="207">
        <f>MAX(0,MIN(1,(4-Scenarios!$J$21+1)/MAX(1,Scenarios!$K$21)))</f>
        <v/>
      </c>
      <c r="H22" s="207">
        <f>MAX(0,MIN(1,(5-Scenarios!$J$21+1)/MAX(1,Scenarios!$K$21)))</f>
        <v/>
      </c>
      <c r="I22" s="207">
        <f>MAX(0,MIN(1,(6-Scenarios!$J$21+1)/MAX(1,Scenarios!$K$21)))</f>
        <v/>
      </c>
      <c r="J22" s="207">
        <f>MAX(0,MIN(1,(7-Scenarios!$J$21+1)/MAX(1,Scenarios!$K$21)))</f>
        <v/>
      </c>
      <c r="K22" s="207">
        <f>MAX(0,MIN(1,(8-Scenarios!$J$21+1)/MAX(1,Scenarios!$K$21)))</f>
        <v/>
      </c>
      <c r="L22" s="207">
        <f>MAX(0,MIN(1,(9-Scenarios!$J$21+1)/MAX(1,Scenarios!$K$21)))</f>
        <v/>
      </c>
      <c r="M22" s="207">
        <f>MAX(0,MIN(1,(10-Scenarios!$J$21+1)/MAX(1,Scenarios!$K$21)))</f>
        <v/>
      </c>
      <c r="N22" s="207">
        <f>MAX(0,MIN(1,(11-Scenarios!$J$21+1)/MAX(1,Scenarios!$K$21)))</f>
        <v/>
      </c>
      <c r="O22" s="207">
        <f>MAX(0,MIN(1,(12-Scenarios!$J$21+1)/MAX(1,Scenarios!$K$21)))</f>
        <v/>
      </c>
      <c r="P22" s="207">
        <f>MAX(0,MIN(1,(13-Scenarios!$J$21+1)/MAX(1,Scenarios!$K$21)))</f>
        <v/>
      </c>
      <c r="Q22" s="207">
        <f>MAX(0,MIN(1,(14-Scenarios!$J$21+1)/MAX(1,Scenarios!$K$21)))</f>
        <v/>
      </c>
      <c r="R22" s="207">
        <f>MAX(0,MIN(1,(15-Scenarios!$J$21+1)/MAX(1,Scenarios!$K$21)))</f>
        <v/>
      </c>
      <c r="S22" s="207">
        <f>MAX(0,MIN(1,(16-Scenarios!$J$21+1)/MAX(1,Scenarios!$K$21)))</f>
        <v/>
      </c>
      <c r="T22" s="207">
        <f>MAX(0,MIN(1,(17-Scenarios!$J$21+1)/MAX(1,Scenarios!$K$21)))</f>
        <v/>
      </c>
      <c r="U22" s="207">
        <f>MAX(0,MIN(1,(18-Scenarios!$J$21+1)/MAX(1,Scenarios!$K$21)))</f>
        <v/>
      </c>
      <c r="V22" s="207">
        <f>MAX(0,MIN(1,(19-Scenarios!$J$21+1)/MAX(1,Scenarios!$K$21)))</f>
        <v/>
      </c>
      <c r="W22" s="207">
        <f>MAX(0,MIN(1,(20-Scenarios!$J$21+1)/MAX(1,Scenarios!$K$21)))</f>
        <v/>
      </c>
      <c r="X22" s="207">
        <f>MAX(0,MIN(1,(21-Scenarios!$J$21+1)/MAX(1,Scenarios!$K$21)))</f>
        <v/>
      </c>
      <c r="Y22" s="207">
        <f>MAX(0,MIN(1,(22-Scenarios!$J$21+1)/MAX(1,Scenarios!$K$21)))</f>
        <v/>
      </c>
      <c r="Z22" s="207">
        <f>MAX(0,MIN(1,(23-Scenarios!$J$21+1)/MAX(1,Scenarios!$K$21)))</f>
        <v/>
      </c>
      <c r="AA22" s="207">
        <f>MAX(0,MIN(1,(24-Scenarios!$J$21+1)/MAX(1,Scenarios!$K$21)))</f>
        <v/>
      </c>
      <c r="AB22" s="207">
        <f>MAX(0,MIN(1,(25-Scenarios!$J$21+1)/MAX(1,Scenarios!$K$21)))</f>
        <v/>
      </c>
      <c r="AC22" s="207">
        <f>MAX(0,MIN(1,(26-Scenarios!$J$21+1)/MAX(1,Scenarios!$K$21)))</f>
        <v/>
      </c>
      <c r="AD22" s="207">
        <f>MAX(0,MIN(1,(27-Scenarios!$J$21+1)/MAX(1,Scenarios!$K$21)))</f>
        <v/>
      </c>
      <c r="AE22" s="207">
        <f>MAX(0,MIN(1,(28-Scenarios!$J$21+1)/MAX(1,Scenarios!$K$21)))</f>
        <v/>
      </c>
      <c r="AF22" s="207">
        <f>MAX(0,MIN(1,(29-Scenarios!$J$21+1)/MAX(1,Scenarios!$K$21)))</f>
        <v/>
      </c>
      <c r="AG22" s="207">
        <f>MAX(0,MIN(1,(30-Scenarios!$J$21+1)/MAX(1,Scenarios!$K$21)))</f>
        <v/>
      </c>
      <c r="AH22" s="208">
        <f>IFERROR(VLOOKUP(Scenarios!$D$21,'02_Type_Assumptions'!$A$4:$Z$18,13,FALSE()),0)</f>
        <v/>
      </c>
      <c r="AI22" s="208">
        <f>IFERROR(VLOOKUP(Scenarios!$D$21,'02_Type_Assumptions'!$A$4:$Z$18,14,FALSE()),0)</f>
        <v/>
      </c>
      <c r="AJ22" s="208">
        <f>IFERROR(VLOOKUP(Scenarios!$D$21,'02_Type_Assumptions'!$A$4:$Z$18,15,FALSE()),0)</f>
        <v/>
      </c>
      <c r="AK22" s="208">
        <f>IFERROR(VLOOKUP(Scenarios!$D$21,'02_Type_Assumptions'!$A$4:$Z$18,16,FALSE()),0)</f>
        <v/>
      </c>
      <c r="AL22" s="208">
        <f>IFERROR(VLOOKUP(Scenarios!$D$21,'02_Type_Assumptions'!$A$4:$Z$18,17,FALSE()),0)</f>
        <v/>
      </c>
      <c r="AM22" s="208">
        <f>IFERROR(VLOOKUP(Scenarios!$D$21,'02_Type_Assumptions'!$A$4:$Z$18,18,FALSE()),0)</f>
        <v/>
      </c>
      <c r="AN22" s="208">
        <f>IFERROR(VLOOKUP(Scenarios!$D$21,'02_Type_Assumptions'!$A$4:$Z$18,19,FALSE()),0)</f>
        <v/>
      </c>
      <c r="AO22" s="208">
        <f>IFERROR(VLOOKUP(Scenarios!$D$21,'02_Type_Assumptions'!$A$4:$Z$18,20,FALSE()),0)</f>
        <v/>
      </c>
    </row>
    <row r="23" ht="15" customHeight="1" s="106">
      <c r="A23" t="n">
        <v>20</v>
      </c>
      <c r="B23">
        <f>Scenarios!$C$22</f>
        <v/>
      </c>
      <c r="C23" t="inlineStr">
        <is>
          <t>CPF</t>
        </is>
      </c>
      <c r="D23" s="207">
        <f>MAX(0,MIN(1,(1-Scenarios!$J$22+1)/MAX(1,Scenarios!$K$22)))</f>
        <v/>
      </c>
      <c r="E23" s="207">
        <f>MAX(0,MIN(1,(2-Scenarios!$J$22+1)/MAX(1,Scenarios!$K$22)))</f>
        <v/>
      </c>
      <c r="F23" s="207">
        <f>MAX(0,MIN(1,(3-Scenarios!$J$22+1)/MAX(1,Scenarios!$K$22)))</f>
        <v/>
      </c>
      <c r="G23" s="207">
        <f>MAX(0,MIN(1,(4-Scenarios!$J$22+1)/MAX(1,Scenarios!$K$22)))</f>
        <v/>
      </c>
      <c r="H23" s="207">
        <f>MAX(0,MIN(1,(5-Scenarios!$J$22+1)/MAX(1,Scenarios!$K$22)))</f>
        <v/>
      </c>
      <c r="I23" s="207">
        <f>MAX(0,MIN(1,(6-Scenarios!$J$22+1)/MAX(1,Scenarios!$K$22)))</f>
        <v/>
      </c>
      <c r="J23" s="207">
        <f>MAX(0,MIN(1,(7-Scenarios!$J$22+1)/MAX(1,Scenarios!$K$22)))</f>
        <v/>
      </c>
      <c r="K23" s="207">
        <f>MAX(0,MIN(1,(8-Scenarios!$J$22+1)/MAX(1,Scenarios!$K$22)))</f>
        <v/>
      </c>
      <c r="L23" s="207">
        <f>MAX(0,MIN(1,(9-Scenarios!$J$22+1)/MAX(1,Scenarios!$K$22)))</f>
        <v/>
      </c>
      <c r="M23" s="207">
        <f>MAX(0,MIN(1,(10-Scenarios!$J$22+1)/MAX(1,Scenarios!$K$22)))</f>
        <v/>
      </c>
      <c r="N23" s="207">
        <f>MAX(0,MIN(1,(11-Scenarios!$J$22+1)/MAX(1,Scenarios!$K$22)))</f>
        <v/>
      </c>
      <c r="O23" s="207">
        <f>MAX(0,MIN(1,(12-Scenarios!$J$22+1)/MAX(1,Scenarios!$K$22)))</f>
        <v/>
      </c>
      <c r="P23" s="207">
        <f>MAX(0,MIN(1,(13-Scenarios!$J$22+1)/MAX(1,Scenarios!$K$22)))</f>
        <v/>
      </c>
      <c r="Q23" s="207">
        <f>MAX(0,MIN(1,(14-Scenarios!$J$22+1)/MAX(1,Scenarios!$K$22)))</f>
        <v/>
      </c>
      <c r="R23" s="207">
        <f>MAX(0,MIN(1,(15-Scenarios!$J$22+1)/MAX(1,Scenarios!$K$22)))</f>
        <v/>
      </c>
      <c r="S23" s="207">
        <f>MAX(0,MIN(1,(16-Scenarios!$J$22+1)/MAX(1,Scenarios!$K$22)))</f>
        <v/>
      </c>
      <c r="T23" s="207">
        <f>MAX(0,MIN(1,(17-Scenarios!$J$22+1)/MAX(1,Scenarios!$K$22)))</f>
        <v/>
      </c>
      <c r="U23" s="207">
        <f>MAX(0,MIN(1,(18-Scenarios!$J$22+1)/MAX(1,Scenarios!$K$22)))</f>
        <v/>
      </c>
      <c r="V23" s="207">
        <f>MAX(0,MIN(1,(19-Scenarios!$J$22+1)/MAX(1,Scenarios!$K$22)))</f>
        <v/>
      </c>
      <c r="W23" s="207">
        <f>MAX(0,MIN(1,(20-Scenarios!$J$22+1)/MAX(1,Scenarios!$K$22)))</f>
        <v/>
      </c>
      <c r="X23" s="207">
        <f>MAX(0,MIN(1,(21-Scenarios!$J$22+1)/MAX(1,Scenarios!$K$22)))</f>
        <v/>
      </c>
      <c r="Y23" s="207">
        <f>MAX(0,MIN(1,(22-Scenarios!$J$22+1)/MAX(1,Scenarios!$K$22)))</f>
        <v/>
      </c>
      <c r="Z23" s="207">
        <f>MAX(0,MIN(1,(23-Scenarios!$J$22+1)/MAX(1,Scenarios!$K$22)))</f>
        <v/>
      </c>
      <c r="AA23" s="207">
        <f>MAX(0,MIN(1,(24-Scenarios!$J$22+1)/MAX(1,Scenarios!$K$22)))</f>
        <v/>
      </c>
      <c r="AB23" s="207">
        <f>MAX(0,MIN(1,(25-Scenarios!$J$22+1)/MAX(1,Scenarios!$K$22)))</f>
        <v/>
      </c>
      <c r="AC23" s="207">
        <f>MAX(0,MIN(1,(26-Scenarios!$J$22+1)/MAX(1,Scenarios!$K$22)))</f>
        <v/>
      </c>
      <c r="AD23" s="207">
        <f>MAX(0,MIN(1,(27-Scenarios!$J$22+1)/MAX(1,Scenarios!$K$22)))</f>
        <v/>
      </c>
      <c r="AE23" s="207">
        <f>MAX(0,MIN(1,(28-Scenarios!$J$22+1)/MAX(1,Scenarios!$K$22)))</f>
        <v/>
      </c>
      <c r="AF23" s="207">
        <f>MAX(0,MIN(1,(29-Scenarios!$J$22+1)/MAX(1,Scenarios!$K$22)))</f>
        <v/>
      </c>
      <c r="AG23" s="207">
        <f>MAX(0,MIN(1,(30-Scenarios!$J$22+1)/MAX(1,Scenarios!$K$22)))</f>
        <v/>
      </c>
      <c r="AH23" s="208">
        <f>IFERROR(VLOOKUP(Scenarios!$D$22,'02_Type_Assumptions'!$A$4:$Z$18,13,FALSE()),0)</f>
        <v/>
      </c>
      <c r="AI23" s="208">
        <f>IFERROR(VLOOKUP(Scenarios!$D$22,'02_Type_Assumptions'!$A$4:$Z$18,14,FALSE()),0)</f>
        <v/>
      </c>
      <c r="AJ23" s="208">
        <f>IFERROR(VLOOKUP(Scenarios!$D$22,'02_Type_Assumptions'!$A$4:$Z$18,15,FALSE()),0)</f>
        <v/>
      </c>
      <c r="AK23" s="208">
        <f>IFERROR(VLOOKUP(Scenarios!$D$22,'02_Type_Assumptions'!$A$4:$Z$18,16,FALSE()),0)</f>
        <v/>
      </c>
      <c r="AL23" s="208">
        <f>IFERROR(VLOOKUP(Scenarios!$D$22,'02_Type_Assumptions'!$A$4:$Z$18,17,FALSE()),0)</f>
        <v/>
      </c>
      <c r="AM23" s="208">
        <f>IFERROR(VLOOKUP(Scenarios!$D$22,'02_Type_Assumptions'!$A$4:$Z$18,18,FALSE()),0)</f>
        <v/>
      </c>
      <c r="AN23" s="208">
        <f>IFERROR(VLOOKUP(Scenarios!$D$22,'02_Type_Assumptions'!$A$4:$Z$18,19,FALSE()),0)</f>
        <v/>
      </c>
      <c r="AO23" s="208">
        <f>IFERROR(VLOOKUP(Scenarios!$D$22,'02_Type_Assumptions'!$A$4:$Z$18,20,FALSE()),0)</f>
        <v/>
      </c>
    </row>
    <row r="24" ht="15" customHeight="1" s="106">
      <c r="A24" t="n">
        <v>21</v>
      </c>
      <c r="B24">
        <f>Scenarios!$C$23</f>
        <v/>
      </c>
      <c r="C24" t="inlineStr">
        <is>
          <t>CPF</t>
        </is>
      </c>
      <c r="D24" s="207">
        <f>MAX(0,MIN(1,(1-Scenarios!$J$23+1)/MAX(1,Scenarios!$K$23)))</f>
        <v/>
      </c>
      <c r="E24" s="207">
        <f>MAX(0,MIN(1,(2-Scenarios!$J$23+1)/MAX(1,Scenarios!$K$23)))</f>
        <v/>
      </c>
      <c r="F24" s="207">
        <f>MAX(0,MIN(1,(3-Scenarios!$J$23+1)/MAX(1,Scenarios!$K$23)))</f>
        <v/>
      </c>
      <c r="G24" s="207">
        <f>MAX(0,MIN(1,(4-Scenarios!$J$23+1)/MAX(1,Scenarios!$K$23)))</f>
        <v/>
      </c>
      <c r="H24" s="207">
        <f>MAX(0,MIN(1,(5-Scenarios!$J$23+1)/MAX(1,Scenarios!$K$23)))</f>
        <v/>
      </c>
      <c r="I24" s="207">
        <f>MAX(0,MIN(1,(6-Scenarios!$J$23+1)/MAX(1,Scenarios!$K$23)))</f>
        <v/>
      </c>
      <c r="J24" s="207">
        <f>MAX(0,MIN(1,(7-Scenarios!$J$23+1)/MAX(1,Scenarios!$K$23)))</f>
        <v/>
      </c>
      <c r="K24" s="207">
        <f>MAX(0,MIN(1,(8-Scenarios!$J$23+1)/MAX(1,Scenarios!$K$23)))</f>
        <v/>
      </c>
      <c r="L24" s="207">
        <f>MAX(0,MIN(1,(9-Scenarios!$J$23+1)/MAX(1,Scenarios!$K$23)))</f>
        <v/>
      </c>
      <c r="M24" s="207">
        <f>MAX(0,MIN(1,(10-Scenarios!$J$23+1)/MAX(1,Scenarios!$K$23)))</f>
        <v/>
      </c>
      <c r="N24" s="207">
        <f>MAX(0,MIN(1,(11-Scenarios!$J$23+1)/MAX(1,Scenarios!$K$23)))</f>
        <v/>
      </c>
      <c r="O24" s="207">
        <f>MAX(0,MIN(1,(12-Scenarios!$J$23+1)/MAX(1,Scenarios!$K$23)))</f>
        <v/>
      </c>
      <c r="P24" s="207">
        <f>MAX(0,MIN(1,(13-Scenarios!$J$23+1)/MAX(1,Scenarios!$K$23)))</f>
        <v/>
      </c>
      <c r="Q24" s="207">
        <f>MAX(0,MIN(1,(14-Scenarios!$J$23+1)/MAX(1,Scenarios!$K$23)))</f>
        <v/>
      </c>
      <c r="R24" s="207">
        <f>MAX(0,MIN(1,(15-Scenarios!$J$23+1)/MAX(1,Scenarios!$K$23)))</f>
        <v/>
      </c>
      <c r="S24" s="207">
        <f>MAX(0,MIN(1,(16-Scenarios!$J$23+1)/MAX(1,Scenarios!$K$23)))</f>
        <v/>
      </c>
      <c r="T24" s="207">
        <f>MAX(0,MIN(1,(17-Scenarios!$J$23+1)/MAX(1,Scenarios!$K$23)))</f>
        <v/>
      </c>
      <c r="U24" s="207">
        <f>MAX(0,MIN(1,(18-Scenarios!$J$23+1)/MAX(1,Scenarios!$K$23)))</f>
        <v/>
      </c>
      <c r="V24" s="207">
        <f>MAX(0,MIN(1,(19-Scenarios!$J$23+1)/MAX(1,Scenarios!$K$23)))</f>
        <v/>
      </c>
      <c r="W24" s="207">
        <f>MAX(0,MIN(1,(20-Scenarios!$J$23+1)/MAX(1,Scenarios!$K$23)))</f>
        <v/>
      </c>
      <c r="X24" s="207">
        <f>MAX(0,MIN(1,(21-Scenarios!$J$23+1)/MAX(1,Scenarios!$K$23)))</f>
        <v/>
      </c>
      <c r="Y24" s="207">
        <f>MAX(0,MIN(1,(22-Scenarios!$J$23+1)/MAX(1,Scenarios!$K$23)))</f>
        <v/>
      </c>
      <c r="Z24" s="207">
        <f>MAX(0,MIN(1,(23-Scenarios!$J$23+1)/MAX(1,Scenarios!$K$23)))</f>
        <v/>
      </c>
      <c r="AA24" s="207">
        <f>MAX(0,MIN(1,(24-Scenarios!$J$23+1)/MAX(1,Scenarios!$K$23)))</f>
        <v/>
      </c>
      <c r="AB24" s="207">
        <f>MAX(0,MIN(1,(25-Scenarios!$J$23+1)/MAX(1,Scenarios!$K$23)))</f>
        <v/>
      </c>
      <c r="AC24" s="207">
        <f>MAX(0,MIN(1,(26-Scenarios!$J$23+1)/MAX(1,Scenarios!$K$23)))</f>
        <v/>
      </c>
      <c r="AD24" s="207">
        <f>MAX(0,MIN(1,(27-Scenarios!$J$23+1)/MAX(1,Scenarios!$K$23)))</f>
        <v/>
      </c>
      <c r="AE24" s="207">
        <f>MAX(0,MIN(1,(28-Scenarios!$J$23+1)/MAX(1,Scenarios!$K$23)))</f>
        <v/>
      </c>
      <c r="AF24" s="207">
        <f>MAX(0,MIN(1,(29-Scenarios!$J$23+1)/MAX(1,Scenarios!$K$23)))</f>
        <v/>
      </c>
      <c r="AG24" s="207">
        <f>MAX(0,MIN(1,(30-Scenarios!$J$23+1)/MAX(1,Scenarios!$K$23)))</f>
        <v/>
      </c>
      <c r="AH24" s="208">
        <f>IFERROR(VLOOKUP(Scenarios!$D$23,'02_Type_Assumptions'!$A$4:$Z$18,13,FALSE()),0)</f>
        <v/>
      </c>
      <c r="AI24" s="208">
        <f>IFERROR(VLOOKUP(Scenarios!$D$23,'02_Type_Assumptions'!$A$4:$Z$18,14,FALSE()),0)</f>
        <v/>
      </c>
      <c r="AJ24" s="208">
        <f>IFERROR(VLOOKUP(Scenarios!$D$23,'02_Type_Assumptions'!$A$4:$Z$18,15,FALSE()),0)</f>
        <v/>
      </c>
      <c r="AK24" s="208">
        <f>IFERROR(VLOOKUP(Scenarios!$D$23,'02_Type_Assumptions'!$A$4:$Z$18,16,FALSE()),0)</f>
        <v/>
      </c>
      <c r="AL24" s="208">
        <f>IFERROR(VLOOKUP(Scenarios!$D$23,'02_Type_Assumptions'!$A$4:$Z$18,17,FALSE()),0)</f>
        <v/>
      </c>
      <c r="AM24" s="208">
        <f>IFERROR(VLOOKUP(Scenarios!$D$23,'02_Type_Assumptions'!$A$4:$Z$18,18,FALSE()),0)</f>
        <v/>
      </c>
      <c r="AN24" s="208">
        <f>IFERROR(VLOOKUP(Scenarios!$D$23,'02_Type_Assumptions'!$A$4:$Z$18,19,FALSE()),0)</f>
        <v/>
      </c>
      <c r="AO24" s="208">
        <f>IFERROR(VLOOKUP(Scenarios!$D$23,'02_Type_Assumptions'!$A$4:$Z$18,20,FALSE()),0)</f>
        <v/>
      </c>
    </row>
    <row r="25" ht="15" customHeight="1" s="106">
      <c r="A25" t="n">
        <v>22</v>
      </c>
      <c r="B25">
        <f>Scenarios!$C$24</f>
        <v/>
      </c>
      <c r="C25" t="inlineStr">
        <is>
          <t>CPF</t>
        </is>
      </c>
      <c r="D25" s="207">
        <f>MAX(0,MIN(1,(1-Scenarios!$J$24+1)/MAX(1,Scenarios!$K$24)))</f>
        <v/>
      </c>
      <c r="E25" s="207">
        <f>MAX(0,MIN(1,(2-Scenarios!$J$24+1)/MAX(1,Scenarios!$K$24)))</f>
        <v/>
      </c>
      <c r="F25" s="207">
        <f>MAX(0,MIN(1,(3-Scenarios!$J$24+1)/MAX(1,Scenarios!$K$24)))</f>
        <v/>
      </c>
      <c r="G25" s="207">
        <f>MAX(0,MIN(1,(4-Scenarios!$J$24+1)/MAX(1,Scenarios!$K$24)))</f>
        <v/>
      </c>
      <c r="H25" s="207">
        <f>MAX(0,MIN(1,(5-Scenarios!$J$24+1)/MAX(1,Scenarios!$K$24)))</f>
        <v/>
      </c>
      <c r="I25" s="207">
        <f>MAX(0,MIN(1,(6-Scenarios!$J$24+1)/MAX(1,Scenarios!$K$24)))</f>
        <v/>
      </c>
      <c r="J25" s="207">
        <f>MAX(0,MIN(1,(7-Scenarios!$J$24+1)/MAX(1,Scenarios!$K$24)))</f>
        <v/>
      </c>
      <c r="K25" s="207">
        <f>MAX(0,MIN(1,(8-Scenarios!$J$24+1)/MAX(1,Scenarios!$K$24)))</f>
        <v/>
      </c>
      <c r="L25" s="207">
        <f>MAX(0,MIN(1,(9-Scenarios!$J$24+1)/MAX(1,Scenarios!$K$24)))</f>
        <v/>
      </c>
      <c r="M25" s="207">
        <f>MAX(0,MIN(1,(10-Scenarios!$J$24+1)/MAX(1,Scenarios!$K$24)))</f>
        <v/>
      </c>
      <c r="N25" s="207">
        <f>MAX(0,MIN(1,(11-Scenarios!$J$24+1)/MAX(1,Scenarios!$K$24)))</f>
        <v/>
      </c>
      <c r="O25" s="207">
        <f>MAX(0,MIN(1,(12-Scenarios!$J$24+1)/MAX(1,Scenarios!$K$24)))</f>
        <v/>
      </c>
      <c r="P25" s="207">
        <f>MAX(0,MIN(1,(13-Scenarios!$J$24+1)/MAX(1,Scenarios!$K$24)))</f>
        <v/>
      </c>
      <c r="Q25" s="207">
        <f>MAX(0,MIN(1,(14-Scenarios!$J$24+1)/MAX(1,Scenarios!$K$24)))</f>
        <v/>
      </c>
      <c r="R25" s="207">
        <f>MAX(0,MIN(1,(15-Scenarios!$J$24+1)/MAX(1,Scenarios!$K$24)))</f>
        <v/>
      </c>
      <c r="S25" s="207">
        <f>MAX(0,MIN(1,(16-Scenarios!$J$24+1)/MAX(1,Scenarios!$K$24)))</f>
        <v/>
      </c>
      <c r="T25" s="207">
        <f>MAX(0,MIN(1,(17-Scenarios!$J$24+1)/MAX(1,Scenarios!$K$24)))</f>
        <v/>
      </c>
      <c r="U25" s="207">
        <f>MAX(0,MIN(1,(18-Scenarios!$J$24+1)/MAX(1,Scenarios!$K$24)))</f>
        <v/>
      </c>
      <c r="V25" s="207">
        <f>MAX(0,MIN(1,(19-Scenarios!$J$24+1)/MAX(1,Scenarios!$K$24)))</f>
        <v/>
      </c>
      <c r="W25" s="207">
        <f>MAX(0,MIN(1,(20-Scenarios!$J$24+1)/MAX(1,Scenarios!$K$24)))</f>
        <v/>
      </c>
      <c r="X25" s="207">
        <f>MAX(0,MIN(1,(21-Scenarios!$J$24+1)/MAX(1,Scenarios!$K$24)))</f>
        <v/>
      </c>
      <c r="Y25" s="207">
        <f>MAX(0,MIN(1,(22-Scenarios!$J$24+1)/MAX(1,Scenarios!$K$24)))</f>
        <v/>
      </c>
      <c r="Z25" s="207">
        <f>MAX(0,MIN(1,(23-Scenarios!$J$24+1)/MAX(1,Scenarios!$K$24)))</f>
        <v/>
      </c>
      <c r="AA25" s="207">
        <f>MAX(0,MIN(1,(24-Scenarios!$J$24+1)/MAX(1,Scenarios!$K$24)))</f>
        <v/>
      </c>
      <c r="AB25" s="207">
        <f>MAX(0,MIN(1,(25-Scenarios!$J$24+1)/MAX(1,Scenarios!$K$24)))</f>
        <v/>
      </c>
      <c r="AC25" s="207">
        <f>MAX(0,MIN(1,(26-Scenarios!$J$24+1)/MAX(1,Scenarios!$K$24)))</f>
        <v/>
      </c>
      <c r="AD25" s="207">
        <f>MAX(0,MIN(1,(27-Scenarios!$J$24+1)/MAX(1,Scenarios!$K$24)))</f>
        <v/>
      </c>
      <c r="AE25" s="207">
        <f>MAX(0,MIN(1,(28-Scenarios!$J$24+1)/MAX(1,Scenarios!$K$24)))</f>
        <v/>
      </c>
      <c r="AF25" s="207">
        <f>MAX(0,MIN(1,(29-Scenarios!$J$24+1)/MAX(1,Scenarios!$K$24)))</f>
        <v/>
      </c>
      <c r="AG25" s="207">
        <f>MAX(0,MIN(1,(30-Scenarios!$J$24+1)/MAX(1,Scenarios!$K$24)))</f>
        <v/>
      </c>
      <c r="AH25" s="208">
        <f>IFERROR(VLOOKUP(Scenarios!$D$24,'02_Type_Assumptions'!$A$4:$Z$18,13,FALSE()),0)</f>
        <v/>
      </c>
      <c r="AI25" s="208">
        <f>IFERROR(VLOOKUP(Scenarios!$D$24,'02_Type_Assumptions'!$A$4:$Z$18,14,FALSE()),0)</f>
        <v/>
      </c>
      <c r="AJ25" s="208">
        <f>IFERROR(VLOOKUP(Scenarios!$D$24,'02_Type_Assumptions'!$A$4:$Z$18,15,FALSE()),0)</f>
        <v/>
      </c>
      <c r="AK25" s="208">
        <f>IFERROR(VLOOKUP(Scenarios!$D$24,'02_Type_Assumptions'!$A$4:$Z$18,16,FALSE()),0)</f>
        <v/>
      </c>
      <c r="AL25" s="208">
        <f>IFERROR(VLOOKUP(Scenarios!$D$24,'02_Type_Assumptions'!$A$4:$Z$18,17,FALSE()),0)</f>
        <v/>
      </c>
      <c r="AM25" s="208">
        <f>IFERROR(VLOOKUP(Scenarios!$D$24,'02_Type_Assumptions'!$A$4:$Z$18,18,FALSE()),0)</f>
        <v/>
      </c>
      <c r="AN25" s="208">
        <f>IFERROR(VLOOKUP(Scenarios!$D$24,'02_Type_Assumptions'!$A$4:$Z$18,19,FALSE()),0)</f>
        <v/>
      </c>
      <c r="AO25" s="208">
        <f>IFERROR(VLOOKUP(Scenarios!$D$24,'02_Type_Assumptions'!$A$4:$Z$18,20,FALSE()),0)</f>
        <v/>
      </c>
    </row>
    <row r="26" ht="15" customHeight="1" s="106">
      <c r="A26" t="n">
        <v>23</v>
      </c>
      <c r="B26">
        <f>Scenarios!$C$25</f>
        <v/>
      </c>
      <c r="C26" t="inlineStr">
        <is>
          <t>CPF</t>
        </is>
      </c>
      <c r="D26" s="207">
        <f>MAX(0,MIN(1,(1-Scenarios!$J$25+1)/MAX(1,Scenarios!$K$25)))</f>
        <v/>
      </c>
      <c r="E26" s="207">
        <f>MAX(0,MIN(1,(2-Scenarios!$J$25+1)/MAX(1,Scenarios!$K$25)))</f>
        <v/>
      </c>
      <c r="F26" s="207">
        <f>MAX(0,MIN(1,(3-Scenarios!$J$25+1)/MAX(1,Scenarios!$K$25)))</f>
        <v/>
      </c>
      <c r="G26" s="207">
        <f>MAX(0,MIN(1,(4-Scenarios!$J$25+1)/MAX(1,Scenarios!$K$25)))</f>
        <v/>
      </c>
      <c r="H26" s="207">
        <f>MAX(0,MIN(1,(5-Scenarios!$J$25+1)/MAX(1,Scenarios!$K$25)))</f>
        <v/>
      </c>
      <c r="I26" s="207">
        <f>MAX(0,MIN(1,(6-Scenarios!$J$25+1)/MAX(1,Scenarios!$K$25)))</f>
        <v/>
      </c>
      <c r="J26" s="207">
        <f>MAX(0,MIN(1,(7-Scenarios!$J$25+1)/MAX(1,Scenarios!$K$25)))</f>
        <v/>
      </c>
      <c r="K26" s="207">
        <f>MAX(0,MIN(1,(8-Scenarios!$J$25+1)/MAX(1,Scenarios!$K$25)))</f>
        <v/>
      </c>
      <c r="L26" s="207">
        <f>MAX(0,MIN(1,(9-Scenarios!$J$25+1)/MAX(1,Scenarios!$K$25)))</f>
        <v/>
      </c>
      <c r="M26" s="207">
        <f>MAX(0,MIN(1,(10-Scenarios!$J$25+1)/MAX(1,Scenarios!$K$25)))</f>
        <v/>
      </c>
      <c r="N26" s="207">
        <f>MAX(0,MIN(1,(11-Scenarios!$J$25+1)/MAX(1,Scenarios!$K$25)))</f>
        <v/>
      </c>
      <c r="O26" s="207">
        <f>MAX(0,MIN(1,(12-Scenarios!$J$25+1)/MAX(1,Scenarios!$K$25)))</f>
        <v/>
      </c>
      <c r="P26" s="207">
        <f>MAX(0,MIN(1,(13-Scenarios!$J$25+1)/MAX(1,Scenarios!$K$25)))</f>
        <v/>
      </c>
      <c r="Q26" s="207">
        <f>MAX(0,MIN(1,(14-Scenarios!$J$25+1)/MAX(1,Scenarios!$K$25)))</f>
        <v/>
      </c>
      <c r="R26" s="207">
        <f>MAX(0,MIN(1,(15-Scenarios!$J$25+1)/MAX(1,Scenarios!$K$25)))</f>
        <v/>
      </c>
      <c r="S26" s="207">
        <f>MAX(0,MIN(1,(16-Scenarios!$J$25+1)/MAX(1,Scenarios!$K$25)))</f>
        <v/>
      </c>
      <c r="T26" s="207">
        <f>MAX(0,MIN(1,(17-Scenarios!$J$25+1)/MAX(1,Scenarios!$K$25)))</f>
        <v/>
      </c>
      <c r="U26" s="207">
        <f>MAX(0,MIN(1,(18-Scenarios!$J$25+1)/MAX(1,Scenarios!$K$25)))</f>
        <v/>
      </c>
      <c r="V26" s="207">
        <f>MAX(0,MIN(1,(19-Scenarios!$J$25+1)/MAX(1,Scenarios!$K$25)))</f>
        <v/>
      </c>
      <c r="W26" s="207">
        <f>MAX(0,MIN(1,(20-Scenarios!$J$25+1)/MAX(1,Scenarios!$K$25)))</f>
        <v/>
      </c>
      <c r="X26" s="207">
        <f>MAX(0,MIN(1,(21-Scenarios!$J$25+1)/MAX(1,Scenarios!$K$25)))</f>
        <v/>
      </c>
      <c r="Y26" s="207">
        <f>MAX(0,MIN(1,(22-Scenarios!$J$25+1)/MAX(1,Scenarios!$K$25)))</f>
        <v/>
      </c>
      <c r="Z26" s="207">
        <f>MAX(0,MIN(1,(23-Scenarios!$J$25+1)/MAX(1,Scenarios!$K$25)))</f>
        <v/>
      </c>
      <c r="AA26" s="207">
        <f>MAX(0,MIN(1,(24-Scenarios!$J$25+1)/MAX(1,Scenarios!$K$25)))</f>
        <v/>
      </c>
      <c r="AB26" s="207">
        <f>MAX(0,MIN(1,(25-Scenarios!$J$25+1)/MAX(1,Scenarios!$K$25)))</f>
        <v/>
      </c>
      <c r="AC26" s="207">
        <f>MAX(0,MIN(1,(26-Scenarios!$J$25+1)/MAX(1,Scenarios!$K$25)))</f>
        <v/>
      </c>
      <c r="AD26" s="207">
        <f>MAX(0,MIN(1,(27-Scenarios!$J$25+1)/MAX(1,Scenarios!$K$25)))</f>
        <v/>
      </c>
      <c r="AE26" s="207">
        <f>MAX(0,MIN(1,(28-Scenarios!$J$25+1)/MAX(1,Scenarios!$K$25)))</f>
        <v/>
      </c>
      <c r="AF26" s="207">
        <f>MAX(0,MIN(1,(29-Scenarios!$J$25+1)/MAX(1,Scenarios!$K$25)))</f>
        <v/>
      </c>
      <c r="AG26" s="207">
        <f>MAX(0,MIN(1,(30-Scenarios!$J$25+1)/MAX(1,Scenarios!$K$25)))</f>
        <v/>
      </c>
      <c r="AH26" s="208">
        <f>IFERROR(VLOOKUP(Scenarios!$D$25,'02_Type_Assumptions'!$A$4:$Z$18,13,FALSE()),0)</f>
        <v/>
      </c>
      <c r="AI26" s="208">
        <f>IFERROR(VLOOKUP(Scenarios!$D$25,'02_Type_Assumptions'!$A$4:$Z$18,14,FALSE()),0)</f>
        <v/>
      </c>
      <c r="AJ26" s="208">
        <f>IFERROR(VLOOKUP(Scenarios!$D$25,'02_Type_Assumptions'!$A$4:$Z$18,15,FALSE()),0)</f>
        <v/>
      </c>
      <c r="AK26" s="208">
        <f>IFERROR(VLOOKUP(Scenarios!$D$25,'02_Type_Assumptions'!$A$4:$Z$18,16,FALSE()),0)</f>
        <v/>
      </c>
      <c r="AL26" s="208">
        <f>IFERROR(VLOOKUP(Scenarios!$D$25,'02_Type_Assumptions'!$A$4:$Z$18,17,FALSE()),0)</f>
        <v/>
      </c>
      <c r="AM26" s="208">
        <f>IFERROR(VLOOKUP(Scenarios!$D$25,'02_Type_Assumptions'!$A$4:$Z$18,18,FALSE()),0)</f>
        <v/>
      </c>
      <c r="AN26" s="208">
        <f>IFERROR(VLOOKUP(Scenarios!$D$25,'02_Type_Assumptions'!$A$4:$Z$18,19,FALSE()),0)</f>
        <v/>
      </c>
      <c r="AO26" s="208">
        <f>IFERROR(VLOOKUP(Scenarios!$D$25,'02_Type_Assumptions'!$A$4:$Z$18,20,FALSE()),0)</f>
        <v/>
      </c>
    </row>
    <row r="27" ht="15" customHeight="1" s="106">
      <c r="A27" t="n">
        <v>24</v>
      </c>
      <c r="B27">
        <f>Scenarios!$C$26</f>
        <v/>
      </c>
      <c r="C27" t="inlineStr">
        <is>
          <t>CPF</t>
        </is>
      </c>
      <c r="D27" s="207">
        <f>MAX(0,MIN(1,(1-Scenarios!$J$26+1)/MAX(1,Scenarios!$K$26)))</f>
        <v/>
      </c>
      <c r="E27" s="207">
        <f>MAX(0,MIN(1,(2-Scenarios!$J$26+1)/MAX(1,Scenarios!$K$26)))</f>
        <v/>
      </c>
      <c r="F27" s="207">
        <f>MAX(0,MIN(1,(3-Scenarios!$J$26+1)/MAX(1,Scenarios!$K$26)))</f>
        <v/>
      </c>
      <c r="G27" s="207">
        <f>MAX(0,MIN(1,(4-Scenarios!$J$26+1)/MAX(1,Scenarios!$K$26)))</f>
        <v/>
      </c>
      <c r="H27" s="207">
        <f>MAX(0,MIN(1,(5-Scenarios!$J$26+1)/MAX(1,Scenarios!$K$26)))</f>
        <v/>
      </c>
      <c r="I27" s="207">
        <f>MAX(0,MIN(1,(6-Scenarios!$J$26+1)/MAX(1,Scenarios!$K$26)))</f>
        <v/>
      </c>
      <c r="J27" s="207">
        <f>MAX(0,MIN(1,(7-Scenarios!$J$26+1)/MAX(1,Scenarios!$K$26)))</f>
        <v/>
      </c>
      <c r="K27" s="207">
        <f>MAX(0,MIN(1,(8-Scenarios!$J$26+1)/MAX(1,Scenarios!$K$26)))</f>
        <v/>
      </c>
      <c r="L27" s="207">
        <f>MAX(0,MIN(1,(9-Scenarios!$J$26+1)/MAX(1,Scenarios!$K$26)))</f>
        <v/>
      </c>
      <c r="M27" s="207">
        <f>MAX(0,MIN(1,(10-Scenarios!$J$26+1)/MAX(1,Scenarios!$K$26)))</f>
        <v/>
      </c>
      <c r="N27" s="207">
        <f>MAX(0,MIN(1,(11-Scenarios!$J$26+1)/MAX(1,Scenarios!$K$26)))</f>
        <v/>
      </c>
      <c r="O27" s="207">
        <f>MAX(0,MIN(1,(12-Scenarios!$J$26+1)/MAX(1,Scenarios!$K$26)))</f>
        <v/>
      </c>
      <c r="P27" s="207">
        <f>MAX(0,MIN(1,(13-Scenarios!$J$26+1)/MAX(1,Scenarios!$K$26)))</f>
        <v/>
      </c>
      <c r="Q27" s="207">
        <f>MAX(0,MIN(1,(14-Scenarios!$J$26+1)/MAX(1,Scenarios!$K$26)))</f>
        <v/>
      </c>
      <c r="R27" s="207">
        <f>MAX(0,MIN(1,(15-Scenarios!$J$26+1)/MAX(1,Scenarios!$K$26)))</f>
        <v/>
      </c>
      <c r="S27" s="207">
        <f>MAX(0,MIN(1,(16-Scenarios!$J$26+1)/MAX(1,Scenarios!$K$26)))</f>
        <v/>
      </c>
      <c r="T27" s="207">
        <f>MAX(0,MIN(1,(17-Scenarios!$J$26+1)/MAX(1,Scenarios!$K$26)))</f>
        <v/>
      </c>
      <c r="U27" s="207">
        <f>MAX(0,MIN(1,(18-Scenarios!$J$26+1)/MAX(1,Scenarios!$K$26)))</f>
        <v/>
      </c>
      <c r="V27" s="207">
        <f>MAX(0,MIN(1,(19-Scenarios!$J$26+1)/MAX(1,Scenarios!$K$26)))</f>
        <v/>
      </c>
      <c r="W27" s="207">
        <f>MAX(0,MIN(1,(20-Scenarios!$J$26+1)/MAX(1,Scenarios!$K$26)))</f>
        <v/>
      </c>
      <c r="X27" s="207">
        <f>MAX(0,MIN(1,(21-Scenarios!$J$26+1)/MAX(1,Scenarios!$K$26)))</f>
        <v/>
      </c>
      <c r="Y27" s="207">
        <f>MAX(0,MIN(1,(22-Scenarios!$J$26+1)/MAX(1,Scenarios!$K$26)))</f>
        <v/>
      </c>
      <c r="Z27" s="207">
        <f>MAX(0,MIN(1,(23-Scenarios!$J$26+1)/MAX(1,Scenarios!$K$26)))</f>
        <v/>
      </c>
      <c r="AA27" s="207">
        <f>MAX(0,MIN(1,(24-Scenarios!$J$26+1)/MAX(1,Scenarios!$K$26)))</f>
        <v/>
      </c>
      <c r="AB27" s="207">
        <f>MAX(0,MIN(1,(25-Scenarios!$J$26+1)/MAX(1,Scenarios!$K$26)))</f>
        <v/>
      </c>
      <c r="AC27" s="207">
        <f>MAX(0,MIN(1,(26-Scenarios!$J$26+1)/MAX(1,Scenarios!$K$26)))</f>
        <v/>
      </c>
      <c r="AD27" s="207">
        <f>MAX(0,MIN(1,(27-Scenarios!$J$26+1)/MAX(1,Scenarios!$K$26)))</f>
        <v/>
      </c>
      <c r="AE27" s="207">
        <f>MAX(0,MIN(1,(28-Scenarios!$J$26+1)/MAX(1,Scenarios!$K$26)))</f>
        <v/>
      </c>
      <c r="AF27" s="207">
        <f>MAX(0,MIN(1,(29-Scenarios!$J$26+1)/MAX(1,Scenarios!$K$26)))</f>
        <v/>
      </c>
      <c r="AG27" s="207">
        <f>MAX(0,MIN(1,(30-Scenarios!$J$26+1)/MAX(1,Scenarios!$K$26)))</f>
        <v/>
      </c>
      <c r="AH27" s="208">
        <f>IFERROR(VLOOKUP(Scenarios!$D$26,'02_Type_Assumptions'!$A$4:$Z$18,13,FALSE()),0)</f>
        <v/>
      </c>
      <c r="AI27" s="208">
        <f>IFERROR(VLOOKUP(Scenarios!$D$26,'02_Type_Assumptions'!$A$4:$Z$18,14,FALSE()),0)</f>
        <v/>
      </c>
      <c r="AJ27" s="208">
        <f>IFERROR(VLOOKUP(Scenarios!$D$26,'02_Type_Assumptions'!$A$4:$Z$18,15,FALSE()),0)</f>
        <v/>
      </c>
      <c r="AK27" s="208">
        <f>IFERROR(VLOOKUP(Scenarios!$D$26,'02_Type_Assumptions'!$A$4:$Z$18,16,FALSE()),0)</f>
        <v/>
      </c>
      <c r="AL27" s="208">
        <f>IFERROR(VLOOKUP(Scenarios!$D$26,'02_Type_Assumptions'!$A$4:$Z$18,17,FALSE()),0)</f>
        <v/>
      </c>
      <c r="AM27" s="208">
        <f>IFERROR(VLOOKUP(Scenarios!$D$26,'02_Type_Assumptions'!$A$4:$Z$18,18,FALSE()),0)</f>
        <v/>
      </c>
      <c r="AN27" s="208">
        <f>IFERROR(VLOOKUP(Scenarios!$D$26,'02_Type_Assumptions'!$A$4:$Z$18,19,FALSE()),0)</f>
        <v/>
      </c>
      <c r="AO27" s="208">
        <f>IFERROR(VLOOKUP(Scenarios!$D$26,'02_Type_Assumptions'!$A$4:$Z$18,20,FALSE()),0)</f>
        <v/>
      </c>
    </row>
    <row r="28" ht="15" customHeight="1" s="106">
      <c r="A28" t="n">
        <v>25</v>
      </c>
      <c r="B28">
        <f>Scenarios!$C$27</f>
        <v/>
      </c>
      <c r="C28" t="inlineStr">
        <is>
          <t>CPF</t>
        </is>
      </c>
      <c r="D28" s="207">
        <f>MAX(0,MIN(1,(1-Scenarios!$J$27+1)/MAX(1,Scenarios!$K$27)))</f>
        <v/>
      </c>
      <c r="E28" s="207">
        <f>MAX(0,MIN(1,(2-Scenarios!$J$27+1)/MAX(1,Scenarios!$K$27)))</f>
        <v/>
      </c>
      <c r="F28" s="207">
        <f>MAX(0,MIN(1,(3-Scenarios!$J$27+1)/MAX(1,Scenarios!$K$27)))</f>
        <v/>
      </c>
      <c r="G28" s="207">
        <f>MAX(0,MIN(1,(4-Scenarios!$J$27+1)/MAX(1,Scenarios!$K$27)))</f>
        <v/>
      </c>
      <c r="H28" s="207">
        <f>MAX(0,MIN(1,(5-Scenarios!$J$27+1)/MAX(1,Scenarios!$K$27)))</f>
        <v/>
      </c>
      <c r="I28" s="207">
        <f>MAX(0,MIN(1,(6-Scenarios!$J$27+1)/MAX(1,Scenarios!$K$27)))</f>
        <v/>
      </c>
      <c r="J28" s="207">
        <f>MAX(0,MIN(1,(7-Scenarios!$J$27+1)/MAX(1,Scenarios!$K$27)))</f>
        <v/>
      </c>
      <c r="K28" s="207">
        <f>MAX(0,MIN(1,(8-Scenarios!$J$27+1)/MAX(1,Scenarios!$K$27)))</f>
        <v/>
      </c>
      <c r="L28" s="207">
        <f>MAX(0,MIN(1,(9-Scenarios!$J$27+1)/MAX(1,Scenarios!$K$27)))</f>
        <v/>
      </c>
      <c r="M28" s="207">
        <f>MAX(0,MIN(1,(10-Scenarios!$J$27+1)/MAX(1,Scenarios!$K$27)))</f>
        <v/>
      </c>
      <c r="N28" s="207">
        <f>MAX(0,MIN(1,(11-Scenarios!$J$27+1)/MAX(1,Scenarios!$K$27)))</f>
        <v/>
      </c>
      <c r="O28" s="207">
        <f>MAX(0,MIN(1,(12-Scenarios!$J$27+1)/MAX(1,Scenarios!$K$27)))</f>
        <v/>
      </c>
      <c r="P28" s="207">
        <f>MAX(0,MIN(1,(13-Scenarios!$J$27+1)/MAX(1,Scenarios!$K$27)))</f>
        <v/>
      </c>
      <c r="Q28" s="207">
        <f>MAX(0,MIN(1,(14-Scenarios!$J$27+1)/MAX(1,Scenarios!$K$27)))</f>
        <v/>
      </c>
      <c r="R28" s="207">
        <f>MAX(0,MIN(1,(15-Scenarios!$J$27+1)/MAX(1,Scenarios!$K$27)))</f>
        <v/>
      </c>
      <c r="S28" s="207">
        <f>MAX(0,MIN(1,(16-Scenarios!$J$27+1)/MAX(1,Scenarios!$K$27)))</f>
        <v/>
      </c>
      <c r="T28" s="207">
        <f>MAX(0,MIN(1,(17-Scenarios!$J$27+1)/MAX(1,Scenarios!$K$27)))</f>
        <v/>
      </c>
      <c r="U28" s="207">
        <f>MAX(0,MIN(1,(18-Scenarios!$J$27+1)/MAX(1,Scenarios!$K$27)))</f>
        <v/>
      </c>
      <c r="V28" s="207">
        <f>MAX(0,MIN(1,(19-Scenarios!$J$27+1)/MAX(1,Scenarios!$K$27)))</f>
        <v/>
      </c>
      <c r="W28" s="207">
        <f>MAX(0,MIN(1,(20-Scenarios!$J$27+1)/MAX(1,Scenarios!$K$27)))</f>
        <v/>
      </c>
      <c r="X28" s="207">
        <f>MAX(0,MIN(1,(21-Scenarios!$J$27+1)/MAX(1,Scenarios!$K$27)))</f>
        <v/>
      </c>
      <c r="Y28" s="207">
        <f>MAX(0,MIN(1,(22-Scenarios!$J$27+1)/MAX(1,Scenarios!$K$27)))</f>
        <v/>
      </c>
      <c r="Z28" s="207">
        <f>MAX(0,MIN(1,(23-Scenarios!$J$27+1)/MAX(1,Scenarios!$K$27)))</f>
        <v/>
      </c>
      <c r="AA28" s="207">
        <f>MAX(0,MIN(1,(24-Scenarios!$J$27+1)/MAX(1,Scenarios!$K$27)))</f>
        <v/>
      </c>
      <c r="AB28" s="207">
        <f>MAX(0,MIN(1,(25-Scenarios!$J$27+1)/MAX(1,Scenarios!$K$27)))</f>
        <v/>
      </c>
      <c r="AC28" s="207">
        <f>MAX(0,MIN(1,(26-Scenarios!$J$27+1)/MAX(1,Scenarios!$K$27)))</f>
        <v/>
      </c>
      <c r="AD28" s="207">
        <f>MAX(0,MIN(1,(27-Scenarios!$J$27+1)/MAX(1,Scenarios!$K$27)))</f>
        <v/>
      </c>
      <c r="AE28" s="207">
        <f>MAX(0,MIN(1,(28-Scenarios!$J$27+1)/MAX(1,Scenarios!$K$27)))</f>
        <v/>
      </c>
      <c r="AF28" s="207">
        <f>MAX(0,MIN(1,(29-Scenarios!$J$27+1)/MAX(1,Scenarios!$K$27)))</f>
        <v/>
      </c>
      <c r="AG28" s="207">
        <f>MAX(0,MIN(1,(30-Scenarios!$J$27+1)/MAX(1,Scenarios!$K$27)))</f>
        <v/>
      </c>
      <c r="AH28" s="208">
        <f>IFERROR(VLOOKUP(Scenarios!$D$27,'02_Type_Assumptions'!$A$4:$Z$18,13,FALSE()),0)</f>
        <v/>
      </c>
      <c r="AI28" s="208">
        <f>IFERROR(VLOOKUP(Scenarios!$D$27,'02_Type_Assumptions'!$A$4:$Z$18,14,FALSE()),0)</f>
        <v/>
      </c>
      <c r="AJ28" s="208">
        <f>IFERROR(VLOOKUP(Scenarios!$D$27,'02_Type_Assumptions'!$A$4:$Z$18,15,FALSE()),0)</f>
        <v/>
      </c>
      <c r="AK28" s="208">
        <f>IFERROR(VLOOKUP(Scenarios!$D$27,'02_Type_Assumptions'!$A$4:$Z$18,16,FALSE()),0)</f>
        <v/>
      </c>
      <c r="AL28" s="208">
        <f>IFERROR(VLOOKUP(Scenarios!$D$27,'02_Type_Assumptions'!$A$4:$Z$18,17,FALSE()),0)</f>
        <v/>
      </c>
      <c r="AM28" s="208">
        <f>IFERROR(VLOOKUP(Scenarios!$D$27,'02_Type_Assumptions'!$A$4:$Z$18,18,FALSE()),0)</f>
        <v/>
      </c>
      <c r="AN28" s="208">
        <f>IFERROR(VLOOKUP(Scenarios!$D$27,'02_Type_Assumptions'!$A$4:$Z$18,19,FALSE()),0)</f>
        <v/>
      </c>
      <c r="AO28" s="208">
        <f>IFERROR(VLOOKUP(Scenarios!$D$27,'02_Type_Assumptions'!$A$4:$Z$18,20,FALSE()),0)</f>
        <v/>
      </c>
    </row>
    <row r="29" ht="15" customHeight="1" s="106">
      <c r="A29" s="115" t="inlineStr">
        <is>
          <t>APF — Annual Phase Factor (incremental this year)</t>
        </is>
      </c>
    </row>
    <row r="30" ht="15" customHeight="1" s="106">
      <c r="A30" t="n">
        <v>1</v>
      </c>
      <c r="B30">
        <f>Scenarios!$C$3</f>
        <v/>
      </c>
      <c r="C30" t="inlineStr">
        <is>
          <t>APF</t>
        </is>
      </c>
      <c r="D30" s="207">
        <f>D4</f>
        <v/>
      </c>
      <c r="E30" s="207">
        <f>E4-D4</f>
        <v/>
      </c>
      <c r="F30" s="207">
        <f>F4-E4</f>
        <v/>
      </c>
      <c r="G30" s="207">
        <f>G4-F4</f>
        <v/>
      </c>
      <c r="H30" s="207">
        <f>H4-G4</f>
        <v/>
      </c>
      <c r="I30" s="207">
        <f>I4-H4</f>
        <v/>
      </c>
      <c r="J30" s="207">
        <f>J4-I4</f>
        <v/>
      </c>
      <c r="K30" s="207">
        <f>K4-J4</f>
        <v/>
      </c>
      <c r="L30" s="207">
        <f>L4-K4</f>
        <v/>
      </c>
      <c r="M30" s="207">
        <f>M4-L4</f>
        <v/>
      </c>
      <c r="N30" s="207">
        <f>N4-M4</f>
        <v/>
      </c>
      <c r="O30" s="207">
        <f>O4-N4</f>
        <v/>
      </c>
      <c r="P30" s="207">
        <f>P4-O4</f>
        <v/>
      </c>
      <c r="Q30" s="207">
        <f>Q4-P4</f>
        <v/>
      </c>
      <c r="R30" s="207">
        <f>R4-Q4</f>
        <v/>
      </c>
      <c r="S30" s="207">
        <f>S4-R4</f>
        <v/>
      </c>
      <c r="T30" s="207">
        <f>T4-S4</f>
        <v/>
      </c>
      <c r="U30" s="207">
        <f>U4-T4</f>
        <v/>
      </c>
      <c r="V30" s="207">
        <f>V4-U4</f>
        <v/>
      </c>
      <c r="W30" s="207">
        <f>W4-V4</f>
        <v/>
      </c>
      <c r="X30" s="207">
        <f>X4-W4</f>
        <v/>
      </c>
      <c r="Y30" s="207">
        <f>Y4-X4</f>
        <v/>
      </c>
      <c r="Z30" s="207">
        <f>Z4-Y4</f>
        <v/>
      </c>
      <c r="AA30" s="207">
        <f>AA4-Z4</f>
        <v/>
      </c>
      <c r="AB30" s="207">
        <f>AB4-AA4</f>
        <v/>
      </c>
      <c r="AC30" s="207">
        <f>AC4-AB4</f>
        <v/>
      </c>
      <c r="AD30" s="207">
        <f>AD4-AC4</f>
        <v/>
      </c>
      <c r="AE30" s="207">
        <f>AE4-AD4</f>
        <v/>
      </c>
      <c r="AF30" s="207">
        <f>AF4-AE4</f>
        <v/>
      </c>
      <c r="AG30" s="207">
        <f>AG4-AF4</f>
        <v/>
      </c>
    </row>
    <row r="31" ht="15" customHeight="1" s="106">
      <c r="A31" t="n">
        <v>2</v>
      </c>
      <c r="B31">
        <f>Scenarios!$C$4</f>
        <v/>
      </c>
      <c r="C31" t="inlineStr">
        <is>
          <t>APF</t>
        </is>
      </c>
      <c r="D31" s="207">
        <f>D5</f>
        <v/>
      </c>
      <c r="E31" s="207">
        <f>E5-D5</f>
        <v/>
      </c>
      <c r="F31" s="207">
        <f>F5-E5</f>
        <v/>
      </c>
      <c r="G31" s="207">
        <f>G5-F5</f>
        <v/>
      </c>
      <c r="H31" s="207">
        <f>H5-G5</f>
        <v/>
      </c>
      <c r="I31" s="207">
        <f>I5-H5</f>
        <v/>
      </c>
      <c r="J31" s="207">
        <f>J5-I5</f>
        <v/>
      </c>
      <c r="K31" s="207">
        <f>K5-J5</f>
        <v/>
      </c>
      <c r="L31" s="207">
        <f>L5-K5</f>
        <v/>
      </c>
      <c r="M31" s="207">
        <f>M5-L5</f>
        <v/>
      </c>
      <c r="N31" s="207">
        <f>N5-M5</f>
        <v/>
      </c>
      <c r="O31" s="207">
        <f>O5-N5</f>
        <v/>
      </c>
      <c r="P31" s="207">
        <f>P5-O5</f>
        <v/>
      </c>
      <c r="Q31" s="207">
        <f>Q5-P5</f>
        <v/>
      </c>
      <c r="R31" s="207">
        <f>R5-Q5</f>
        <v/>
      </c>
      <c r="S31" s="207">
        <f>S5-R5</f>
        <v/>
      </c>
      <c r="T31" s="207">
        <f>T5-S5</f>
        <v/>
      </c>
      <c r="U31" s="207">
        <f>U5-T5</f>
        <v/>
      </c>
      <c r="V31" s="207">
        <f>V5-U5</f>
        <v/>
      </c>
      <c r="W31" s="207">
        <f>W5-V5</f>
        <v/>
      </c>
      <c r="X31" s="207">
        <f>X5-W5</f>
        <v/>
      </c>
      <c r="Y31" s="207">
        <f>Y5-X5</f>
        <v/>
      </c>
      <c r="Z31" s="207">
        <f>Z5-Y5</f>
        <v/>
      </c>
      <c r="AA31" s="207">
        <f>AA5-Z5</f>
        <v/>
      </c>
      <c r="AB31" s="207">
        <f>AB5-AA5</f>
        <v/>
      </c>
      <c r="AC31" s="207">
        <f>AC5-AB5</f>
        <v/>
      </c>
      <c r="AD31" s="207">
        <f>AD5-AC5</f>
        <v/>
      </c>
      <c r="AE31" s="207">
        <f>AE5-AD5</f>
        <v/>
      </c>
      <c r="AF31" s="207">
        <f>AF5-AE5</f>
        <v/>
      </c>
      <c r="AG31" s="207">
        <f>AG5-AF5</f>
        <v/>
      </c>
    </row>
    <row r="32" ht="15" customHeight="1" s="106">
      <c r="A32" t="n">
        <v>3</v>
      </c>
      <c r="B32">
        <f>Scenarios!$C$5</f>
        <v/>
      </c>
      <c r="C32" t="inlineStr">
        <is>
          <t>APF</t>
        </is>
      </c>
      <c r="D32" s="207">
        <f>D6</f>
        <v/>
      </c>
      <c r="E32" s="207">
        <f>E6-D6</f>
        <v/>
      </c>
      <c r="F32" s="207">
        <f>F6-E6</f>
        <v/>
      </c>
      <c r="G32" s="207">
        <f>G6-F6</f>
        <v/>
      </c>
      <c r="H32" s="207">
        <f>H6-G6</f>
        <v/>
      </c>
      <c r="I32" s="207">
        <f>I6-H6</f>
        <v/>
      </c>
      <c r="J32" s="207">
        <f>J6-I6</f>
        <v/>
      </c>
      <c r="K32" s="207">
        <f>K6-J6</f>
        <v/>
      </c>
      <c r="L32" s="207">
        <f>L6-K6</f>
        <v/>
      </c>
      <c r="M32" s="207">
        <f>M6-L6</f>
        <v/>
      </c>
      <c r="N32" s="207">
        <f>N6-M6</f>
        <v/>
      </c>
      <c r="O32" s="207">
        <f>O6-N6</f>
        <v/>
      </c>
      <c r="P32" s="207">
        <f>P6-O6</f>
        <v/>
      </c>
      <c r="Q32" s="207">
        <f>Q6-P6</f>
        <v/>
      </c>
      <c r="R32" s="207">
        <f>R6-Q6</f>
        <v/>
      </c>
      <c r="S32" s="207">
        <f>S6-R6</f>
        <v/>
      </c>
      <c r="T32" s="207">
        <f>T6-S6</f>
        <v/>
      </c>
      <c r="U32" s="207">
        <f>U6-T6</f>
        <v/>
      </c>
      <c r="V32" s="207">
        <f>V6-U6</f>
        <v/>
      </c>
      <c r="W32" s="207">
        <f>W6-V6</f>
        <v/>
      </c>
      <c r="X32" s="207">
        <f>X6-W6</f>
        <v/>
      </c>
      <c r="Y32" s="207">
        <f>Y6-X6</f>
        <v/>
      </c>
      <c r="Z32" s="207">
        <f>Z6-Y6</f>
        <v/>
      </c>
      <c r="AA32" s="207">
        <f>AA6-Z6</f>
        <v/>
      </c>
      <c r="AB32" s="207">
        <f>AB6-AA6</f>
        <v/>
      </c>
      <c r="AC32" s="207">
        <f>AC6-AB6</f>
        <v/>
      </c>
      <c r="AD32" s="207">
        <f>AD6-AC6</f>
        <v/>
      </c>
      <c r="AE32" s="207">
        <f>AE6-AD6</f>
        <v/>
      </c>
      <c r="AF32" s="207">
        <f>AF6-AE6</f>
        <v/>
      </c>
      <c r="AG32" s="207">
        <f>AG6-AF6</f>
        <v/>
      </c>
    </row>
    <row r="33" ht="15" customHeight="1" s="106">
      <c r="A33" t="n">
        <v>4</v>
      </c>
      <c r="B33">
        <f>Scenarios!$C$6</f>
        <v/>
      </c>
      <c r="C33" t="inlineStr">
        <is>
          <t>APF</t>
        </is>
      </c>
      <c r="D33" s="207">
        <f>D7</f>
        <v/>
      </c>
      <c r="E33" s="207">
        <f>E7-D7</f>
        <v/>
      </c>
      <c r="F33" s="207">
        <f>F7-E7</f>
        <v/>
      </c>
      <c r="G33" s="207">
        <f>G7-F7</f>
        <v/>
      </c>
      <c r="H33" s="207">
        <f>H7-G7</f>
        <v/>
      </c>
      <c r="I33" s="207">
        <f>I7-H7</f>
        <v/>
      </c>
      <c r="J33" s="207">
        <f>J7-I7</f>
        <v/>
      </c>
      <c r="K33" s="207">
        <f>K7-J7</f>
        <v/>
      </c>
      <c r="L33" s="207">
        <f>L7-K7</f>
        <v/>
      </c>
      <c r="M33" s="207">
        <f>M7-L7</f>
        <v/>
      </c>
      <c r="N33" s="207">
        <f>N7-M7</f>
        <v/>
      </c>
      <c r="O33" s="207">
        <f>O7-N7</f>
        <v/>
      </c>
      <c r="P33" s="207">
        <f>P7-O7</f>
        <v/>
      </c>
      <c r="Q33" s="207">
        <f>Q7-P7</f>
        <v/>
      </c>
      <c r="R33" s="207">
        <f>R7-Q7</f>
        <v/>
      </c>
      <c r="S33" s="207">
        <f>S7-R7</f>
        <v/>
      </c>
      <c r="T33" s="207">
        <f>T7-S7</f>
        <v/>
      </c>
      <c r="U33" s="207">
        <f>U7-T7</f>
        <v/>
      </c>
      <c r="V33" s="207">
        <f>V7-U7</f>
        <v/>
      </c>
      <c r="W33" s="207">
        <f>W7-V7</f>
        <v/>
      </c>
      <c r="X33" s="207">
        <f>X7-W7</f>
        <v/>
      </c>
      <c r="Y33" s="207">
        <f>Y7-X7</f>
        <v/>
      </c>
      <c r="Z33" s="207">
        <f>Z7-Y7</f>
        <v/>
      </c>
      <c r="AA33" s="207">
        <f>AA7-Z7</f>
        <v/>
      </c>
      <c r="AB33" s="207">
        <f>AB7-AA7</f>
        <v/>
      </c>
      <c r="AC33" s="207">
        <f>AC7-AB7</f>
        <v/>
      </c>
      <c r="AD33" s="207">
        <f>AD7-AC7</f>
        <v/>
      </c>
      <c r="AE33" s="207">
        <f>AE7-AD7</f>
        <v/>
      </c>
      <c r="AF33" s="207">
        <f>AF7-AE7</f>
        <v/>
      </c>
      <c r="AG33" s="207">
        <f>AG7-AF7</f>
        <v/>
      </c>
    </row>
    <row r="34" ht="15" customHeight="1" s="106">
      <c r="A34" t="n">
        <v>5</v>
      </c>
      <c r="B34">
        <f>Scenarios!$C$7</f>
        <v/>
      </c>
      <c r="C34" t="inlineStr">
        <is>
          <t>APF</t>
        </is>
      </c>
      <c r="D34" s="207">
        <f>D8</f>
        <v/>
      </c>
      <c r="E34" s="207">
        <f>E8-D8</f>
        <v/>
      </c>
      <c r="F34" s="207">
        <f>F8-E8</f>
        <v/>
      </c>
      <c r="G34" s="207">
        <f>G8-F8</f>
        <v/>
      </c>
      <c r="H34" s="207">
        <f>H8-G8</f>
        <v/>
      </c>
      <c r="I34" s="207">
        <f>I8-H8</f>
        <v/>
      </c>
      <c r="J34" s="207">
        <f>J8-I8</f>
        <v/>
      </c>
      <c r="K34" s="207">
        <f>K8-J8</f>
        <v/>
      </c>
      <c r="L34" s="207">
        <f>L8-K8</f>
        <v/>
      </c>
      <c r="M34" s="207">
        <f>M8-L8</f>
        <v/>
      </c>
      <c r="N34" s="207">
        <f>N8-M8</f>
        <v/>
      </c>
      <c r="O34" s="207">
        <f>O8-N8</f>
        <v/>
      </c>
      <c r="P34" s="207">
        <f>P8-O8</f>
        <v/>
      </c>
      <c r="Q34" s="207">
        <f>Q8-P8</f>
        <v/>
      </c>
      <c r="R34" s="207">
        <f>R8-Q8</f>
        <v/>
      </c>
      <c r="S34" s="207">
        <f>S8-R8</f>
        <v/>
      </c>
      <c r="T34" s="207">
        <f>T8-S8</f>
        <v/>
      </c>
      <c r="U34" s="207">
        <f>U8-T8</f>
        <v/>
      </c>
      <c r="V34" s="207">
        <f>V8-U8</f>
        <v/>
      </c>
      <c r="W34" s="207">
        <f>W8-V8</f>
        <v/>
      </c>
      <c r="X34" s="207">
        <f>X8-W8</f>
        <v/>
      </c>
      <c r="Y34" s="207">
        <f>Y8-X8</f>
        <v/>
      </c>
      <c r="Z34" s="207">
        <f>Z8-Y8</f>
        <v/>
      </c>
      <c r="AA34" s="207">
        <f>AA8-Z8</f>
        <v/>
      </c>
      <c r="AB34" s="207">
        <f>AB8-AA8</f>
        <v/>
      </c>
      <c r="AC34" s="207">
        <f>AC8-AB8</f>
        <v/>
      </c>
      <c r="AD34" s="207">
        <f>AD8-AC8</f>
        <v/>
      </c>
      <c r="AE34" s="207">
        <f>AE8-AD8</f>
        <v/>
      </c>
      <c r="AF34" s="207">
        <f>AF8-AE8</f>
        <v/>
      </c>
      <c r="AG34" s="207">
        <f>AG8-AF8</f>
        <v/>
      </c>
    </row>
    <row r="35" ht="15" customHeight="1" s="106">
      <c r="A35" t="n">
        <v>6</v>
      </c>
      <c r="B35">
        <f>Scenarios!$C$8</f>
        <v/>
      </c>
      <c r="C35" t="inlineStr">
        <is>
          <t>APF</t>
        </is>
      </c>
      <c r="D35" s="207">
        <f>D9</f>
        <v/>
      </c>
      <c r="E35" s="207">
        <f>E9-D9</f>
        <v/>
      </c>
      <c r="F35" s="207">
        <f>F9-E9</f>
        <v/>
      </c>
      <c r="G35" s="207">
        <f>G9-F9</f>
        <v/>
      </c>
      <c r="H35" s="207">
        <f>H9-G9</f>
        <v/>
      </c>
      <c r="I35" s="207">
        <f>I9-H9</f>
        <v/>
      </c>
      <c r="J35" s="207">
        <f>J9-I9</f>
        <v/>
      </c>
      <c r="K35" s="207">
        <f>K9-J9</f>
        <v/>
      </c>
      <c r="L35" s="207">
        <f>L9-K9</f>
        <v/>
      </c>
      <c r="M35" s="207">
        <f>M9-L9</f>
        <v/>
      </c>
      <c r="N35" s="207">
        <f>N9-M9</f>
        <v/>
      </c>
      <c r="O35" s="207">
        <f>O9-N9</f>
        <v/>
      </c>
      <c r="P35" s="207">
        <f>P9-O9</f>
        <v/>
      </c>
      <c r="Q35" s="207">
        <f>Q9-P9</f>
        <v/>
      </c>
      <c r="R35" s="207">
        <f>R9-Q9</f>
        <v/>
      </c>
      <c r="S35" s="207">
        <f>S9-R9</f>
        <v/>
      </c>
      <c r="T35" s="207">
        <f>T9-S9</f>
        <v/>
      </c>
      <c r="U35" s="207">
        <f>U9-T9</f>
        <v/>
      </c>
      <c r="V35" s="207">
        <f>V9-U9</f>
        <v/>
      </c>
      <c r="W35" s="207">
        <f>W9-V9</f>
        <v/>
      </c>
      <c r="X35" s="207">
        <f>X9-W9</f>
        <v/>
      </c>
      <c r="Y35" s="207">
        <f>Y9-X9</f>
        <v/>
      </c>
      <c r="Z35" s="207">
        <f>Z9-Y9</f>
        <v/>
      </c>
      <c r="AA35" s="207">
        <f>AA9-Z9</f>
        <v/>
      </c>
      <c r="AB35" s="207">
        <f>AB9-AA9</f>
        <v/>
      </c>
      <c r="AC35" s="207">
        <f>AC9-AB9</f>
        <v/>
      </c>
      <c r="AD35" s="207">
        <f>AD9-AC9</f>
        <v/>
      </c>
      <c r="AE35" s="207">
        <f>AE9-AD9</f>
        <v/>
      </c>
      <c r="AF35" s="207">
        <f>AF9-AE9</f>
        <v/>
      </c>
      <c r="AG35" s="207">
        <f>AG9-AF9</f>
        <v/>
      </c>
    </row>
    <row r="36" ht="15" customHeight="1" s="106">
      <c r="A36" t="n">
        <v>7</v>
      </c>
      <c r="B36">
        <f>Scenarios!$C$9</f>
        <v/>
      </c>
      <c r="C36" t="inlineStr">
        <is>
          <t>APF</t>
        </is>
      </c>
      <c r="D36" s="207">
        <f>D10</f>
        <v/>
      </c>
      <c r="E36" s="207">
        <f>E10-D10</f>
        <v/>
      </c>
      <c r="F36" s="207">
        <f>F10-E10</f>
        <v/>
      </c>
      <c r="G36" s="207">
        <f>G10-F10</f>
        <v/>
      </c>
      <c r="H36" s="207">
        <f>H10-G10</f>
        <v/>
      </c>
      <c r="I36" s="207">
        <f>I10-H10</f>
        <v/>
      </c>
      <c r="J36" s="207">
        <f>J10-I10</f>
        <v/>
      </c>
      <c r="K36" s="207">
        <f>K10-J10</f>
        <v/>
      </c>
      <c r="L36" s="207">
        <f>L10-K10</f>
        <v/>
      </c>
      <c r="M36" s="207">
        <f>M10-L10</f>
        <v/>
      </c>
      <c r="N36" s="207">
        <f>N10-M10</f>
        <v/>
      </c>
      <c r="O36" s="207">
        <f>O10-N10</f>
        <v/>
      </c>
      <c r="P36" s="207">
        <f>P10-O10</f>
        <v/>
      </c>
      <c r="Q36" s="207">
        <f>Q10-P10</f>
        <v/>
      </c>
      <c r="R36" s="207">
        <f>R10-Q10</f>
        <v/>
      </c>
      <c r="S36" s="207">
        <f>S10-R10</f>
        <v/>
      </c>
      <c r="T36" s="207">
        <f>T10-S10</f>
        <v/>
      </c>
      <c r="U36" s="207">
        <f>U10-T10</f>
        <v/>
      </c>
      <c r="V36" s="207">
        <f>V10-U10</f>
        <v/>
      </c>
      <c r="W36" s="207">
        <f>W10-V10</f>
        <v/>
      </c>
      <c r="X36" s="207">
        <f>X10-W10</f>
        <v/>
      </c>
      <c r="Y36" s="207">
        <f>Y10-X10</f>
        <v/>
      </c>
      <c r="Z36" s="207">
        <f>Z10-Y10</f>
        <v/>
      </c>
      <c r="AA36" s="207">
        <f>AA10-Z10</f>
        <v/>
      </c>
      <c r="AB36" s="207">
        <f>AB10-AA10</f>
        <v/>
      </c>
      <c r="AC36" s="207">
        <f>AC10-AB10</f>
        <v/>
      </c>
      <c r="AD36" s="207">
        <f>AD10-AC10</f>
        <v/>
      </c>
      <c r="AE36" s="207">
        <f>AE10-AD10</f>
        <v/>
      </c>
      <c r="AF36" s="207">
        <f>AF10-AE10</f>
        <v/>
      </c>
      <c r="AG36" s="207">
        <f>AG10-AF10</f>
        <v/>
      </c>
    </row>
    <row r="37" ht="15" customHeight="1" s="106">
      <c r="A37" t="n">
        <v>8</v>
      </c>
      <c r="B37">
        <f>Scenarios!$C$10</f>
        <v/>
      </c>
      <c r="C37" t="inlineStr">
        <is>
          <t>APF</t>
        </is>
      </c>
      <c r="D37" s="207">
        <f>D11</f>
        <v/>
      </c>
      <c r="E37" s="207">
        <f>E11-D11</f>
        <v/>
      </c>
      <c r="F37" s="207">
        <f>F11-E11</f>
        <v/>
      </c>
      <c r="G37" s="207">
        <f>G11-F11</f>
        <v/>
      </c>
      <c r="H37" s="207">
        <f>H11-G11</f>
        <v/>
      </c>
      <c r="I37" s="207">
        <f>I11-H11</f>
        <v/>
      </c>
      <c r="J37" s="207">
        <f>J11-I11</f>
        <v/>
      </c>
      <c r="K37" s="207">
        <f>K11-J11</f>
        <v/>
      </c>
      <c r="L37" s="207">
        <f>L11-K11</f>
        <v/>
      </c>
      <c r="M37" s="207">
        <f>M11-L11</f>
        <v/>
      </c>
      <c r="N37" s="207">
        <f>N11-M11</f>
        <v/>
      </c>
      <c r="O37" s="207">
        <f>O11-N11</f>
        <v/>
      </c>
      <c r="P37" s="207">
        <f>P11-O11</f>
        <v/>
      </c>
      <c r="Q37" s="207">
        <f>Q11-P11</f>
        <v/>
      </c>
      <c r="R37" s="207">
        <f>R11-Q11</f>
        <v/>
      </c>
      <c r="S37" s="207">
        <f>S11-R11</f>
        <v/>
      </c>
      <c r="T37" s="207">
        <f>T11-S11</f>
        <v/>
      </c>
      <c r="U37" s="207">
        <f>U11-T11</f>
        <v/>
      </c>
      <c r="V37" s="207">
        <f>V11-U11</f>
        <v/>
      </c>
      <c r="W37" s="207">
        <f>W11-V11</f>
        <v/>
      </c>
      <c r="X37" s="207">
        <f>X11-W11</f>
        <v/>
      </c>
      <c r="Y37" s="207">
        <f>Y11-X11</f>
        <v/>
      </c>
      <c r="Z37" s="207">
        <f>Z11-Y11</f>
        <v/>
      </c>
      <c r="AA37" s="207">
        <f>AA11-Z11</f>
        <v/>
      </c>
      <c r="AB37" s="207">
        <f>AB11-AA11</f>
        <v/>
      </c>
      <c r="AC37" s="207">
        <f>AC11-AB11</f>
        <v/>
      </c>
      <c r="AD37" s="207">
        <f>AD11-AC11</f>
        <v/>
      </c>
      <c r="AE37" s="207">
        <f>AE11-AD11</f>
        <v/>
      </c>
      <c r="AF37" s="207">
        <f>AF11-AE11</f>
        <v/>
      </c>
      <c r="AG37" s="207">
        <f>AG11-AF11</f>
        <v/>
      </c>
    </row>
    <row r="38" ht="15" customHeight="1" s="106">
      <c r="A38" t="n">
        <v>9</v>
      </c>
      <c r="B38">
        <f>Scenarios!$C$11</f>
        <v/>
      </c>
      <c r="C38" t="inlineStr">
        <is>
          <t>APF</t>
        </is>
      </c>
      <c r="D38" s="207">
        <f>D12</f>
        <v/>
      </c>
      <c r="E38" s="207">
        <f>E12-D12</f>
        <v/>
      </c>
      <c r="F38" s="207">
        <f>F12-E12</f>
        <v/>
      </c>
      <c r="G38" s="207">
        <f>G12-F12</f>
        <v/>
      </c>
      <c r="H38" s="207">
        <f>H12-G12</f>
        <v/>
      </c>
      <c r="I38" s="207">
        <f>I12-H12</f>
        <v/>
      </c>
      <c r="J38" s="207">
        <f>J12-I12</f>
        <v/>
      </c>
      <c r="K38" s="207">
        <f>K12-J12</f>
        <v/>
      </c>
      <c r="L38" s="207">
        <f>L12-K12</f>
        <v/>
      </c>
      <c r="M38" s="207">
        <f>M12-L12</f>
        <v/>
      </c>
      <c r="N38" s="207">
        <f>N12-M12</f>
        <v/>
      </c>
      <c r="O38" s="207">
        <f>O12-N12</f>
        <v/>
      </c>
      <c r="P38" s="207">
        <f>P12-O12</f>
        <v/>
      </c>
      <c r="Q38" s="207">
        <f>Q12-P12</f>
        <v/>
      </c>
      <c r="R38" s="207">
        <f>R12-Q12</f>
        <v/>
      </c>
      <c r="S38" s="207">
        <f>S12-R12</f>
        <v/>
      </c>
      <c r="T38" s="207">
        <f>T12-S12</f>
        <v/>
      </c>
      <c r="U38" s="207">
        <f>U12-T12</f>
        <v/>
      </c>
      <c r="V38" s="207">
        <f>V12-U12</f>
        <v/>
      </c>
      <c r="W38" s="207">
        <f>W12-V12</f>
        <v/>
      </c>
      <c r="X38" s="207">
        <f>X12-W12</f>
        <v/>
      </c>
      <c r="Y38" s="207">
        <f>Y12-X12</f>
        <v/>
      </c>
      <c r="Z38" s="207">
        <f>Z12-Y12</f>
        <v/>
      </c>
      <c r="AA38" s="207">
        <f>AA12-Z12</f>
        <v/>
      </c>
      <c r="AB38" s="207">
        <f>AB12-AA12</f>
        <v/>
      </c>
      <c r="AC38" s="207">
        <f>AC12-AB12</f>
        <v/>
      </c>
      <c r="AD38" s="207">
        <f>AD12-AC12</f>
        <v/>
      </c>
      <c r="AE38" s="207">
        <f>AE12-AD12</f>
        <v/>
      </c>
      <c r="AF38" s="207">
        <f>AF12-AE12</f>
        <v/>
      </c>
      <c r="AG38" s="207">
        <f>AG12-AF12</f>
        <v/>
      </c>
    </row>
    <row r="39" ht="15" customHeight="1" s="106">
      <c r="A39" t="n">
        <v>10</v>
      </c>
      <c r="B39">
        <f>Scenarios!$C$12</f>
        <v/>
      </c>
      <c r="C39" t="inlineStr">
        <is>
          <t>APF</t>
        </is>
      </c>
      <c r="D39" s="207">
        <f>D13</f>
        <v/>
      </c>
      <c r="E39" s="207">
        <f>E13-D13</f>
        <v/>
      </c>
      <c r="F39" s="207">
        <f>F13-E13</f>
        <v/>
      </c>
      <c r="G39" s="207">
        <f>G13-F13</f>
        <v/>
      </c>
      <c r="H39" s="207">
        <f>H13-G13</f>
        <v/>
      </c>
      <c r="I39" s="207">
        <f>I13-H13</f>
        <v/>
      </c>
      <c r="J39" s="207">
        <f>J13-I13</f>
        <v/>
      </c>
      <c r="K39" s="207">
        <f>K13-J13</f>
        <v/>
      </c>
      <c r="L39" s="207">
        <f>L13-K13</f>
        <v/>
      </c>
      <c r="M39" s="207">
        <f>M13-L13</f>
        <v/>
      </c>
      <c r="N39" s="207">
        <f>N13-M13</f>
        <v/>
      </c>
      <c r="O39" s="207">
        <f>O13-N13</f>
        <v/>
      </c>
      <c r="P39" s="207">
        <f>P13-O13</f>
        <v/>
      </c>
      <c r="Q39" s="207">
        <f>Q13-P13</f>
        <v/>
      </c>
      <c r="R39" s="207">
        <f>R13-Q13</f>
        <v/>
      </c>
      <c r="S39" s="207">
        <f>S13-R13</f>
        <v/>
      </c>
      <c r="T39" s="207">
        <f>T13-S13</f>
        <v/>
      </c>
      <c r="U39" s="207">
        <f>U13-T13</f>
        <v/>
      </c>
      <c r="V39" s="207">
        <f>V13-U13</f>
        <v/>
      </c>
      <c r="W39" s="207">
        <f>W13-V13</f>
        <v/>
      </c>
      <c r="X39" s="207">
        <f>X13-W13</f>
        <v/>
      </c>
      <c r="Y39" s="207">
        <f>Y13-X13</f>
        <v/>
      </c>
      <c r="Z39" s="207">
        <f>Z13-Y13</f>
        <v/>
      </c>
      <c r="AA39" s="207">
        <f>AA13-Z13</f>
        <v/>
      </c>
      <c r="AB39" s="207">
        <f>AB13-AA13</f>
        <v/>
      </c>
      <c r="AC39" s="207">
        <f>AC13-AB13</f>
        <v/>
      </c>
      <c r="AD39" s="207">
        <f>AD13-AC13</f>
        <v/>
      </c>
      <c r="AE39" s="207">
        <f>AE13-AD13</f>
        <v/>
      </c>
      <c r="AF39" s="207">
        <f>AF13-AE13</f>
        <v/>
      </c>
      <c r="AG39" s="207">
        <f>AG13-AF13</f>
        <v/>
      </c>
    </row>
    <row r="40" ht="15" customHeight="1" s="106">
      <c r="A40" t="n">
        <v>11</v>
      </c>
      <c r="B40">
        <f>Scenarios!$C$13</f>
        <v/>
      </c>
      <c r="C40" t="inlineStr">
        <is>
          <t>APF</t>
        </is>
      </c>
      <c r="D40" s="207">
        <f>D14</f>
        <v/>
      </c>
      <c r="E40" s="207">
        <f>E14-D14</f>
        <v/>
      </c>
      <c r="F40" s="207">
        <f>F14-E14</f>
        <v/>
      </c>
      <c r="G40" s="207">
        <f>G14-F14</f>
        <v/>
      </c>
      <c r="H40" s="207">
        <f>H14-G14</f>
        <v/>
      </c>
      <c r="I40" s="207">
        <f>I14-H14</f>
        <v/>
      </c>
      <c r="J40" s="207">
        <f>J14-I14</f>
        <v/>
      </c>
      <c r="K40" s="207">
        <f>K14-J14</f>
        <v/>
      </c>
      <c r="L40" s="207">
        <f>L14-K14</f>
        <v/>
      </c>
      <c r="M40" s="207">
        <f>M14-L14</f>
        <v/>
      </c>
      <c r="N40" s="207">
        <f>N14-M14</f>
        <v/>
      </c>
      <c r="O40" s="207">
        <f>O14-N14</f>
        <v/>
      </c>
      <c r="P40" s="207">
        <f>P14-O14</f>
        <v/>
      </c>
      <c r="Q40" s="207">
        <f>Q14-P14</f>
        <v/>
      </c>
      <c r="R40" s="207">
        <f>R14-Q14</f>
        <v/>
      </c>
      <c r="S40" s="207">
        <f>S14-R14</f>
        <v/>
      </c>
      <c r="T40" s="207">
        <f>T14-S14</f>
        <v/>
      </c>
      <c r="U40" s="207">
        <f>U14-T14</f>
        <v/>
      </c>
      <c r="V40" s="207">
        <f>V14-U14</f>
        <v/>
      </c>
      <c r="W40" s="207">
        <f>W14-V14</f>
        <v/>
      </c>
      <c r="X40" s="207">
        <f>X14-W14</f>
        <v/>
      </c>
      <c r="Y40" s="207">
        <f>Y14-X14</f>
        <v/>
      </c>
      <c r="Z40" s="207">
        <f>Z14-Y14</f>
        <v/>
      </c>
      <c r="AA40" s="207">
        <f>AA14-Z14</f>
        <v/>
      </c>
      <c r="AB40" s="207">
        <f>AB14-AA14</f>
        <v/>
      </c>
      <c r="AC40" s="207">
        <f>AC14-AB14</f>
        <v/>
      </c>
      <c r="AD40" s="207">
        <f>AD14-AC14</f>
        <v/>
      </c>
      <c r="AE40" s="207">
        <f>AE14-AD14</f>
        <v/>
      </c>
      <c r="AF40" s="207">
        <f>AF14-AE14</f>
        <v/>
      </c>
      <c r="AG40" s="207">
        <f>AG14-AF14</f>
        <v/>
      </c>
    </row>
    <row r="41" ht="15" customHeight="1" s="106">
      <c r="A41" t="n">
        <v>12</v>
      </c>
      <c r="B41">
        <f>Scenarios!$C$14</f>
        <v/>
      </c>
      <c r="C41" t="inlineStr">
        <is>
          <t>APF</t>
        </is>
      </c>
      <c r="D41" s="207">
        <f>D15</f>
        <v/>
      </c>
      <c r="E41" s="207">
        <f>E15-D15</f>
        <v/>
      </c>
      <c r="F41" s="207">
        <f>F15-E15</f>
        <v/>
      </c>
      <c r="G41" s="207">
        <f>G15-F15</f>
        <v/>
      </c>
      <c r="H41" s="207">
        <f>H15-G15</f>
        <v/>
      </c>
      <c r="I41" s="207">
        <f>I15-H15</f>
        <v/>
      </c>
      <c r="J41" s="207">
        <f>J15-I15</f>
        <v/>
      </c>
      <c r="K41" s="207">
        <f>K15-J15</f>
        <v/>
      </c>
      <c r="L41" s="207">
        <f>L15-K15</f>
        <v/>
      </c>
      <c r="M41" s="207">
        <f>M15-L15</f>
        <v/>
      </c>
      <c r="N41" s="207">
        <f>N15-M15</f>
        <v/>
      </c>
      <c r="O41" s="207">
        <f>O15-N15</f>
        <v/>
      </c>
      <c r="P41" s="207">
        <f>P15-O15</f>
        <v/>
      </c>
      <c r="Q41" s="207">
        <f>Q15-P15</f>
        <v/>
      </c>
      <c r="R41" s="207">
        <f>R15-Q15</f>
        <v/>
      </c>
      <c r="S41" s="207">
        <f>S15-R15</f>
        <v/>
      </c>
      <c r="T41" s="207">
        <f>T15-S15</f>
        <v/>
      </c>
      <c r="U41" s="207">
        <f>U15-T15</f>
        <v/>
      </c>
      <c r="V41" s="207">
        <f>V15-U15</f>
        <v/>
      </c>
      <c r="W41" s="207">
        <f>W15-V15</f>
        <v/>
      </c>
      <c r="X41" s="207">
        <f>X15-W15</f>
        <v/>
      </c>
      <c r="Y41" s="207">
        <f>Y15-X15</f>
        <v/>
      </c>
      <c r="Z41" s="207">
        <f>Z15-Y15</f>
        <v/>
      </c>
      <c r="AA41" s="207">
        <f>AA15-Z15</f>
        <v/>
      </c>
      <c r="AB41" s="207">
        <f>AB15-AA15</f>
        <v/>
      </c>
      <c r="AC41" s="207">
        <f>AC15-AB15</f>
        <v/>
      </c>
      <c r="AD41" s="207">
        <f>AD15-AC15</f>
        <v/>
      </c>
      <c r="AE41" s="207">
        <f>AE15-AD15</f>
        <v/>
      </c>
      <c r="AF41" s="207">
        <f>AF15-AE15</f>
        <v/>
      </c>
      <c r="AG41" s="207">
        <f>AG15-AF15</f>
        <v/>
      </c>
    </row>
    <row r="42" ht="15" customHeight="1" s="106">
      <c r="A42" t="n">
        <v>13</v>
      </c>
      <c r="B42">
        <f>Scenarios!$C$15</f>
        <v/>
      </c>
      <c r="C42" t="inlineStr">
        <is>
          <t>APF</t>
        </is>
      </c>
      <c r="D42" s="207">
        <f>D16</f>
        <v/>
      </c>
      <c r="E42" s="207">
        <f>E16-D16</f>
        <v/>
      </c>
      <c r="F42" s="207">
        <f>F16-E16</f>
        <v/>
      </c>
      <c r="G42" s="207">
        <f>G16-F16</f>
        <v/>
      </c>
      <c r="H42" s="207">
        <f>H16-G16</f>
        <v/>
      </c>
      <c r="I42" s="207">
        <f>I16-H16</f>
        <v/>
      </c>
      <c r="J42" s="207">
        <f>J16-I16</f>
        <v/>
      </c>
      <c r="K42" s="207">
        <f>K16-J16</f>
        <v/>
      </c>
      <c r="L42" s="207">
        <f>L16-K16</f>
        <v/>
      </c>
      <c r="M42" s="207">
        <f>M16-L16</f>
        <v/>
      </c>
      <c r="N42" s="207">
        <f>N16-M16</f>
        <v/>
      </c>
      <c r="O42" s="207">
        <f>O16-N16</f>
        <v/>
      </c>
      <c r="P42" s="207">
        <f>P16-O16</f>
        <v/>
      </c>
      <c r="Q42" s="207">
        <f>Q16-P16</f>
        <v/>
      </c>
      <c r="R42" s="207">
        <f>R16-Q16</f>
        <v/>
      </c>
      <c r="S42" s="207">
        <f>S16-R16</f>
        <v/>
      </c>
      <c r="T42" s="207">
        <f>T16-S16</f>
        <v/>
      </c>
      <c r="U42" s="207">
        <f>U16-T16</f>
        <v/>
      </c>
      <c r="V42" s="207">
        <f>V16-U16</f>
        <v/>
      </c>
      <c r="W42" s="207">
        <f>W16-V16</f>
        <v/>
      </c>
      <c r="X42" s="207">
        <f>X16-W16</f>
        <v/>
      </c>
      <c r="Y42" s="207">
        <f>Y16-X16</f>
        <v/>
      </c>
      <c r="Z42" s="207">
        <f>Z16-Y16</f>
        <v/>
      </c>
      <c r="AA42" s="207">
        <f>AA16-Z16</f>
        <v/>
      </c>
      <c r="AB42" s="207">
        <f>AB16-AA16</f>
        <v/>
      </c>
      <c r="AC42" s="207">
        <f>AC16-AB16</f>
        <v/>
      </c>
      <c r="AD42" s="207">
        <f>AD16-AC16</f>
        <v/>
      </c>
      <c r="AE42" s="207">
        <f>AE16-AD16</f>
        <v/>
      </c>
      <c r="AF42" s="207">
        <f>AF16-AE16</f>
        <v/>
      </c>
      <c r="AG42" s="207">
        <f>AG16-AF16</f>
        <v/>
      </c>
    </row>
    <row r="43" ht="15" customHeight="1" s="106">
      <c r="A43" t="n">
        <v>14</v>
      </c>
      <c r="B43">
        <f>Scenarios!$C$16</f>
        <v/>
      </c>
      <c r="C43" t="inlineStr">
        <is>
          <t>APF</t>
        </is>
      </c>
      <c r="D43" s="207">
        <f>D17</f>
        <v/>
      </c>
      <c r="E43" s="207">
        <f>E17-D17</f>
        <v/>
      </c>
      <c r="F43" s="207">
        <f>F17-E17</f>
        <v/>
      </c>
      <c r="G43" s="207">
        <f>G17-F17</f>
        <v/>
      </c>
      <c r="H43" s="207">
        <f>H17-G17</f>
        <v/>
      </c>
      <c r="I43" s="207">
        <f>I17-H17</f>
        <v/>
      </c>
      <c r="J43" s="207">
        <f>J17-I17</f>
        <v/>
      </c>
      <c r="K43" s="207">
        <f>K17-J17</f>
        <v/>
      </c>
      <c r="L43" s="207">
        <f>L17-K17</f>
        <v/>
      </c>
      <c r="M43" s="207">
        <f>M17-L17</f>
        <v/>
      </c>
      <c r="N43" s="207">
        <f>N17-M17</f>
        <v/>
      </c>
      <c r="O43" s="207">
        <f>O17-N17</f>
        <v/>
      </c>
      <c r="P43" s="207">
        <f>P17-O17</f>
        <v/>
      </c>
      <c r="Q43" s="207">
        <f>Q17-P17</f>
        <v/>
      </c>
      <c r="R43" s="207">
        <f>R17-Q17</f>
        <v/>
      </c>
      <c r="S43" s="207">
        <f>S17-R17</f>
        <v/>
      </c>
      <c r="T43" s="207">
        <f>T17-S17</f>
        <v/>
      </c>
      <c r="U43" s="207">
        <f>U17-T17</f>
        <v/>
      </c>
      <c r="V43" s="207">
        <f>V17-U17</f>
        <v/>
      </c>
      <c r="W43" s="207">
        <f>W17-V17</f>
        <v/>
      </c>
      <c r="X43" s="207">
        <f>X17-W17</f>
        <v/>
      </c>
      <c r="Y43" s="207">
        <f>Y17-X17</f>
        <v/>
      </c>
      <c r="Z43" s="207">
        <f>Z17-Y17</f>
        <v/>
      </c>
      <c r="AA43" s="207">
        <f>AA17-Z17</f>
        <v/>
      </c>
      <c r="AB43" s="207">
        <f>AB17-AA17</f>
        <v/>
      </c>
      <c r="AC43" s="207">
        <f>AC17-AB17</f>
        <v/>
      </c>
      <c r="AD43" s="207">
        <f>AD17-AC17</f>
        <v/>
      </c>
      <c r="AE43" s="207">
        <f>AE17-AD17</f>
        <v/>
      </c>
      <c r="AF43" s="207">
        <f>AF17-AE17</f>
        <v/>
      </c>
      <c r="AG43" s="207">
        <f>AG17-AF17</f>
        <v/>
      </c>
    </row>
    <row r="44" ht="15" customHeight="1" s="106">
      <c r="A44" t="n">
        <v>15</v>
      </c>
      <c r="B44">
        <f>Scenarios!$C$17</f>
        <v/>
      </c>
      <c r="C44" t="inlineStr">
        <is>
          <t>APF</t>
        </is>
      </c>
      <c r="D44" s="207">
        <f>D18</f>
        <v/>
      </c>
      <c r="E44" s="207">
        <f>E18-D18</f>
        <v/>
      </c>
      <c r="F44" s="207">
        <f>F18-E18</f>
        <v/>
      </c>
      <c r="G44" s="207">
        <f>G18-F18</f>
        <v/>
      </c>
      <c r="H44" s="207">
        <f>H18-G18</f>
        <v/>
      </c>
      <c r="I44" s="207">
        <f>I18-H18</f>
        <v/>
      </c>
      <c r="J44" s="207">
        <f>J18-I18</f>
        <v/>
      </c>
      <c r="K44" s="207">
        <f>K18-J18</f>
        <v/>
      </c>
      <c r="L44" s="207">
        <f>L18-K18</f>
        <v/>
      </c>
      <c r="M44" s="207">
        <f>M18-L18</f>
        <v/>
      </c>
      <c r="N44" s="207">
        <f>N18-M18</f>
        <v/>
      </c>
      <c r="O44" s="207">
        <f>O18-N18</f>
        <v/>
      </c>
      <c r="P44" s="207">
        <f>P18-O18</f>
        <v/>
      </c>
      <c r="Q44" s="207">
        <f>Q18-P18</f>
        <v/>
      </c>
      <c r="R44" s="207">
        <f>R18-Q18</f>
        <v/>
      </c>
      <c r="S44" s="207">
        <f>S18-R18</f>
        <v/>
      </c>
      <c r="T44" s="207">
        <f>T18-S18</f>
        <v/>
      </c>
      <c r="U44" s="207">
        <f>U18-T18</f>
        <v/>
      </c>
      <c r="V44" s="207">
        <f>V18-U18</f>
        <v/>
      </c>
      <c r="W44" s="207">
        <f>W18-V18</f>
        <v/>
      </c>
      <c r="X44" s="207">
        <f>X18-W18</f>
        <v/>
      </c>
      <c r="Y44" s="207">
        <f>Y18-X18</f>
        <v/>
      </c>
      <c r="Z44" s="207">
        <f>Z18-Y18</f>
        <v/>
      </c>
      <c r="AA44" s="207">
        <f>AA18-Z18</f>
        <v/>
      </c>
      <c r="AB44" s="207">
        <f>AB18-AA18</f>
        <v/>
      </c>
      <c r="AC44" s="207">
        <f>AC18-AB18</f>
        <v/>
      </c>
      <c r="AD44" s="207">
        <f>AD18-AC18</f>
        <v/>
      </c>
      <c r="AE44" s="207">
        <f>AE18-AD18</f>
        <v/>
      </c>
      <c r="AF44" s="207">
        <f>AF18-AE18</f>
        <v/>
      </c>
      <c r="AG44" s="207">
        <f>AG18-AF18</f>
        <v/>
      </c>
    </row>
    <row r="45" ht="15" customHeight="1" s="106">
      <c r="A45" t="n">
        <v>16</v>
      </c>
      <c r="B45">
        <f>Scenarios!$C$18</f>
        <v/>
      </c>
      <c r="C45" t="inlineStr">
        <is>
          <t>APF</t>
        </is>
      </c>
      <c r="D45" s="207">
        <f>D19</f>
        <v/>
      </c>
      <c r="E45" s="207">
        <f>E19-D19</f>
        <v/>
      </c>
      <c r="F45" s="207">
        <f>F19-E19</f>
        <v/>
      </c>
      <c r="G45" s="207">
        <f>G19-F19</f>
        <v/>
      </c>
      <c r="H45" s="207">
        <f>H19-G19</f>
        <v/>
      </c>
      <c r="I45" s="207">
        <f>I19-H19</f>
        <v/>
      </c>
      <c r="J45" s="207">
        <f>J19-I19</f>
        <v/>
      </c>
      <c r="K45" s="207">
        <f>K19-J19</f>
        <v/>
      </c>
      <c r="L45" s="207">
        <f>L19-K19</f>
        <v/>
      </c>
      <c r="M45" s="207">
        <f>M19-L19</f>
        <v/>
      </c>
      <c r="N45" s="207">
        <f>N19-M19</f>
        <v/>
      </c>
      <c r="O45" s="207">
        <f>O19-N19</f>
        <v/>
      </c>
      <c r="P45" s="207">
        <f>P19-O19</f>
        <v/>
      </c>
      <c r="Q45" s="207">
        <f>Q19-P19</f>
        <v/>
      </c>
      <c r="R45" s="207">
        <f>R19-Q19</f>
        <v/>
      </c>
      <c r="S45" s="207">
        <f>S19-R19</f>
        <v/>
      </c>
      <c r="T45" s="207">
        <f>T19-S19</f>
        <v/>
      </c>
      <c r="U45" s="207">
        <f>U19-T19</f>
        <v/>
      </c>
      <c r="V45" s="207">
        <f>V19-U19</f>
        <v/>
      </c>
      <c r="W45" s="207">
        <f>W19-V19</f>
        <v/>
      </c>
      <c r="X45" s="207">
        <f>X19-W19</f>
        <v/>
      </c>
      <c r="Y45" s="207">
        <f>Y19-X19</f>
        <v/>
      </c>
      <c r="Z45" s="207">
        <f>Z19-Y19</f>
        <v/>
      </c>
      <c r="AA45" s="207">
        <f>AA19-Z19</f>
        <v/>
      </c>
      <c r="AB45" s="207">
        <f>AB19-AA19</f>
        <v/>
      </c>
      <c r="AC45" s="207">
        <f>AC19-AB19</f>
        <v/>
      </c>
      <c r="AD45" s="207">
        <f>AD19-AC19</f>
        <v/>
      </c>
      <c r="AE45" s="207">
        <f>AE19-AD19</f>
        <v/>
      </c>
      <c r="AF45" s="207">
        <f>AF19-AE19</f>
        <v/>
      </c>
      <c r="AG45" s="207">
        <f>AG19-AF19</f>
        <v/>
      </c>
    </row>
    <row r="46" ht="15" customHeight="1" s="106">
      <c r="A46" t="n">
        <v>17</v>
      </c>
      <c r="B46">
        <f>Scenarios!$C$19</f>
        <v/>
      </c>
      <c r="C46" t="inlineStr">
        <is>
          <t>APF</t>
        </is>
      </c>
      <c r="D46" s="207">
        <f>D20</f>
        <v/>
      </c>
      <c r="E46" s="207">
        <f>E20-D20</f>
        <v/>
      </c>
      <c r="F46" s="207">
        <f>F20-E20</f>
        <v/>
      </c>
      <c r="G46" s="207">
        <f>G20-F20</f>
        <v/>
      </c>
      <c r="H46" s="207">
        <f>H20-G20</f>
        <v/>
      </c>
      <c r="I46" s="207">
        <f>I20-H20</f>
        <v/>
      </c>
      <c r="J46" s="207">
        <f>J20-I20</f>
        <v/>
      </c>
      <c r="K46" s="207">
        <f>K20-J20</f>
        <v/>
      </c>
      <c r="L46" s="207">
        <f>L20-K20</f>
        <v/>
      </c>
      <c r="M46" s="207">
        <f>M20-L20</f>
        <v/>
      </c>
      <c r="N46" s="207">
        <f>N20-M20</f>
        <v/>
      </c>
      <c r="O46" s="207">
        <f>O20-N20</f>
        <v/>
      </c>
      <c r="P46" s="207">
        <f>P20-O20</f>
        <v/>
      </c>
      <c r="Q46" s="207">
        <f>Q20-P20</f>
        <v/>
      </c>
      <c r="R46" s="207">
        <f>R20-Q20</f>
        <v/>
      </c>
      <c r="S46" s="207">
        <f>S20-R20</f>
        <v/>
      </c>
      <c r="T46" s="207">
        <f>T20-S20</f>
        <v/>
      </c>
      <c r="U46" s="207">
        <f>U20-T20</f>
        <v/>
      </c>
      <c r="V46" s="207">
        <f>V20-U20</f>
        <v/>
      </c>
      <c r="W46" s="207">
        <f>W20-V20</f>
        <v/>
      </c>
      <c r="X46" s="207">
        <f>X20-W20</f>
        <v/>
      </c>
      <c r="Y46" s="207">
        <f>Y20-X20</f>
        <v/>
      </c>
      <c r="Z46" s="207">
        <f>Z20-Y20</f>
        <v/>
      </c>
      <c r="AA46" s="207">
        <f>AA20-Z20</f>
        <v/>
      </c>
      <c r="AB46" s="207">
        <f>AB20-AA20</f>
        <v/>
      </c>
      <c r="AC46" s="207">
        <f>AC20-AB20</f>
        <v/>
      </c>
      <c r="AD46" s="207">
        <f>AD20-AC20</f>
        <v/>
      </c>
      <c r="AE46" s="207">
        <f>AE20-AD20</f>
        <v/>
      </c>
      <c r="AF46" s="207">
        <f>AF20-AE20</f>
        <v/>
      </c>
      <c r="AG46" s="207">
        <f>AG20-AF20</f>
        <v/>
      </c>
    </row>
    <row r="47" ht="15" customHeight="1" s="106">
      <c r="A47" t="n">
        <v>18</v>
      </c>
      <c r="B47">
        <f>Scenarios!$C$20</f>
        <v/>
      </c>
      <c r="C47" t="inlineStr">
        <is>
          <t>APF</t>
        </is>
      </c>
      <c r="D47" s="207">
        <f>D21</f>
        <v/>
      </c>
      <c r="E47" s="207">
        <f>E21-D21</f>
        <v/>
      </c>
      <c r="F47" s="207">
        <f>F21-E21</f>
        <v/>
      </c>
      <c r="G47" s="207">
        <f>G21-F21</f>
        <v/>
      </c>
      <c r="H47" s="207">
        <f>H21-G21</f>
        <v/>
      </c>
      <c r="I47" s="207">
        <f>I21-H21</f>
        <v/>
      </c>
      <c r="J47" s="207">
        <f>J21-I21</f>
        <v/>
      </c>
      <c r="K47" s="207">
        <f>K21-J21</f>
        <v/>
      </c>
      <c r="L47" s="207">
        <f>L21-K21</f>
        <v/>
      </c>
      <c r="M47" s="207">
        <f>M21-L21</f>
        <v/>
      </c>
      <c r="N47" s="207">
        <f>N21-M21</f>
        <v/>
      </c>
      <c r="O47" s="207">
        <f>O21-N21</f>
        <v/>
      </c>
      <c r="P47" s="207">
        <f>P21-O21</f>
        <v/>
      </c>
      <c r="Q47" s="207">
        <f>Q21-P21</f>
        <v/>
      </c>
      <c r="R47" s="207">
        <f>R21-Q21</f>
        <v/>
      </c>
      <c r="S47" s="207">
        <f>S21-R21</f>
        <v/>
      </c>
      <c r="T47" s="207">
        <f>T21-S21</f>
        <v/>
      </c>
      <c r="U47" s="207">
        <f>U21-T21</f>
        <v/>
      </c>
      <c r="V47" s="207">
        <f>V21-U21</f>
        <v/>
      </c>
      <c r="W47" s="207">
        <f>W21-V21</f>
        <v/>
      </c>
      <c r="X47" s="207">
        <f>X21-W21</f>
        <v/>
      </c>
      <c r="Y47" s="207">
        <f>Y21-X21</f>
        <v/>
      </c>
      <c r="Z47" s="207">
        <f>Z21-Y21</f>
        <v/>
      </c>
      <c r="AA47" s="207">
        <f>AA21-Z21</f>
        <v/>
      </c>
      <c r="AB47" s="207">
        <f>AB21-AA21</f>
        <v/>
      </c>
      <c r="AC47" s="207">
        <f>AC21-AB21</f>
        <v/>
      </c>
      <c r="AD47" s="207">
        <f>AD21-AC21</f>
        <v/>
      </c>
      <c r="AE47" s="207">
        <f>AE21-AD21</f>
        <v/>
      </c>
      <c r="AF47" s="207">
        <f>AF21-AE21</f>
        <v/>
      </c>
      <c r="AG47" s="207">
        <f>AG21-AF21</f>
        <v/>
      </c>
    </row>
    <row r="48" ht="15" customHeight="1" s="106">
      <c r="A48" t="n">
        <v>19</v>
      </c>
      <c r="B48">
        <f>Scenarios!$C$21</f>
        <v/>
      </c>
      <c r="C48" t="inlineStr">
        <is>
          <t>APF</t>
        </is>
      </c>
      <c r="D48" s="207">
        <f>D22</f>
        <v/>
      </c>
      <c r="E48" s="207">
        <f>E22-D22</f>
        <v/>
      </c>
      <c r="F48" s="207">
        <f>F22-E22</f>
        <v/>
      </c>
      <c r="G48" s="207">
        <f>G22-F22</f>
        <v/>
      </c>
      <c r="H48" s="207">
        <f>H22-G22</f>
        <v/>
      </c>
      <c r="I48" s="207">
        <f>I22-H22</f>
        <v/>
      </c>
      <c r="J48" s="207">
        <f>J22-I22</f>
        <v/>
      </c>
      <c r="K48" s="207">
        <f>K22-J22</f>
        <v/>
      </c>
      <c r="L48" s="207">
        <f>L22-K22</f>
        <v/>
      </c>
      <c r="M48" s="207">
        <f>M22-L22</f>
        <v/>
      </c>
      <c r="N48" s="207">
        <f>N22-M22</f>
        <v/>
      </c>
      <c r="O48" s="207">
        <f>O22-N22</f>
        <v/>
      </c>
      <c r="P48" s="207">
        <f>P22-O22</f>
        <v/>
      </c>
      <c r="Q48" s="207">
        <f>Q22-P22</f>
        <v/>
      </c>
      <c r="R48" s="207">
        <f>R22-Q22</f>
        <v/>
      </c>
      <c r="S48" s="207">
        <f>S22-R22</f>
        <v/>
      </c>
      <c r="T48" s="207">
        <f>T22-S22</f>
        <v/>
      </c>
      <c r="U48" s="207">
        <f>U22-T22</f>
        <v/>
      </c>
      <c r="V48" s="207">
        <f>V22-U22</f>
        <v/>
      </c>
      <c r="W48" s="207">
        <f>W22-V22</f>
        <v/>
      </c>
      <c r="X48" s="207">
        <f>X22-W22</f>
        <v/>
      </c>
      <c r="Y48" s="207">
        <f>Y22-X22</f>
        <v/>
      </c>
      <c r="Z48" s="207">
        <f>Z22-Y22</f>
        <v/>
      </c>
      <c r="AA48" s="207">
        <f>AA22-Z22</f>
        <v/>
      </c>
      <c r="AB48" s="207">
        <f>AB22-AA22</f>
        <v/>
      </c>
      <c r="AC48" s="207">
        <f>AC22-AB22</f>
        <v/>
      </c>
      <c r="AD48" s="207">
        <f>AD22-AC22</f>
        <v/>
      </c>
      <c r="AE48" s="207">
        <f>AE22-AD22</f>
        <v/>
      </c>
      <c r="AF48" s="207">
        <f>AF22-AE22</f>
        <v/>
      </c>
      <c r="AG48" s="207">
        <f>AG22-AF22</f>
        <v/>
      </c>
    </row>
    <row r="49" ht="15" customHeight="1" s="106">
      <c r="A49" t="n">
        <v>20</v>
      </c>
      <c r="B49">
        <f>Scenarios!$C$22</f>
        <v/>
      </c>
      <c r="C49" t="inlineStr">
        <is>
          <t>APF</t>
        </is>
      </c>
      <c r="D49" s="207">
        <f>D23</f>
        <v/>
      </c>
      <c r="E49" s="207">
        <f>E23-D23</f>
        <v/>
      </c>
      <c r="F49" s="207">
        <f>F23-E23</f>
        <v/>
      </c>
      <c r="G49" s="207">
        <f>G23-F23</f>
        <v/>
      </c>
      <c r="H49" s="207">
        <f>H23-G23</f>
        <v/>
      </c>
      <c r="I49" s="207">
        <f>I23-H23</f>
        <v/>
      </c>
      <c r="J49" s="207">
        <f>J23-I23</f>
        <v/>
      </c>
      <c r="K49" s="207">
        <f>K23-J23</f>
        <v/>
      </c>
      <c r="L49" s="207">
        <f>L23-K23</f>
        <v/>
      </c>
      <c r="M49" s="207">
        <f>M23-L23</f>
        <v/>
      </c>
      <c r="N49" s="207">
        <f>N23-M23</f>
        <v/>
      </c>
      <c r="O49" s="207">
        <f>O23-N23</f>
        <v/>
      </c>
      <c r="P49" s="207">
        <f>P23-O23</f>
        <v/>
      </c>
      <c r="Q49" s="207">
        <f>Q23-P23</f>
        <v/>
      </c>
      <c r="R49" s="207">
        <f>R23-Q23</f>
        <v/>
      </c>
      <c r="S49" s="207">
        <f>S23-R23</f>
        <v/>
      </c>
      <c r="T49" s="207">
        <f>T23-S23</f>
        <v/>
      </c>
      <c r="U49" s="207">
        <f>U23-T23</f>
        <v/>
      </c>
      <c r="V49" s="207">
        <f>V23-U23</f>
        <v/>
      </c>
      <c r="W49" s="207">
        <f>W23-V23</f>
        <v/>
      </c>
      <c r="X49" s="207">
        <f>X23-W23</f>
        <v/>
      </c>
      <c r="Y49" s="207">
        <f>Y23-X23</f>
        <v/>
      </c>
      <c r="Z49" s="207">
        <f>Z23-Y23</f>
        <v/>
      </c>
      <c r="AA49" s="207">
        <f>AA23-Z23</f>
        <v/>
      </c>
      <c r="AB49" s="207">
        <f>AB23-AA23</f>
        <v/>
      </c>
      <c r="AC49" s="207">
        <f>AC23-AB23</f>
        <v/>
      </c>
      <c r="AD49" s="207">
        <f>AD23-AC23</f>
        <v/>
      </c>
      <c r="AE49" s="207">
        <f>AE23-AD23</f>
        <v/>
      </c>
      <c r="AF49" s="207">
        <f>AF23-AE23</f>
        <v/>
      </c>
      <c r="AG49" s="207">
        <f>AG23-AF23</f>
        <v/>
      </c>
    </row>
    <row r="50" ht="15" customHeight="1" s="106">
      <c r="A50" t="n">
        <v>21</v>
      </c>
      <c r="B50">
        <f>Scenarios!$C$23</f>
        <v/>
      </c>
      <c r="C50" t="inlineStr">
        <is>
          <t>APF</t>
        </is>
      </c>
      <c r="D50" s="207">
        <f>D24</f>
        <v/>
      </c>
      <c r="E50" s="207">
        <f>E24-D24</f>
        <v/>
      </c>
      <c r="F50" s="207">
        <f>F24-E24</f>
        <v/>
      </c>
      <c r="G50" s="207">
        <f>G24-F24</f>
        <v/>
      </c>
      <c r="H50" s="207">
        <f>H24-G24</f>
        <v/>
      </c>
      <c r="I50" s="207">
        <f>I24-H24</f>
        <v/>
      </c>
      <c r="J50" s="207">
        <f>J24-I24</f>
        <v/>
      </c>
      <c r="K50" s="207">
        <f>K24-J24</f>
        <v/>
      </c>
      <c r="L50" s="207">
        <f>L24-K24</f>
        <v/>
      </c>
      <c r="M50" s="207">
        <f>M24-L24</f>
        <v/>
      </c>
      <c r="N50" s="207">
        <f>N24-M24</f>
        <v/>
      </c>
      <c r="O50" s="207">
        <f>O24-N24</f>
        <v/>
      </c>
      <c r="P50" s="207">
        <f>P24-O24</f>
        <v/>
      </c>
      <c r="Q50" s="207">
        <f>Q24-P24</f>
        <v/>
      </c>
      <c r="R50" s="207">
        <f>R24-Q24</f>
        <v/>
      </c>
      <c r="S50" s="207">
        <f>S24-R24</f>
        <v/>
      </c>
      <c r="T50" s="207">
        <f>T24-S24</f>
        <v/>
      </c>
      <c r="U50" s="207">
        <f>U24-T24</f>
        <v/>
      </c>
      <c r="V50" s="207">
        <f>V24-U24</f>
        <v/>
      </c>
      <c r="W50" s="207">
        <f>W24-V24</f>
        <v/>
      </c>
      <c r="X50" s="207">
        <f>X24-W24</f>
        <v/>
      </c>
      <c r="Y50" s="207">
        <f>Y24-X24</f>
        <v/>
      </c>
      <c r="Z50" s="207">
        <f>Z24-Y24</f>
        <v/>
      </c>
      <c r="AA50" s="207">
        <f>AA24-Z24</f>
        <v/>
      </c>
      <c r="AB50" s="207">
        <f>AB24-AA24</f>
        <v/>
      </c>
      <c r="AC50" s="207">
        <f>AC24-AB24</f>
        <v/>
      </c>
      <c r="AD50" s="207">
        <f>AD24-AC24</f>
        <v/>
      </c>
      <c r="AE50" s="207">
        <f>AE24-AD24</f>
        <v/>
      </c>
      <c r="AF50" s="207">
        <f>AF24-AE24</f>
        <v/>
      </c>
      <c r="AG50" s="207">
        <f>AG24-AF24</f>
        <v/>
      </c>
    </row>
    <row r="51" ht="15" customHeight="1" s="106">
      <c r="A51" t="n">
        <v>22</v>
      </c>
      <c r="B51">
        <f>Scenarios!$C$24</f>
        <v/>
      </c>
      <c r="C51" t="inlineStr">
        <is>
          <t>APF</t>
        </is>
      </c>
      <c r="D51" s="207">
        <f>D25</f>
        <v/>
      </c>
      <c r="E51" s="207">
        <f>E25-D25</f>
        <v/>
      </c>
      <c r="F51" s="207">
        <f>F25-E25</f>
        <v/>
      </c>
      <c r="G51" s="207">
        <f>G25-F25</f>
        <v/>
      </c>
      <c r="H51" s="207">
        <f>H25-G25</f>
        <v/>
      </c>
      <c r="I51" s="207">
        <f>I25-H25</f>
        <v/>
      </c>
      <c r="J51" s="207">
        <f>J25-I25</f>
        <v/>
      </c>
      <c r="K51" s="207">
        <f>K25-J25</f>
        <v/>
      </c>
      <c r="L51" s="207">
        <f>L25-K25</f>
        <v/>
      </c>
      <c r="M51" s="207">
        <f>M25-L25</f>
        <v/>
      </c>
      <c r="N51" s="207">
        <f>N25-M25</f>
        <v/>
      </c>
      <c r="O51" s="207">
        <f>O25-N25</f>
        <v/>
      </c>
      <c r="P51" s="207">
        <f>P25-O25</f>
        <v/>
      </c>
      <c r="Q51" s="207">
        <f>Q25-P25</f>
        <v/>
      </c>
      <c r="R51" s="207">
        <f>R25-Q25</f>
        <v/>
      </c>
      <c r="S51" s="207">
        <f>S25-R25</f>
        <v/>
      </c>
      <c r="T51" s="207">
        <f>T25-S25</f>
        <v/>
      </c>
      <c r="U51" s="207">
        <f>U25-T25</f>
        <v/>
      </c>
      <c r="V51" s="207">
        <f>V25-U25</f>
        <v/>
      </c>
      <c r="W51" s="207">
        <f>W25-V25</f>
        <v/>
      </c>
      <c r="X51" s="207">
        <f>X25-W25</f>
        <v/>
      </c>
      <c r="Y51" s="207">
        <f>Y25-X25</f>
        <v/>
      </c>
      <c r="Z51" s="207">
        <f>Z25-Y25</f>
        <v/>
      </c>
      <c r="AA51" s="207">
        <f>AA25-Z25</f>
        <v/>
      </c>
      <c r="AB51" s="207">
        <f>AB25-AA25</f>
        <v/>
      </c>
      <c r="AC51" s="207">
        <f>AC25-AB25</f>
        <v/>
      </c>
      <c r="AD51" s="207">
        <f>AD25-AC25</f>
        <v/>
      </c>
      <c r="AE51" s="207">
        <f>AE25-AD25</f>
        <v/>
      </c>
      <c r="AF51" s="207">
        <f>AF25-AE25</f>
        <v/>
      </c>
      <c r="AG51" s="207">
        <f>AG25-AF25</f>
        <v/>
      </c>
    </row>
    <row r="52" ht="15" customHeight="1" s="106">
      <c r="A52" t="n">
        <v>23</v>
      </c>
      <c r="B52">
        <f>Scenarios!$C$25</f>
        <v/>
      </c>
      <c r="C52" t="inlineStr">
        <is>
          <t>APF</t>
        </is>
      </c>
      <c r="D52" s="207">
        <f>D26</f>
        <v/>
      </c>
      <c r="E52" s="207">
        <f>E26-D26</f>
        <v/>
      </c>
      <c r="F52" s="207">
        <f>F26-E26</f>
        <v/>
      </c>
      <c r="G52" s="207">
        <f>G26-F26</f>
        <v/>
      </c>
      <c r="H52" s="207">
        <f>H26-G26</f>
        <v/>
      </c>
      <c r="I52" s="207">
        <f>I26-H26</f>
        <v/>
      </c>
      <c r="J52" s="207">
        <f>J26-I26</f>
        <v/>
      </c>
      <c r="K52" s="207">
        <f>K26-J26</f>
        <v/>
      </c>
      <c r="L52" s="207">
        <f>L26-K26</f>
        <v/>
      </c>
      <c r="M52" s="207">
        <f>M26-L26</f>
        <v/>
      </c>
      <c r="N52" s="207">
        <f>N26-M26</f>
        <v/>
      </c>
      <c r="O52" s="207">
        <f>O26-N26</f>
        <v/>
      </c>
      <c r="P52" s="207">
        <f>P26-O26</f>
        <v/>
      </c>
      <c r="Q52" s="207">
        <f>Q26-P26</f>
        <v/>
      </c>
      <c r="R52" s="207">
        <f>R26-Q26</f>
        <v/>
      </c>
      <c r="S52" s="207">
        <f>S26-R26</f>
        <v/>
      </c>
      <c r="T52" s="207">
        <f>T26-S26</f>
        <v/>
      </c>
      <c r="U52" s="207">
        <f>U26-T26</f>
        <v/>
      </c>
      <c r="V52" s="207">
        <f>V26-U26</f>
        <v/>
      </c>
      <c r="W52" s="207">
        <f>W26-V26</f>
        <v/>
      </c>
      <c r="X52" s="207">
        <f>X26-W26</f>
        <v/>
      </c>
      <c r="Y52" s="207">
        <f>Y26-X26</f>
        <v/>
      </c>
      <c r="Z52" s="207">
        <f>Z26-Y26</f>
        <v/>
      </c>
      <c r="AA52" s="207">
        <f>AA26-Z26</f>
        <v/>
      </c>
      <c r="AB52" s="207">
        <f>AB26-AA26</f>
        <v/>
      </c>
      <c r="AC52" s="207">
        <f>AC26-AB26</f>
        <v/>
      </c>
      <c r="AD52" s="207">
        <f>AD26-AC26</f>
        <v/>
      </c>
      <c r="AE52" s="207">
        <f>AE26-AD26</f>
        <v/>
      </c>
      <c r="AF52" s="207">
        <f>AF26-AE26</f>
        <v/>
      </c>
      <c r="AG52" s="207">
        <f>AG26-AF26</f>
        <v/>
      </c>
    </row>
    <row r="53" ht="15" customHeight="1" s="106">
      <c r="A53" t="n">
        <v>24</v>
      </c>
      <c r="B53">
        <f>Scenarios!$C$26</f>
        <v/>
      </c>
      <c r="C53" t="inlineStr">
        <is>
          <t>APF</t>
        </is>
      </c>
      <c r="D53" s="207">
        <f>D27</f>
        <v/>
      </c>
      <c r="E53" s="207">
        <f>E27-D27</f>
        <v/>
      </c>
      <c r="F53" s="207">
        <f>F27-E27</f>
        <v/>
      </c>
      <c r="G53" s="207">
        <f>G27-F27</f>
        <v/>
      </c>
      <c r="H53" s="207">
        <f>H27-G27</f>
        <v/>
      </c>
      <c r="I53" s="207">
        <f>I27-H27</f>
        <v/>
      </c>
      <c r="J53" s="207">
        <f>J27-I27</f>
        <v/>
      </c>
      <c r="K53" s="207">
        <f>K27-J27</f>
        <v/>
      </c>
      <c r="L53" s="207">
        <f>L27-K27</f>
        <v/>
      </c>
      <c r="M53" s="207">
        <f>M27-L27</f>
        <v/>
      </c>
      <c r="N53" s="207">
        <f>N27-M27</f>
        <v/>
      </c>
      <c r="O53" s="207">
        <f>O27-N27</f>
        <v/>
      </c>
      <c r="P53" s="207">
        <f>P27-O27</f>
        <v/>
      </c>
      <c r="Q53" s="207">
        <f>Q27-P27</f>
        <v/>
      </c>
      <c r="R53" s="207">
        <f>R27-Q27</f>
        <v/>
      </c>
      <c r="S53" s="207">
        <f>S27-R27</f>
        <v/>
      </c>
      <c r="T53" s="207">
        <f>T27-S27</f>
        <v/>
      </c>
      <c r="U53" s="207">
        <f>U27-T27</f>
        <v/>
      </c>
      <c r="V53" s="207">
        <f>V27-U27</f>
        <v/>
      </c>
      <c r="W53" s="207">
        <f>W27-V27</f>
        <v/>
      </c>
      <c r="X53" s="207">
        <f>X27-W27</f>
        <v/>
      </c>
      <c r="Y53" s="207">
        <f>Y27-X27</f>
        <v/>
      </c>
      <c r="Z53" s="207">
        <f>Z27-Y27</f>
        <v/>
      </c>
      <c r="AA53" s="207">
        <f>AA27-Z27</f>
        <v/>
      </c>
      <c r="AB53" s="207">
        <f>AB27-AA27</f>
        <v/>
      </c>
      <c r="AC53" s="207">
        <f>AC27-AB27</f>
        <v/>
      </c>
      <c r="AD53" s="207">
        <f>AD27-AC27</f>
        <v/>
      </c>
      <c r="AE53" s="207">
        <f>AE27-AD27</f>
        <v/>
      </c>
      <c r="AF53" s="207">
        <f>AF27-AE27</f>
        <v/>
      </c>
      <c r="AG53" s="207">
        <f>AG27-AF27</f>
        <v/>
      </c>
    </row>
    <row r="54" ht="15" customHeight="1" s="106">
      <c r="A54" t="n">
        <v>25</v>
      </c>
      <c r="B54">
        <f>Scenarios!$C$27</f>
        <v/>
      </c>
      <c r="C54" t="inlineStr">
        <is>
          <t>APF</t>
        </is>
      </c>
      <c r="D54" s="207">
        <f>D28</f>
        <v/>
      </c>
      <c r="E54" s="207">
        <f>E28-D28</f>
        <v/>
      </c>
      <c r="F54" s="207">
        <f>F28-E28</f>
        <v/>
      </c>
      <c r="G54" s="207">
        <f>G28-F28</f>
        <v/>
      </c>
      <c r="H54" s="207">
        <f>H28-G28</f>
        <v/>
      </c>
      <c r="I54" s="207">
        <f>I28-H28</f>
        <v/>
      </c>
      <c r="J54" s="207">
        <f>J28-I28</f>
        <v/>
      </c>
      <c r="K54" s="207">
        <f>K28-J28</f>
        <v/>
      </c>
      <c r="L54" s="207">
        <f>L28-K28</f>
        <v/>
      </c>
      <c r="M54" s="207">
        <f>M28-L28</f>
        <v/>
      </c>
      <c r="N54" s="207">
        <f>N28-M28</f>
        <v/>
      </c>
      <c r="O54" s="207">
        <f>O28-N28</f>
        <v/>
      </c>
      <c r="P54" s="207">
        <f>P28-O28</f>
        <v/>
      </c>
      <c r="Q54" s="207">
        <f>Q28-P28</f>
        <v/>
      </c>
      <c r="R54" s="207">
        <f>R28-Q28</f>
        <v/>
      </c>
      <c r="S54" s="207">
        <f>S28-R28</f>
        <v/>
      </c>
      <c r="T54" s="207">
        <f>T28-S28</f>
        <v/>
      </c>
      <c r="U54" s="207">
        <f>U28-T28</f>
        <v/>
      </c>
      <c r="V54" s="207">
        <f>V28-U28</f>
        <v/>
      </c>
      <c r="W54" s="207">
        <f>W28-V28</f>
        <v/>
      </c>
      <c r="X54" s="207">
        <f>X28-W28</f>
        <v/>
      </c>
      <c r="Y54" s="207">
        <f>Y28-X28</f>
        <v/>
      </c>
      <c r="Z54" s="207">
        <f>Z28-Y28</f>
        <v/>
      </c>
      <c r="AA54" s="207">
        <f>AA28-Z28</f>
        <v/>
      </c>
      <c r="AB54" s="207">
        <f>AB28-AA28</f>
        <v/>
      </c>
      <c r="AC54" s="207">
        <f>AC28-AB28</f>
        <v/>
      </c>
      <c r="AD54" s="207">
        <f>AD28-AC28</f>
        <v/>
      </c>
      <c r="AE54" s="207">
        <f>AE28-AD28</f>
        <v/>
      </c>
      <c r="AF54" s="207">
        <f>AF28-AE28</f>
        <v/>
      </c>
      <c r="AG54" s="207">
        <f>AG28-AF28</f>
        <v/>
      </c>
    </row>
  </sheetData>
  <mergeCells count="3">
    <mergeCell ref="A2:AG2"/>
    <mergeCell ref="A29:AG29"/>
    <mergeCell ref="A1:AG1"/>
  </mergeCells>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D9D2E9"/>
    <outlinePr summaryBelow="1" summaryRight="1"/>
    <pageSetUpPr/>
  </sheetPr>
  <dimension ref="A1:D56"/>
  <sheetViews>
    <sheetView zoomScaleNormal="100" workbookViewId="0">
      <selection activeCell="A1" sqref="A1"/>
    </sheetView>
  </sheetViews>
  <sheetFormatPr baseColWidth="8" defaultColWidth="8.6640625" defaultRowHeight="13.2"/>
  <cols>
    <col width="5" customWidth="1" style="106" min="1" max="1"/>
    <col width="32" customWidth="1" style="106" min="2" max="2"/>
    <col width="60" customWidth="1" style="106" min="3" max="3"/>
    <col width="28" customWidth="1" style="106" min="4" max="4"/>
  </cols>
  <sheetData>
    <row r="1" ht="21.75" customHeight="1" s="106">
      <c r="A1" s="109" t="inlineStr">
        <is>
          <t>Model Notes</t>
        </is>
      </c>
    </row>
    <row r="2" ht="15" customHeight="1" s="106"/>
    <row r="3" ht="15" customHeight="1" s="106">
      <c r="A3" s="77" t="inlineStr">
        <is>
          <t>Topic</t>
        </is>
      </c>
      <c r="B3" s="77" t="inlineStr">
        <is>
          <t>Status</t>
        </is>
      </c>
      <c r="C3" s="77" t="inlineStr">
        <is>
          <t>Notes</t>
        </is>
      </c>
      <c r="D3" s="77" t="inlineStr">
        <is>
          <t>User action</t>
        </is>
      </c>
    </row>
    <row r="4" ht="20.25" customHeight="1" s="106">
      <c r="A4" s="38" t="inlineStr">
        <is>
          <t>Allocation split</t>
        </is>
      </c>
      <c r="B4" s="38" t="inlineStr">
        <is>
          <t>User-controlled</t>
        </is>
      </c>
      <c r="C4" s="38" t="inlineStr">
        <is>
          <t>The workbook does not state or imply a preferred City/ESD split. Outputs reflect the percentages entered on the Inputs Dashboard.</t>
        </is>
      </c>
      <c r="D4" s="38" t="inlineStr">
        <is>
          <t>Enter City and ESD percentages in B5 and B7.</t>
        </is>
      </c>
    </row>
    <row r="5" ht="30" customHeight="1" s="106">
      <c r="A5" s="38" t="inlineStr">
        <is>
          <t>Authorship</t>
        </is>
      </c>
      <c r="B5" s="38" t="inlineStr">
        <is>
          <t>Neutralized</t>
        </is>
      </c>
      <c r="C5" s="38" t="inlineStr">
        <is>
          <t>No personal author attribution is embedded in the workbook.</t>
        </is>
      </c>
      <c r="D5" s="38" t="inlineStr">
        <is>
          <t>None.</t>
        </is>
      </c>
    </row>
    <row r="6" ht="20.25" customHeight="1" s="106">
      <c r="A6" s="38" t="inlineStr">
        <is>
          <t>Infrastructure takeoff</t>
        </is>
      </c>
      <c r="B6" s="38" t="inlineStr">
        <is>
          <t>Informational unless included</t>
        </is>
      </c>
      <c r="C6" s="38" t="inlineStr">
        <is>
          <t>Physical quantities do not affect fiscal net unless Include in Fiscal Net? = Yes and funding responsibility is City or ESD.</t>
        </is>
      </c>
      <c r="D6" s="38" t="inlineStr">
        <is>
          <t>Use the controls on 11_Infrastructure_Takeoff.</t>
        </is>
      </c>
    </row>
    <row r="7" ht="30" customHeight="1" s="106">
      <c r="A7" s="38" t="inlineStr">
        <is>
          <t>QA checks</t>
        </is>
      </c>
      <c r="B7" s="38" t="inlineStr">
        <is>
          <t>Formula-driven</t>
        </is>
      </c>
      <c r="C7" s="38" t="inlineStr">
        <is>
          <t>Validation checks are intended to flag formula, split, cap, and output issues.</t>
        </is>
      </c>
      <c r="D7" s="38" t="inlineStr">
        <is>
          <t>Review 07_QA_Checks before relying on outputs.</t>
        </is>
      </c>
    </row>
    <row r="8" ht="20.25" customHeight="1" s="106">
      <c r="A8" s="38" t="inlineStr">
        <is>
          <t>Legal assumptions</t>
        </is>
      </c>
      <c r="B8" s="38" t="inlineStr">
        <is>
          <t>Require confirmation</t>
        </is>
      </c>
      <c r="C8" s="38" t="inlineStr">
        <is>
          <t>EDC retention, Comptroller administration, and allocation terms require legal and administrative review.</t>
        </is>
      </c>
      <c r="D8" s="38" t="inlineStr">
        <is>
          <t>Confirm with City Attorney / Comptroller as needed.</t>
        </is>
      </c>
    </row>
    <row r="9" ht="20.25" customHeight="1" s="106">
      <c r="A9" s="38" t="inlineStr">
        <is>
          <t>Source assumptions</t>
        </is>
      </c>
      <c r="B9" s="38" t="inlineStr">
        <is>
          <t>Planning-level</t>
        </is>
      </c>
      <c r="C9" s="38" t="inlineStr">
        <is>
          <t>Sales productivity, cost factors, online-use-tax inputs, and infrastructure triggers remain planning assumptions unless locally validated.</t>
        </is>
      </c>
      <c r="D9" s="38" t="inlineStr">
        <is>
          <t>Replace with local data when available.</t>
        </is>
      </c>
    </row>
    <row r="10" ht="20.25" customHeight="1" s="106">
      <c r="A10" s="38" t="inlineStr">
        <is>
          <t>User inputs</t>
        </is>
      </c>
      <c r="B10" s="38" t="inlineStr">
        <is>
          <t>Current values drive model</t>
        </is>
      </c>
      <c r="C10" s="38" t="inlineStr">
        <is>
          <t>The model is designed to recompute based on the current entries rather than a preferred scenario.</t>
        </is>
      </c>
      <c r="D10" s="38" t="inlineStr">
        <is>
          <t>Edit yellow/input cells and active project rows.</t>
        </is>
      </c>
    </row>
    <row r="11" ht="20.25" customHeight="1" s="106">
      <c r="A11" s="38" t="inlineStr">
        <is>
          <t>Model version</t>
        </is>
      </c>
      <c r="B11" s="38" t="inlineStr">
        <is>
          <t>v6 (2026-05-25)</t>
        </is>
      </c>
      <c r="C11" s="38" t="inlineStr">
        <is>
          <t>Version 6 is the current canonical model. It supersedes versions 1 through 5.9. The calculation engine, formulas, QA-check architecture, and FY25-ACFR-validated inputs are carried forward unchanged from v5.9; presentation framing is split-neutral (no preferred City/ESD split implied).</t>
        </is>
      </c>
      <c r="D11" s="38" t="inlineStr">
        <is>
          <t>Use this version. All prior versions are archived.</t>
        </is>
      </c>
    </row>
    <row r="12" ht="20.25" customHeight="1" s="106">
      <c r="A12" s="38" t="inlineStr">
        <is>
          <t>v6 audit corrections</t>
        </is>
      </c>
      <c r="B12" s="38" t="inlineStr">
        <is>
          <t>Applied 2026-05-25</t>
        </is>
      </c>
      <c r="C12" s="38" t="inlineStr">
        <is>
          <t>Independent audit corrected the ESD #2 tax-rate citation years in the Source Log and Inputs Dashboard (rate value $0.09310 unchanged; now correctly labeled the 2026 tax-year rate). Break-even row relabeled 'Pool multiple required for City break-even' for clarity. No computed values changed.</t>
        </is>
      </c>
      <c r="D12" s="38" t="inlineStr">
        <is>
          <t>None.</t>
        </is>
      </c>
    </row>
    <row r="13" ht="20.25" customHeight="1" s="106">
      <c r="A13" s="38" t="n"/>
      <c r="B13" s="38" t="n"/>
      <c r="C13" s="38" t="n"/>
      <c r="D13" s="38" t="n"/>
    </row>
    <row r="14" ht="20.25" customHeight="1" s="106">
      <c r="A14" s="38" t="n"/>
      <c r="B14" s="38" t="n"/>
      <c r="C14" s="38" t="n"/>
      <c r="D14" s="38" t="n"/>
    </row>
    <row r="15" ht="20.25" customHeight="1" s="106">
      <c r="A15" s="38" t="n"/>
      <c r="B15" s="38" t="n"/>
      <c r="C15" s="38" t="n"/>
      <c r="D15" s="38" t="n"/>
    </row>
    <row r="16" ht="20.25" customHeight="1" s="106">
      <c r="A16" s="38" t="n"/>
      <c r="B16" s="38" t="n"/>
      <c r="C16" s="38" t="n"/>
      <c r="D16" s="38" t="n"/>
    </row>
    <row r="17" ht="20.25" customHeight="1" s="106">
      <c r="A17" s="38" t="n"/>
      <c r="B17" s="38" t="n"/>
      <c r="C17" s="38" t="n"/>
      <c r="D17" s="38" t="n"/>
    </row>
    <row r="18" ht="30" customHeight="1" s="106">
      <c r="A18" s="38" t="n"/>
      <c r="B18" s="38" t="n"/>
      <c r="C18" s="38" t="n"/>
      <c r="D18" s="38" t="n"/>
    </row>
    <row r="19" ht="30" customHeight="1" s="106">
      <c r="A19" s="38" t="n"/>
      <c r="B19" s="38" t="n"/>
      <c r="C19" s="38" t="n"/>
      <c r="D19" s="38" t="n"/>
    </row>
    <row r="20" ht="20.25" customHeight="1" s="106">
      <c r="A20" s="38" t="n"/>
      <c r="B20" s="38" t="n"/>
      <c r="C20" s="38" t="n"/>
      <c r="D20" s="38" t="n"/>
    </row>
    <row r="21" ht="20.25" customHeight="1" s="106">
      <c r="A21" s="38" t="n"/>
      <c r="B21" s="38" t="n"/>
      <c r="C21" s="38" t="n"/>
      <c r="D21" s="38" t="n"/>
    </row>
    <row r="22" ht="20.25" customHeight="1" s="106">
      <c r="A22" s="38" t="n"/>
      <c r="B22" s="38" t="n"/>
      <c r="C22" s="38" t="n"/>
      <c r="D22" s="38" t="n"/>
    </row>
    <row r="23" ht="20.25" customHeight="1" s="106">
      <c r="A23" s="38" t="n"/>
      <c r="B23" s="38" t="n"/>
      <c r="C23" s="38" t="n"/>
      <c r="D23" s="38" t="n"/>
    </row>
    <row r="25" ht="15" customHeight="1" s="106">
      <c r="A25" s="102" t="n"/>
      <c r="B25" s="102" t="n"/>
      <c r="C25" s="46" t="n"/>
      <c r="D25" s="23" t="n"/>
    </row>
    <row r="26" ht="30" customHeight="1" s="106">
      <c r="A26" s="38" t="n"/>
      <c r="B26" s="38" t="n"/>
      <c r="C26" s="38" t="n"/>
      <c r="D26" s="38" t="n"/>
    </row>
    <row r="27" ht="20.25" customHeight="1" s="106">
      <c r="A27" s="38" t="n"/>
      <c r="B27" s="38" t="n"/>
      <c r="C27" s="38" t="n"/>
      <c r="D27" s="38" t="n"/>
    </row>
    <row r="28" ht="20.25" customHeight="1" s="106">
      <c r="A28" s="38" t="n"/>
      <c r="B28" s="38" t="n"/>
      <c r="C28" s="38" t="n"/>
      <c r="D28" s="38" t="n"/>
    </row>
    <row r="29" ht="20.25" customHeight="1" s="106">
      <c r="A29" s="38" t="n"/>
      <c r="B29" s="38" t="n"/>
      <c r="C29" s="38" t="n"/>
      <c r="D29" s="38" t="n"/>
    </row>
    <row r="30" ht="20.25" customHeight="1" s="106">
      <c r="A30" s="38" t="n"/>
      <c r="B30" s="38" t="n"/>
      <c r="C30" s="38" t="n"/>
      <c r="D30" s="38" t="n"/>
    </row>
    <row r="31" ht="30" customHeight="1" s="106">
      <c r="A31" s="38" t="n"/>
      <c r="B31" s="38" t="n"/>
      <c r="C31" s="38" t="n"/>
      <c r="D31" s="38" t="n"/>
    </row>
    <row r="32" ht="20.25" customHeight="1" s="106">
      <c r="A32" s="38" t="n"/>
      <c r="B32" s="38" t="n"/>
      <c r="C32" s="38" t="n"/>
      <c r="D32" s="38" t="n"/>
    </row>
    <row r="33" ht="20.25" customHeight="1" s="106">
      <c r="A33" s="38" t="n"/>
      <c r="B33" s="38" t="n"/>
      <c r="C33" s="38" t="n"/>
      <c r="D33" s="38" t="n"/>
    </row>
    <row r="34" ht="30" customHeight="1" s="106">
      <c r="A34" s="38" t="n"/>
      <c r="B34" s="38" t="n"/>
      <c r="C34" s="38" t="n"/>
      <c r="D34" s="38" t="n"/>
    </row>
    <row r="35" ht="20.25" customHeight="1" s="106">
      <c r="A35" s="38" t="n"/>
      <c r="B35" s="38" t="n"/>
      <c r="C35" s="38" t="n"/>
      <c r="D35" s="38" t="n"/>
    </row>
    <row r="36" ht="14.25" customHeight="1" s="106">
      <c r="A36" s="38" t="n"/>
      <c r="B36" s="38" t="n"/>
      <c r="C36" s="38" t="n"/>
      <c r="D36" s="38" t="n"/>
    </row>
    <row r="44" ht="57" customHeight="1" s="106">
      <c r="A44" s="12" t="n"/>
      <c r="B44" s="12" t="n"/>
      <c r="C44" s="12" t="n"/>
      <c r="D44" s="12" t="n"/>
    </row>
    <row r="45" ht="28.5" customHeight="1" s="106">
      <c r="A45" s="12" t="n"/>
      <c r="B45" s="12" t="n"/>
      <c r="C45" s="12" t="n"/>
      <c r="D45" s="12" t="n"/>
    </row>
    <row r="46" ht="28.5" customHeight="1" s="106">
      <c r="A46" s="12" t="n"/>
      <c r="B46" s="12" t="n"/>
      <c r="C46" s="12" t="n"/>
      <c r="D46" s="12" t="n"/>
    </row>
    <row r="47" ht="28.5" customHeight="1" s="106">
      <c r="A47" s="12" t="n"/>
      <c r="B47" s="12" t="n"/>
      <c r="C47" s="12" t="n"/>
      <c r="D47" s="12" t="n"/>
    </row>
    <row r="48" ht="28.5" customHeight="1" s="106">
      <c r="A48" s="12" t="n"/>
      <c r="B48" s="12" t="n"/>
      <c r="C48" s="12" t="n"/>
      <c r="D48" s="12" t="n"/>
    </row>
    <row r="56" ht="14.25" customHeight="1" s="106">
      <c r="A56" s="17" t="n"/>
      <c r="B56" s="17" t="n"/>
      <c r="C56" s="17" t="n"/>
      <c r="D56" s="17" t="n"/>
    </row>
  </sheetData>
  <mergeCells count="1">
    <mergeCell ref="A1:D1"/>
  </mergeCells>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EA9999"/>
    <outlinePr summaryBelow="1" summaryRight="1"/>
    <pageSetUpPr/>
  </sheetPr>
  <dimension ref="A1:D20"/>
  <sheetViews>
    <sheetView zoomScaleNormal="100" workbookViewId="0">
      <selection activeCell="A1" sqref="A1"/>
    </sheetView>
  </sheetViews>
  <sheetFormatPr baseColWidth="8" defaultColWidth="8.6640625" defaultRowHeight="13.2"/>
  <cols>
    <col width="5" customWidth="1" style="106" min="1" max="1"/>
    <col width="36" customWidth="1" style="106" min="2" max="3"/>
    <col width="48" customWidth="1" style="106" min="4" max="4"/>
  </cols>
  <sheetData>
    <row r="1" ht="21.75" customHeight="1" s="106">
      <c r="A1" s="109" t="inlineStr">
        <is>
          <t>Acceptance Tests</t>
        </is>
      </c>
    </row>
    <row r="3" ht="15" customHeight="1" s="106">
      <c r="A3" s="77" t="inlineStr">
        <is>
          <t>#</t>
        </is>
      </c>
      <c r="B3" s="77" t="inlineStr">
        <is>
          <t>Test</t>
        </is>
      </c>
      <c r="C3" s="77" t="inlineStr">
        <is>
          <t>Expected</t>
        </is>
      </c>
      <c r="D3" s="77" t="inlineStr">
        <is>
          <t>Result / Verification Method</t>
        </is>
      </c>
    </row>
    <row r="4" ht="60" customHeight="1" s="106">
      <c r="A4" s="23" t="n">
        <v>1</v>
      </c>
      <c r="B4" s="38" t="inlineStr">
        <is>
          <t>100 SFR lots, Year 1 start, 5-year buildout, 100% capture</t>
        </is>
      </c>
      <c r="C4" s="38" t="inlineStr">
        <is>
          <t>Annual delivery = 20 units per year for Years 1-5; cumulative reaches 100 by Year 5.</t>
        </is>
      </c>
      <c r="D4" s="38" t="inlineStr">
        <is>
          <t>Inspect 04_Annual_Calculations residential-unit rows.</t>
        </is>
      </c>
    </row>
    <row r="5" ht="60" customHeight="1" s="106">
      <c r="A5" s="23" t="n">
        <v>2</v>
      </c>
      <c r="B5" s="38" t="inlineStr">
        <is>
          <t>Change City share by 10 percentage points and offset ESD share by the same amount</t>
        </is>
      </c>
      <c r="C5" s="38" t="inlineStr">
        <is>
          <t>City NET changes by 10% of pool; ESD NET changes by the opposite amount; Combined NET stays unchanged unless EDC retention changes.</t>
        </is>
      </c>
      <c r="D5" s="38" t="inlineStr">
        <is>
          <t>Edit Inputs Dashboard B5/B7 and compare Multi-Horizon results.</t>
        </is>
      </c>
    </row>
    <row r="6" ht="60" customHeight="1" s="106">
      <c r="A6" s="23" t="n">
        <v>3</v>
      </c>
      <c r="B6" s="38" t="inlineStr">
        <is>
          <t>EDC retention increased from 0% to 33.3%</t>
        </is>
      </c>
      <c r="C6" s="38" t="inlineStr">
        <is>
          <t>City General Fund sales-tax share decreases by City gross share × 33.3%; ESD share does not change.</t>
        </is>
      </c>
      <c r="D6" s="38" t="inlineStr">
        <is>
          <t>Edit Inputs Dashboard B6 and compare sales-tax share rows.</t>
        </is>
      </c>
    </row>
    <row r="7" ht="60" customHeight="1" s="106">
      <c r="A7" s="23" t="n">
        <v>4</v>
      </c>
      <c r="B7" s="38" t="inlineStr">
        <is>
          <t>20-acre retail project with taxable-sales override</t>
        </is>
      </c>
      <c r="C7" s="38" t="inlineStr">
        <is>
          <t>Sales-tax pool equals total taxable sales × pool rate.</t>
        </is>
      </c>
      <c r="D7" s="38" t="inlineStr">
        <is>
          <t>Activate retail sample row, enter override, inspect Multi-Horizon pool rows.</t>
        </is>
      </c>
    </row>
    <row r="8" ht="60" customHeight="1" s="106">
      <c r="A8" s="23" t="n">
        <v>5</v>
      </c>
      <c r="B8" s="38" t="inlineStr">
        <is>
          <t>200,000-square-foot manufacturing project</t>
        </is>
      </c>
      <c r="C8" s="38" t="inlineStr">
        <is>
          <t>Final acres equal 200,000 / 43,560 unless manually overridden; building square feet remains 200,000 × capture rate.</t>
        </is>
      </c>
      <c r="D8" s="38" t="inlineStr">
        <is>
          <t>Activate manufacturing sample row and inspect Scenario Builder final acres/building sqft.</t>
        </is>
      </c>
    </row>
    <row r="9" ht="60" customHeight="1" s="106">
      <c r="A9" s="23" t="n">
        <v>6</v>
      </c>
      <c r="B9" s="38" t="inlineStr">
        <is>
          <t>Capital trigger uses captured residents</t>
        </is>
      </c>
      <c r="C9" s="38" t="inlineStr">
        <is>
          <t>Fire-station trigger is based on captured residents, not raw units.</t>
        </is>
      </c>
      <c r="D9" s="38" t="inlineStr">
        <is>
          <t>Inspect 05_Capital_Triggers formulas and Annual Calculations resident rows.</t>
        </is>
      </c>
    </row>
    <row r="10" ht="60" customHeight="1" s="106">
      <c r="A10" s="23" t="n">
        <v>7</v>
      </c>
      <c r="B10" s="38" t="inlineStr">
        <is>
          <t>Pool rate above 2.0%</t>
        </is>
      </c>
      <c r="C10" s="38" t="inlineStr">
        <is>
          <t>Legal-cap QA fails.</t>
        </is>
      </c>
      <c r="D10" s="38" t="inlineStr">
        <is>
          <t>Set Inputs Dashboard B20 above 0.02 and review QA.</t>
        </is>
      </c>
    </row>
    <row r="11" ht="60" customHeight="1" s="106">
      <c r="A11" s="23" t="n">
        <v>8</v>
      </c>
      <c r="B11" s="38" t="inlineStr">
        <is>
          <t>Pool rate at 1.5%</t>
        </is>
      </c>
      <c r="C11" s="38" t="inlineStr">
        <is>
          <t>Normal pool-rate QA passes.</t>
        </is>
      </c>
      <c r="D11" s="38" t="inlineStr">
        <is>
          <t>Set Inputs Dashboard B20 to 0.015 and review QA.</t>
        </is>
      </c>
    </row>
    <row r="12" ht="60" customHeight="1" s="106">
      <c r="A12" s="23" t="n">
        <v>9</v>
      </c>
      <c r="B12" s="38" t="inlineStr">
        <is>
          <t>All horizon outputs numeric</t>
        </is>
      </c>
      <c r="C12" s="38" t="inlineStr">
        <is>
          <t>City NET, ESD NET, Combined NET, pool, property tax, impact fees, and break-even cells are numeric.</t>
        </is>
      </c>
      <c r="D12" s="38" t="inlineStr">
        <is>
          <t>Review 03_Multi_Horizon_Results and 07_QA_Checks.</t>
        </is>
      </c>
    </row>
    <row r="13" ht="60" customHeight="1" s="106">
      <c r="A13" s="23" t="n">
        <v>10</v>
      </c>
      <c r="B13" s="38" t="inlineStr">
        <is>
          <t>No formula errors on active sheets</t>
        </is>
      </c>
      <c r="C13" s="38" t="inlineStr">
        <is>
          <t>No formula-error tokens in active outputs.</t>
        </is>
      </c>
      <c r="D13" s="38" t="inlineStr">
        <is>
          <t>Review QA error scans.</t>
        </is>
      </c>
    </row>
    <row r="14" ht="60" customHeight="1" s="106">
      <c r="A14" s="23" t="n">
        <v>11</v>
      </c>
      <c r="B14" s="38" t="inlineStr">
        <is>
          <t>Online-use-tax toggle off</t>
        </is>
      </c>
      <c r="C14" s="38" t="inlineStr">
        <is>
          <t>Resident online taxable sales row equals zero.</t>
        </is>
      </c>
      <c r="D14" s="38" t="inlineStr">
        <is>
          <t>Set Inputs Dashboard B38 to 0.</t>
        </is>
      </c>
    </row>
    <row r="15" ht="60" customHeight="1" s="106">
      <c r="A15" s="23" t="n">
        <v>12</v>
      </c>
      <c r="B15" s="38" t="inlineStr">
        <is>
          <t>Online-use-tax toggle on</t>
        </is>
      </c>
      <c r="C15" s="38" t="inlineStr">
        <is>
          <t>Resident online taxable sales row is positive for occupied residential projects, and QA reconciliation still passes.</t>
        </is>
      </c>
      <c r="D15" s="38" t="inlineStr">
        <is>
          <t>Set Inputs Dashboard B38 to 1.</t>
        </is>
      </c>
    </row>
    <row r="16" ht="60" customHeight="1" s="106">
      <c r="A16" s="23" t="n">
        <v>13</v>
      </c>
      <c r="B16" s="38" t="inlineStr">
        <is>
          <t>Infrastructure custom City cost included</t>
        </is>
      </c>
      <c r="C16" s="38" t="inlineStr">
        <is>
          <t>City NET and Combined NET decrease by included City cost; ESD NET unchanged.</t>
        </is>
      </c>
      <c r="D16" s="38" t="inlineStr">
        <is>
          <t>Use custom row on 11_Infrastructure_Takeoff with Include in Fiscal Net? = Yes and Funding = City.</t>
        </is>
      </c>
    </row>
    <row r="17" ht="60" customHeight="1" s="106">
      <c r="A17" s="23" t="n">
        <v>14</v>
      </c>
      <c r="B17" s="38" t="inlineStr">
        <is>
          <t>Manual quantity adjustment cannot create negative final quantity</t>
        </is>
      </c>
      <c r="C17" s="38" t="inlineStr">
        <is>
          <t>Final quantity floors at zero.</t>
        </is>
      </c>
      <c r="D17" s="38" t="inlineStr">
        <is>
          <t>Enter negative manual adjustment greater than auto quantity.</t>
        </is>
      </c>
    </row>
    <row r="18" ht="60" customHeight="1" s="106">
      <c r="A18" s="103" t="n">
        <v>15</v>
      </c>
      <c r="B18" s="104" t="inlineStr">
        <is>
          <t>Custom line items available</t>
        </is>
      </c>
      <c r="C18" s="104" t="inlineStr">
        <is>
          <t>Custom rows exist and are excluded from fiscal net unless user includes them.</t>
        </is>
      </c>
      <c r="D18" s="104" t="inlineStr">
        <is>
          <t>Review custom rows on 11_Infrastructure_Takeoff.</t>
        </is>
      </c>
    </row>
    <row r="19" ht="14.25" customHeight="1" s="106">
      <c r="A19" s="99" t="n"/>
      <c r="B19" s="99" t="n"/>
      <c r="C19" s="99" t="n"/>
      <c r="D19" s="99" t="n"/>
    </row>
    <row r="20" ht="14.25" customHeight="1" s="106">
      <c r="A20" s="99" t="n"/>
      <c r="B20" s="99" t="n"/>
      <c r="C20" s="99" t="n"/>
      <c r="D20" s="99" t="n"/>
    </row>
  </sheetData>
  <mergeCells count="1">
    <mergeCell ref="A1:D1"/>
  </mergeCells>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27"/>
  <sheetViews>
    <sheetView topLeftCell="A4" zoomScaleNormal="100" workbookViewId="0">
      <selection activeCell="E21" sqref="E21"/>
    </sheetView>
  </sheetViews>
  <sheetFormatPr baseColWidth="8" defaultColWidth="8.6640625" defaultRowHeight="14.4"/>
  <cols>
    <col width="29.6640625" customWidth="1" style="30" min="1" max="1"/>
    <col width="12.109375" customWidth="1" style="30" min="2" max="2"/>
    <col width="27.77734375" customWidth="1" style="30" min="3" max="3"/>
    <col width="31.44140625" customWidth="1" style="30" min="4" max="4"/>
    <col width="10.5546875" customWidth="1" style="30" min="5" max="5"/>
    <col width="81.6640625" customWidth="1" style="30" min="6" max="6"/>
    <col width="19.44140625" customWidth="1" style="30" min="7" max="7"/>
    <col width="29" customWidth="1" style="30" min="8" max="8"/>
  </cols>
  <sheetData>
    <row r="1" ht="14.25" customHeight="1" s="106">
      <c r="A1" s="93" t="inlineStr">
        <is>
          <t>Assumption / factor</t>
        </is>
      </c>
      <c r="B1" s="93" t="inlineStr">
        <is>
          <t>Typical value</t>
        </is>
      </c>
      <c r="C1" s="93" t="inlineStr">
        <is>
          <t>Unit</t>
        </is>
      </c>
      <c r="D1" s="93" t="inlineStr">
        <is>
          <t>Used for</t>
        </is>
      </c>
      <c r="E1" s="93" t="inlineStr">
        <is>
          <t>Confidence</t>
        </is>
      </c>
      <c r="F1" s="93" t="inlineStr">
        <is>
          <t>Source / note</t>
        </is>
      </c>
      <c r="G1" s="93" t="inlineStr">
        <is>
          <t>Validation required</t>
        </is>
      </c>
      <c r="H1" s="93" t="inlineStr">
        <is>
          <t>Override location</t>
        </is>
      </c>
    </row>
    <row r="2" ht="28.5" customHeight="1" s="106">
      <c r="A2" s="105" t="inlineStr">
        <is>
          <t>Water distribution main density</t>
        </is>
      </c>
      <c r="B2" s="105" t="n">
        <v>400</v>
      </c>
      <c r="C2" s="105" t="inlineStr">
        <is>
          <t>LF per developed acre</t>
        </is>
      </c>
      <c r="D2" s="105" t="inlineStr">
        <is>
          <t>8-inch distribution main</t>
        </is>
      </c>
      <c r="E2" s="105" t="inlineStr">
        <is>
          <t>Low</t>
        </is>
      </c>
      <c r="F2" s="105" t="inlineStr">
        <is>
          <t>Planning benchmark; should be replaced by engineer takeoff for actual plats.</t>
        </is>
      </c>
      <c r="G2" s="105" t="inlineStr">
        <is>
          <t>Engineer/Public Works</t>
        </is>
      </c>
      <c r="H2" s="105" t="inlineStr">
        <is>
          <t>Manual override on Takeoff sheet</t>
        </is>
      </c>
    </row>
    <row r="3" ht="28.5" customHeight="1" s="106">
      <c r="A3" s="105" t="inlineStr">
        <is>
          <t>Water transmission main density</t>
        </is>
      </c>
      <c r="B3" s="105" t="n">
        <v>60</v>
      </c>
      <c r="C3" s="105" t="inlineStr">
        <is>
          <t>LF per developed acre</t>
        </is>
      </c>
      <c r="D3" s="105" t="inlineStr">
        <is>
          <t>12-inch transmission main allowance</t>
        </is>
      </c>
      <c r="E3" s="105" t="inlineStr">
        <is>
          <t>Low</t>
        </is>
      </c>
      <c r="F3" s="105" t="inlineStr">
        <is>
          <t>Planning allowance for trunk/looping needs; actual need depends on utility master plan.</t>
        </is>
      </c>
      <c r="G3" s="105" t="inlineStr">
        <is>
          <t>Engineer/Public Works</t>
        </is>
      </c>
      <c r="H3" s="105" t="inlineStr">
        <is>
          <t>Manual override on Takeoff sheet</t>
        </is>
      </c>
    </row>
    <row r="4" ht="28.5" customHeight="1" s="106">
      <c r="A4" s="105" t="inlineStr">
        <is>
          <t>Gravity sewer main density</t>
        </is>
      </c>
      <c r="B4" s="105" t="n">
        <v>300</v>
      </c>
      <c r="C4" s="105" t="inlineStr">
        <is>
          <t>LF per developed acre</t>
        </is>
      </c>
      <c r="D4" s="105" t="inlineStr">
        <is>
          <t>10-inch gravity sewer main</t>
        </is>
      </c>
      <c r="E4" s="105" t="inlineStr">
        <is>
          <t>Low</t>
        </is>
      </c>
      <c r="F4" s="105" t="inlineStr">
        <is>
          <t>Planning benchmark; actual need depends on basin/topography.</t>
        </is>
      </c>
      <c r="G4" s="105" t="inlineStr">
        <is>
          <t>Engineer/Public Works</t>
        </is>
      </c>
      <c r="H4" s="105" t="inlineStr">
        <is>
          <t>Manual override on Takeoff sheet</t>
        </is>
      </c>
    </row>
    <row r="5" ht="28.5" customHeight="1" s="106">
      <c r="A5" s="105" t="inlineStr">
        <is>
          <t>Force main density</t>
        </is>
      </c>
      <c r="B5" s="105" t="n">
        <v>40</v>
      </c>
      <c r="C5" s="105" t="inlineStr">
        <is>
          <t>LF per developed acre</t>
        </is>
      </c>
      <c r="D5" s="105" t="inlineStr">
        <is>
          <t>Force main allowance</t>
        </is>
      </c>
      <c r="E5" s="105" t="inlineStr">
        <is>
          <t>Low</t>
        </is>
      </c>
      <c r="F5" s="105" t="inlineStr">
        <is>
          <t>Planning allowance; actual need depends on lift-station/sewer-basin design.</t>
        </is>
      </c>
      <c r="G5" s="105" t="inlineStr">
        <is>
          <t>Engineer/Public Works</t>
        </is>
      </c>
      <c r="H5" s="105" t="inlineStr">
        <is>
          <t>Manual override on Takeoff sheet</t>
        </is>
      </c>
    </row>
    <row r="6" ht="28.5" customHeight="1" s="106">
      <c r="A6" s="105" t="inlineStr">
        <is>
          <t>Local street centerline density</t>
        </is>
      </c>
      <c r="B6" s="105" t="n">
        <v>120</v>
      </c>
      <c r="C6" s="105" t="inlineStr">
        <is>
          <t>centerline LF per developed acre</t>
        </is>
      </c>
      <c r="D6" s="105" t="inlineStr">
        <is>
          <t>Local street lane-mile takeoff</t>
        </is>
      </c>
      <c r="E6" s="105" t="inlineStr">
        <is>
          <t>Low</t>
        </is>
      </c>
      <c r="F6" s="105" t="inlineStr">
        <is>
          <t>Planning benchmark for subdivision/internal streets; site-specific plat should override.</t>
        </is>
      </c>
      <c r="G6" s="105" t="inlineStr">
        <is>
          <t>Public Works/Engineer</t>
        </is>
      </c>
      <c r="H6" s="105" t="inlineStr">
        <is>
          <t>Manual override on Takeoff sheet</t>
        </is>
      </c>
    </row>
    <row r="7" ht="28.5" customHeight="1" s="106">
      <c r="A7" s="105" t="inlineStr">
        <is>
          <t>Collector street lane-mile density</t>
        </is>
      </c>
      <c r="B7" s="105" t="n">
        <v>0.02</v>
      </c>
      <c r="C7" s="105" t="inlineStr">
        <is>
          <t>lane-mile per developed acre</t>
        </is>
      </c>
      <c r="D7" s="105" t="inlineStr">
        <is>
          <t>Collector street allowance</t>
        </is>
      </c>
      <c r="E7" s="105" t="inlineStr">
        <is>
          <t>Low</t>
        </is>
      </c>
      <c r="F7" s="105" t="inlineStr">
        <is>
          <t>Planning benchmark; actual collector need depends on thoroughfare plan.</t>
        </is>
      </c>
      <c r="G7" s="105" t="inlineStr">
        <is>
          <t>Public Works/Engineer</t>
        </is>
      </c>
      <c r="H7" s="105" t="inlineStr">
        <is>
          <t>Manual override on Takeoff sheet</t>
        </is>
      </c>
    </row>
    <row r="8" ht="28.5" customHeight="1" s="106">
      <c r="A8" s="105" t="inlineStr">
        <is>
          <t>Local street lane count</t>
        </is>
      </c>
      <c r="B8" s="105" t="n">
        <v>2</v>
      </c>
      <c r="C8" s="105" t="inlineStr">
        <is>
          <t>lanes</t>
        </is>
      </c>
      <c r="D8" s="105" t="inlineStr">
        <is>
          <t>Centerline-to-lane-mile calculation</t>
        </is>
      </c>
      <c r="E8" s="105" t="inlineStr">
        <is>
          <t>Medium</t>
        </is>
      </c>
      <c r="F8" s="105" t="inlineStr">
        <is>
          <t>Standard 2-lane local street assumption for planning.</t>
        </is>
      </c>
      <c r="G8" s="105" t="inlineStr">
        <is>
          <t>Public Works</t>
        </is>
      </c>
      <c r="H8" s="105" t="inlineStr">
        <is>
          <t>Takeoff formula</t>
        </is>
      </c>
    </row>
    <row r="9" ht="28.5" customHeight="1" s="106">
      <c r="A9" s="105" t="inlineStr">
        <is>
          <t>Fire hydrant spacing</t>
        </is>
      </c>
      <c r="B9" s="105" t="n">
        <v>500</v>
      </c>
      <c r="C9" s="105" t="inlineStr">
        <is>
          <t>LF between hydrants</t>
        </is>
      </c>
      <c r="D9" s="105" t="inlineStr">
        <is>
          <t>Hydrant count</t>
        </is>
      </c>
      <c r="E9" s="105" t="inlineStr">
        <is>
          <t>Medium</t>
        </is>
      </c>
      <c r="F9" s="105" t="inlineStr">
        <is>
          <t>Planning benchmark; verify against fire code and utility standards.</t>
        </is>
      </c>
      <c r="G9" s="105" t="inlineStr">
        <is>
          <t>Fire/Public Works</t>
        </is>
      </c>
      <c r="H9" s="105" t="inlineStr">
        <is>
          <t>Manual override on Takeoff sheet</t>
        </is>
      </c>
    </row>
    <row r="10" ht="28.5" customHeight="1" s="106">
      <c r="A10" s="105" t="inlineStr">
        <is>
          <t>Park acreage target</t>
        </is>
      </c>
      <c r="B10" s="105" t="n">
        <v>5</v>
      </c>
      <c r="C10" s="105" t="inlineStr">
        <is>
          <t>acres per 1,000 residents</t>
        </is>
      </c>
      <c r="D10" s="105" t="inlineStr">
        <is>
          <t>Park acreage takeoff</t>
        </is>
      </c>
      <c r="E10" s="105" t="inlineStr">
        <is>
          <t>Low</t>
        </is>
      </c>
      <c r="F10" s="105" t="inlineStr">
        <is>
          <t>Local planning target; not an NRPA universal standard.</t>
        </is>
      </c>
      <c r="G10" s="105" t="inlineStr">
        <is>
          <t>Parks/Planning</t>
        </is>
      </c>
      <c r="H10" s="105" t="inlineStr">
        <is>
          <t>Manual override on Takeoff sheet</t>
        </is>
      </c>
    </row>
    <row r="11" ht="28.5" customHeight="1" s="106">
      <c r="A11" s="105" t="inlineStr">
        <is>
          <t>Police staffing planning benchmark</t>
        </is>
      </c>
      <c r="B11" s="105" t="n">
        <v>2</v>
      </c>
      <c r="C11" s="105" t="inlineStr">
        <is>
          <t>FTE per 1,000 residents</t>
        </is>
      </c>
      <c r="D11" s="105" t="inlineStr">
        <is>
          <t>Police FTE planning need</t>
        </is>
      </c>
      <c r="E11" s="105" t="inlineStr">
        <is>
          <t>Low</t>
        </is>
      </c>
      <c r="F11" s="105" t="inlineStr">
        <is>
          <t>Planning benchmark only; workload-based analysis should validate.</t>
        </is>
      </c>
      <c r="G11" s="105" t="inlineStr">
        <is>
          <t>Police/HR</t>
        </is>
      </c>
      <c r="H11" s="105" t="inlineStr">
        <is>
          <t>Manual override on Takeoff sheet</t>
        </is>
      </c>
    </row>
    <row r="12" ht="28.5" customHeight="1" s="106">
      <c r="A12" s="105" t="inlineStr">
        <is>
          <t>Police vehicle benchmark</t>
        </is>
      </c>
      <c r="B12" s="105" t="n">
        <v>1</v>
      </c>
      <c r="C12" s="105" t="inlineStr">
        <is>
          <t>vehicle per 2 police FTE</t>
        </is>
      </c>
      <c r="D12" s="105" t="inlineStr">
        <is>
          <t>Police vehicle need</t>
        </is>
      </c>
      <c r="E12" s="105" t="inlineStr">
        <is>
          <t>Low</t>
        </is>
      </c>
      <c r="F12" s="105" t="inlineStr">
        <is>
          <t>Planning benchmark for take-home/patrol/equipment needs.</t>
        </is>
      </c>
      <c r="G12" s="105" t="inlineStr">
        <is>
          <t>Police/Fleet</t>
        </is>
      </c>
      <c r="H12" s="105" t="inlineStr">
        <is>
          <t>Manual override on Takeoff sheet</t>
        </is>
      </c>
    </row>
    <row r="13" ht="28.5" customHeight="1" s="106">
      <c r="A13" s="105" t="inlineStr">
        <is>
          <t>Water demand per LUE</t>
        </is>
      </c>
      <c r="B13" s="105" t="n">
        <v>300</v>
      </c>
      <c r="C13" s="105" t="inlineStr">
        <is>
          <t>gpd per LUE</t>
        </is>
      </c>
      <c r="D13" s="105" t="inlineStr">
        <is>
          <t>Water demand / well trigger</t>
        </is>
      </c>
      <c r="E13" s="105" t="inlineStr">
        <is>
          <t>Low</t>
        </is>
      </c>
      <c r="F13" s="105" t="inlineStr">
        <is>
          <t>Planning benchmark; replace with utility master plan demand factors.</t>
        </is>
      </c>
      <c r="G13" s="105" t="inlineStr">
        <is>
          <t>Engineer/Public Works</t>
        </is>
      </c>
      <c r="H13" s="105" t="inlineStr">
        <is>
          <t>Takeoff formula</t>
        </is>
      </c>
    </row>
    <row r="14" ht="28.5" customHeight="1" s="106">
      <c r="A14" s="105" t="inlineStr">
        <is>
          <t>Sewer demand per LUE</t>
        </is>
      </c>
      <c r="B14" s="105" t="n">
        <v>250</v>
      </c>
      <c r="C14" s="105" t="inlineStr">
        <is>
          <t>gpd per LUE</t>
        </is>
      </c>
      <c r="D14" s="105" t="inlineStr">
        <is>
          <t>Sewer demand / WWTP trigger</t>
        </is>
      </c>
      <c r="E14" s="105" t="inlineStr">
        <is>
          <t>Low</t>
        </is>
      </c>
      <c r="F14" s="105" t="inlineStr">
        <is>
          <t>Planning benchmark; replace with utility master plan demand factors.</t>
        </is>
      </c>
      <c r="G14" s="105" t="inlineStr">
        <is>
          <t>Engineer/Public Works</t>
        </is>
      </c>
      <c r="H14" s="105" t="inlineStr">
        <is>
          <t>Takeoff formula</t>
        </is>
      </c>
    </row>
    <row r="15" ht="28.5" customHeight="1" s="106">
      <c r="A15" s="105" t="inlineStr">
        <is>
          <t>Lift-station threshold</t>
        </is>
      </c>
      <c r="B15" s="105" t="n">
        <v>0.25</v>
      </c>
      <c r="C15" s="105" t="inlineStr">
        <is>
          <t>MGD</t>
        </is>
      </c>
      <c r="D15" s="105" t="inlineStr">
        <is>
          <t>Lift station trigger</t>
        </is>
      </c>
      <c r="E15" s="105" t="inlineStr">
        <is>
          <t>Low</t>
        </is>
      </c>
      <c r="F15" s="105" t="inlineStr">
        <is>
          <t>Planning trigger only; actual lift-station need depends on topography/basin.</t>
        </is>
      </c>
      <c r="G15" s="105" t="inlineStr">
        <is>
          <t>Engineer/Public Works</t>
        </is>
      </c>
      <c r="H15" s="105" t="inlineStr">
        <is>
          <t>Manual override on Takeoff sheet</t>
        </is>
      </c>
    </row>
    <row r="16" ht="28.5" customHeight="1" s="106">
      <c r="A16" s="105" t="inlineStr">
        <is>
          <t>Water well threshold</t>
        </is>
      </c>
      <c r="B16" s="105" t="n">
        <v>0.5</v>
      </c>
      <c r="C16" s="105" t="inlineStr">
        <is>
          <t>MGD demand</t>
        </is>
      </c>
      <c r="D16" s="105" t="inlineStr">
        <is>
          <t>Water well trigger</t>
        </is>
      </c>
      <c r="E16" s="105" t="inlineStr">
        <is>
          <t>Low</t>
        </is>
      </c>
      <c r="F16" s="105" t="inlineStr">
        <is>
          <t>Planning trigger only; verify with water master plan and TCEQ capacity.</t>
        </is>
      </c>
      <c r="G16" s="105" t="inlineStr">
        <is>
          <t>Engineer/Public Works</t>
        </is>
      </c>
      <c r="H16" s="105" t="inlineStr">
        <is>
          <t>Manual override on Takeoff sheet</t>
        </is>
      </c>
    </row>
    <row r="17" ht="28.5" customHeight="1" s="106">
      <c r="A17" s="105" t="inlineStr">
        <is>
          <t>Public works vehicle threshold</t>
        </is>
      </c>
      <c r="B17" s="105" t="n">
        <v>500</v>
      </c>
      <c r="C17" s="105" t="inlineStr">
        <is>
          <t>developed acres</t>
        </is>
      </c>
      <c r="D17" s="105" t="inlineStr">
        <is>
          <t>Public works vehicle trigger</t>
        </is>
      </c>
      <c r="E17" s="105" t="inlineStr">
        <is>
          <t>Low</t>
        </is>
      </c>
      <c r="F17" s="105" t="inlineStr">
        <is>
          <t>Planning trigger; fleet plan should validate.</t>
        </is>
      </c>
      <c r="G17" s="105" t="inlineStr">
        <is>
          <t>Public Works/Fleet</t>
        </is>
      </c>
      <c r="H17" s="105" t="inlineStr">
        <is>
          <t>Manual override on Takeoff sheet</t>
        </is>
      </c>
    </row>
    <row r="18" ht="28.5" customHeight="1" s="106">
      <c r="A18" s="105" t="inlineStr">
        <is>
          <t>ESD fire-station threshold</t>
        </is>
      </c>
      <c r="B18" s="105" t="n">
        <v>3500</v>
      </c>
      <c r="C18" s="105" t="inlineStr">
        <is>
          <t>captured residents</t>
        </is>
      </c>
      <c r="D18" s="105" t="inlineStr">
        <is>
          <t>ESD station trigger</t>
        </is>
      </c>
      <c r="E18" s="105" t="inlineStr">
        <is>
          <t>Low</t>
        </is>
      </c>
      <c r="F18" s="105" t="inlineStr">
        <is>
          <t>Planning trigger; validate with ESD call volume, ISO, response time, station plan.</t>
        </is>
      </c>
      <c r="G18" s="105" t="inlineStr">
        <is>
          <t>ESD #2</t>
        </is>
      </c>
      <c r="H18" s="105" t="inlineStr">
        <is>
          <t>Manual override on Takeoff sheet</t>
        </is>
      </c>
    </row>
    <row r="19" ht="28.5" customHeight="1" s="106">
      <c r="A19" s="105" t="inlineStr">
        <is>
          <t>ESD pumper threshold</t>
        </is>
      </c>
      <c r="B19" s="105" t="n">
        <v>7000</v>
      </c>
      <c r="C19" s="105" t="inlineStr">
        <is>
          <t>captured residents</t>
        </is>
      </c>
      <c r="D19" s="105" t="inlineStr">
        <is>
          <t>Engine/pumper trigger</t>
        </is>
      </c>
      <c r="E19" s="105" t="inlineStr">
        <is>
          <t>Low</t>
        </is>
      </c>
      <c r="F19" s="105" t="inlineStr">
        <is>
          <t>Planning trigger; validate against ESD apparatus plan.</t>
        </is>
      </c>
      <c r="G19" s="105" t="inlineStr">
        <is>
          <t>ESD #2</t>
        </is>
      </c>
      <c r="H19" s="105" t="inlineStr">
        <is>
          <t>Manual override on Takeoff sheet</t>
        </is>
      </c>
    </row>
    <row r="20" ht="28.5" customHeight="1" s="106">
      <c r="A20" s="105" t="inlineStr">
        <is>
          <t>ESD ladder/quint threshold</t>
        </is>
      </c>
      <c r="B20" s="105" t="n">
        <v>14000</v>
      </c>
      <c r="C20" s="105" t="inlineStr">
        <is>
          <t>captured residents</t>
        </is>
      </c>
      <c r="D20" s="105" t="inlineStr">
        <is>
          <t>Ladder/quint trigger</t>
        </is>
      </c>
      <c r="E20" s="105" t="inlineStr">
        <is>
          <t>Low</t>
        </is>
      </c>
      <c r="F20" s="105" t="inlineStr">
        <is>
          <t>Planning trigger; industrial/high-risk development may justify manual override.</t>
        </is>
      </c>
      <c r="G20" s="105" t="inlineStr">
        <is>
          <t>ESD #2</t>
        </is>
      </c>
      <c r="H20" s="105" t="inlineStr">
        <is>
          <t>Manual override on Takeoff sheet</t>
        </is>
      </c>
    </row>
    <row r="21" ht="28.5" customHeight="1" s="106">
      <c r="A21" s="105" t="inlineStr">
        <is>
          <t>ESD brush-truck threshold</t>
        </is>
      </c>
      <c r="B21" s="105" t="n">
        <v>1500</v>
      </c>
      <c r="C21" s="105" t="inlineStr">
        <is>
          <t>captured acres</t>
        </is>
      </c>
      <c r="D21" s="105" t="inlineStr">
        <is>
          <t>Brush truck trigger</t>
        </is>
      </c>
      <c r="E21" s="105" t="inlineStr">
        <is>
          <t>Low</t>
        </is>
      </c>
      <c r="F21" s="105" t="inlineStr">
        <is>
          <t>Planning trigger; depends on vegetation/wildland exposure.</t>
        </is>
      </c>
      <c r="G21" s="105" t="inlineStr">
        <is>
          <t>ESD #2</t>
        </is>
      </c>
      <c r="H21" s="105" t="inlineStr">
        <is>
          <t>Manual override on Takeoff sheet</t>
        </is>
      </c>
    </row>
    <row r="22" ht="28.5" customHeight="1" s="106">
      <c r="A22" s="105" t="inlineStr">
        <is>
          <t>Firefighter staffing benchmark</t>
        </is>
      </c>
      <c r="B22" s="105" t="n">
        <v>1</v>
      </c>
      <c r="C22" s="105" t="inlineStr">
        <is>
          <t>FTE per 1,000 residents</t>
        </is>
      </c>
      <c r="D22" s="105" t="inlineStr">
        <is>
          <t>Firefighter/EMT planning need</t>
        </is>
      </c>
      <c r="E22" s="105" t="inlineStr">
        <is>
          <t>Low</t>
        </is>
      </c>
      <c r="F22" s="105" t="inlineStr">
        <is>
          <t>Fire/rescue and EMS-assist benchmark only; Austin County EMS ambulance transport is separate.</t>
        </is>
      </c>
      <c r="G22" s="105" t="inlineStr">
        <is>
          <t>ESD #2</t>
        </is>
      </c>
      <c r="H22" s="105" t="inlineStr">
        <is>
          <t>Manual override on Takeoff sheet</t>
        </is>
      </c>
    </row>
    <row r="23" ht="28.5" customHeight="1" s="106">
      <c r="A23" s="105" t="inlineStr">
        <is>
          <t>Fire officer ratio</t>
        </is>
      </c>
      <c r="B23" s="105" t="n">
        <v>5</v>
      </c>
      <c r="C23" s="105" t="inlineStr">
        <is>
          <t>firefighter FTE per officer</t>
        </is>
      </c>
      <c r="D23" s="105" t="inlineStr">
        <is>
          <t>Fire officer planning need</t>
        </is>
      </c>
      <c r="E23" s="105" t="inlineStr">
        <is>
          <t>Low</t>
        </is>
      </c>
      <c r="F23" s="105" t="inlineStr">
        <is>
          <t>Planning benchmark: one fire officer per five firefighter FTE; validate with ESD staffing model.</t>
        </is>
      </c>
      <c r="G23" s="105" t="inlineStr">
        <is>
          <t>ESD #2</t>
        </is>
      </c>
      <c r="H23" s="105" t="inlineStr">
        <is>
          <t>Manual override on Takeoff sheet</t>
        </is>
      </c>
    </row>
    <row r="24" ht="28.5" customHeight="1" s="106">
      <c r="A24" s="105" t="inlineStr">
        <is>
          <t>Sidewalk / trail density</t>
        </is>
      </c>
      <c r="B24" s="105" t="n">
        <v>300</v>
      </c>
      <c r="C24" s="105" t="inlineStr">
        <is>
          <t>LF per developed acre</t>
        </is>
      </c>
      <c r="D24" s="105" t="inlineStr">
        <is>
          <t>Sidewalk/trail takeoff</t>
        </is>
      </c>
      <c r="E24" s="105" t="inlineStr">
        <is>
          <t>Low</t>
        </is>
      </c>
      <c r="F24" s="105" t="inlineStr">
        <is>
          <t>Planning benchmark; actual frontage/sidewalk requirements depend on plat and street standards.</t>
        </is>
      </c>
      <c r="G24" s="105" t="inlineStr">
        <is>
          <t>Planning/Public Works</t>
        </is>
      </c>
      <c r="H24" s="105" t="inlineStr">
        <is>
          <t>Manual override on Takeoff sheet</t>
        </is>
      </c>
    </row>
    <row r="25" ht="28.5" customHeight="1" s="106">
      <c r="A25" s="105" t="inlineStr">
        <is>
          <t>Drainage / detention share</t>
        </is>
      </c>
      <c r="B25" s="105" t="n">
        <v>0.1</v>
      </c>
      <c r="C25" s="105" t="inlineStr">
        <is>
          <t>acres per developed acre</t>
        </is>
      </c>
      <c r="D25" s="105" t="inlineStr">
        <is>
          <t>Drainage/detention acreage</t>
        </is>
      </c>
      <c r="E25" s="105" t="inlineStr">
        <is>
          <t>Low</t>
        </is>
      </c>
      <c r="F25" s="105" t="inlineStr">
        <is>
          <t>Planning benchmark; drainage design and floodplain constraints should override.</t>
        </is>
      </c>
      <c r="G25" s="105" t="inlineStr">
        <is>
          <t>Engineer/Public Works</t>
        </is>
      </c>
      <c r="H25" s="105" t="inlineStr">
        <is>
          <t>Manual override on Takeoff sheet</t>
        </is>
      </c>
    </row>
    <row r="26" ht="28.5" customHeight="1" s="106">
      <c r="A26" s="105" t="inlineStr">
        <is>
          <t>Traffic signal threshold</t>
        </is>
      </c>
      <c r="B26" s="105" t="n">
        <v>150000</v>
      </c>
      <c r="C26" s="105" t="inlineStr">
        <is>
          <t>commercial/industrial sqft</t>
        </is>
      </c>
      <c r="D26" s="105" t="inlineStr">
        <is>
          <t>Traffic signal trigger</t>
        </is>
      </c>
      <c r="E26" s="105" t="inlineStr">
        <is>
          <t>Low</t>
        </is>
      </c>
      <c r="F26" s="105" t="inlineStr">
        <is>
          <t>Planning trigger; traffic impact analysis should override.</t>
        </is>
      </c>
      <c r="G26" s="105" t="inlineStr">
        <is>
          <t>Engineer/Public Works</t>
        </is>
      </c>
      <c r="H26" s="105" t="inlineStr">
        <is>
          <t>Manual override on Takeoff sheet</t>
        </is>
      </c>
    </row>
    <row r="27" ht="28.5" customHeight="1" s="106">
      <c r="A27" s="105" t="inlineStr">
        <is>
          <t>SCBA / PPE per firefighter FTE</t>
        </is>
      </c>
      <c r="B27" s="105" t="n">
        <v>1</v>
      </c>
      <c r="C27" s="105" t="inlineStr">
        <is>
          <t>set per FTE</t>
        </is>
      </c>
      <c r="D27" s="105" t="inlineStr">
        <is>
          <t>ESD PPE/SCBA takeoff</t>
        </is>
      </c>
      <c r="E27" s="105" t="inlineStr">
        <is>
          <t>Low</t>
        </is>
      </c>
      <c r="F27" s="105" t="inlineStr">
        <is>
          <t>Planning benchmark; validate with ESD equipment plan.</t>
        </is>
      </c>
      <c r="G27" s="105" t="inlineStr">
        <is>
          <t>ESD #2</t>
        </is>
      </c>
      <c r="H27" s="105" t="inlineStr">
        <is>
          <t>Manual override on Takeoff sheet</t>
        </is>
      </c>
    </row>
  </sheetData>
  <pageMargins left="0.7" right="0.7" top="0.75" bottom="0.75" header="0.511811023622047" footer="0.511811023622047"/>
  <pageSetup orientation="portrait" paperSize="9" horizontalDpi="300" verticalDpi="300"/>
</worksheet>
</file>

<file path=xl/worksheets/sheet18.xml><?xml version="1.0" encoding="utf-8"?>
<worksheet xmlns="http://schemas.openxmlformats.org/spreadsheetml/2006/main">
  <sheetPr>
    <tabColor rgb="FFD9D2E9"/>
    <outlinePr summaryBelow="1" summaryRight="1"/>
    <pageSetUpPr/>
  </sheetPr>
  <dimension ref="A1:G19"/>
  <sheetViews>
    <sheetView zoomScaleNormal="100" workbookViewId="0">
      <pane ySplit="4" topLeftCell="A5" activePane="bottomLeft" state="frozen"/>
      <selection pane="bottomLeft" activeCell="A1" sqref="A1"/>
    </sheetView>
  </sheetViews>
  <sheetFormatPr baseColWidth="8" defaultColWidth="8.6640625" defaultRowHeight="13.2"/>
  <cols>
    <col width="30" customWidth="1" style="106" min="1" max="1"/>
    <col width="26" customWidth="1" style="106" min="2" max="2"/>
    <col width="30" customWidth="1" style="106" min="3" max="3"/>
    <col width="34" customWidth="1" style="106" min="4" max="4"/>
    <col width="16" customWidth="1" style="106" min="5" max="5"/>
    <col width="40" customWidth="1" style="106" min="6" max="6"/>
    <col width="20" customWidth="1" style="106" min="7" max="7"/>
  </cols>
  <sheetData>
    <row r="1" ht="17.25" customHeight="1" s="106">
      <c r="A1" s="107" t="inlineStr">
        <is>
          <t>Peer Benchmarks &amp; Methodology Validation (v6.1)</t>
        </is>
      </c>
    </row>
    <row r="2" ht="15" customHeight="1" s="106">
      <c r="A2" s="116" t="inlineStr">
        <is>
          <t>External FIA literature benchmarked against Sealy v6 coefficients &amp; structure. Sources: 04_Research/FIA_External_Studies_2026-05-28. Split-neutral; no preferred allocation implied.</t>
        </is>
      </c>
    </row>
    <row r="4" ht="15" customHeight="1" s="106">
      <c r="A4" s="1" t="inlineStr">
        <is>
          <t>Benchmark / element</t>
        </is>
      </c>
      <c r="B4" s="1" t="inlineStr">
        <is>
          <t>Sealy v6 value</t>
        </is>
      </c>
      <c r="C4" s="1" t="inlineStr">
        <is>
          <t>Peer value(s)</t>
        </is>
      </c>
      <c r="D4" s="1" t="inlineStr">
        <is>
          <t>Peer source</t>
        </is>
      </c>
      <c r="E4" s="1" t="inlineStr">
        <is>
          <t>Position / delta</t>
        </is>
      </c>
      <c r="F4" s="1" t="inlineStr">
        <is>
          <t>Effect if Sealy adopted peer value</t>
        </is>
      </c>
      <c r="G4" s="1" t="inlineStr">
        <is>
          <t>Confidence after</t>
        </is>
      </c>
    </row>
    <row r="5" ht="20.25" customHeight="1" s="106">
      <c r="A5" s="2" t="inlineStr">
        <is>
          <t>Analysis method</t>
        </is>
      </c>
      <c r="B5" s="2" t="inlineStr">
        <is>
          <t>Case-study / marginal-cost</t>
        </is>
      </c>
      <c r="C5" s="2" t="inlineStr">
        <is>
          <t>Same (TischlerBise standard)</t>
        </is>
      </c>
      <c r="D5" s="2" t="inlineStr">
        <is>
          <t>TischlerBise (1,000+ FIAs); ICMA; Lincoln 2006</t>
        </is>
      </c>
      <c r="E5" s="2" t="inlineStr">
        <is>
          <t>Aligned</t>
        </is>
      </c>
      <c r="F5" s="2" t="inlineStr">
        <is>
          <t>No change — v6 already uses the recommended method</t>
        </is>
      </c>
      <c r="G5" s="2" t="inlineStr">
        <is>
          <t>High (peer)</t>
        </is>
      </c>
    </row>
    <row r="6" ht="15" customHeight="1" s="106">
      <c r="A6" s="2" t="inlineStr">
        <is>
          <t>Model design</t>
        </is>
      </c>
      <c r="B6" s="2" t="inlineStr">
        <is>
          <t>Open, unprotected Excel</t>
        </is>
      </c>
      <c r="C6" s="2" t="inlineStr">
        <is>
          <t>Same</t>
        </is>
      </c>
      <c r="D6" s="2" t="inlineStr">
        <is>
          <t>TischlerBise FISCALS</t>
        </is>
      </c>
      <c r="E6" s="2" t="inlineStr">
        <is>
          <t>Aligned</t>
        </is>
      </c>
      <c r="F6" s="2" t="inlineStr">
        <is>
          <t>No change — matches leading-firm design</t>
        </is>
      </c>
      <c r="G6" s="2" t="inlineStr">
        <is>
          <t>High (peer)</t>
        </is>
      </c>
    </row>
    <row r="7" ht="20.25" customHeight="1" s="106">
      <c r="A7" s="2" t="inlineStr">
        <is>
          <t>Structure / horizon</t>
        </is>
      </c>
      <c r="B7" s="2" t="inlineStr">
        <is>
          <t>Scenarios + 30-yr cumulative + break-even</t>
        </is>
      </c>
      <c r="C7" s="2" t="inlineStr">
        <is>
          <t>10-40 yr cumulative, scenarios, break-even</t>
        </is>
      </c>
      <c r="D7" s="2" t="inlineStr">
        <is>
          <t>TischlerBise; Verdunity; Bryan RELLIS</t>
        </is>
      </c>
      <c r="E7" s="2" t="inlineStr">
        <is>
          <t>Within range</t>
        </is>
      </c>
      <c r="F7" s="2" t="inlineStr">
        <is>
          <t>No change</t>
        </is>
      </c>
      <c r="G7" s="2" t="inlineStr">
        <is>
          <t>High (peer)</t>
        </is>
      </c>
    </row>
    <row r="8" ht="20.25" customHeight="1" s="106">
      <c r="A8" s="2" t="inlineStr">
        <is>
          <t>Cost dimension</t>
        </is>
      </c>
      <c r="B8" s="2" t="inlineStr">
        <is>
          <t>Per-acre + per-capita + per-unit</t>
        </is>
      </c>
      <c r="C8" s="2" t="inlineStr">
        <is>
          <t>Per-acre/value-per-acre + density</t>
        </is>
      </c>
      <c r="D8" s="2" t="inlineStr">
        <is>
          <t>Lincoln (Heikkila-Davis, Dekel); Urban3; Verdunity</t>
        </is>
      </c>
      <c r="E8" s="2" t="inlineStr">
        <is>
          <t>Aligned/ahead</t>
        </is>
      </c>
      <c r="F8" s="2" t="inlineStr">
        <is>
          <t>No change — v6 captures spatial dimension</t>
        </is>
      </c>
      <c r="G8" s="2" t="inlineStr">
        <is>
          <t>High (peer)</t>
        </is>
      </c>
    </row>
    <row r="9" ht="15" customHeight="1" s="106">
      <c r="A9" s="2" t="inlineStr">
        <is>
          <t>SFR fiscal sign</t>
        </is>
      </c>
      <c r="B9" s="2" t="inlineStr">
        <is>
          <t>Net-negative</t>
        </is>
      </c>
      <c r="C9" s="2" t="inlineStr">
        <is>
          <t>Residential ratio &gt;1.0 ($1.18/$1)</t>
        </is>
      </c>
      <c r="D9" s="2" t="inlineStr">
        <is>
          <t>COCS (Chatham NC 2025; 150+ studies)</t>
        </is>
      </c>
      <c r="E9" s="2" t="inlineStr">
        <is>
          <t>Same direction</t>
        </is>
      </c>
      <c r="F9" s="2" t="inlineStr">
        <is>
          <t>No change — corroborated</t>
        </is>
      </c>
      <c r="G9" s="2" t="inlineStr">
        <is>
          <t>High (peer pattern)</t>
        </is>
      </c>
    </row>
    <row r="10" ht="15" customHeight="1" s="106">
      <c r="A10" s="2" t="inlineStr">
        <is>
          <t>Commercial fiscal sign</t>
        </is>
      </c>
      <c r="B10" s="2" t="inlineStr">
        <is>
          <t>Net-positive</t>
        </is>
      </c>
      <c r="C10" s="2" t="inlineStr">
        <is>
          <t>Commercial ratio &lt;1.0 ($0.29/$1)</t>
        </is>
      </c>
      <c r="D10" s="2" t="inlineStr">
        <is>
          <t>COCS; Castle Pines 2026</t>
        </is>
      </c>
      <c r="E10" s="2" t="inlineStr">
        <is>
          <t>Same direction</t>
        </is>
      </c>
      <c r="F10" s="2" t="inlineStr">
        <is>
          <t>No change — corroborated</t>
        </is>
      </c>
      <c r="G10" s="2" t="inlineStr">
        <is>
          <t>High (peer pattern)</t>
        </is>
      </c>
    </row>
    <row r="11" ht="20.25" customHeight="1" s="106">
      <c r="A11" s="2" t="inlineStr">
        <is>
          <t>Rev/acre commercial vs residential</t>
        </is>
      </c>
      <c r="B11" s="2" t="inlineStr">
        <is>
          <t>Big-box $8.0M sales/ac drives retail surplus</t>
        </is>
      </c>
      <c r="C11" s="2" t="inlineStr">
        <is>
          <t>~10x rev/acre (compact vs sprawl)</t>
        </is>
      </c>
      <c r="D11" s="2" t="inlineStr">
        <is>
          <t>SGA (advocacy) paired w/ Urban3 (Walmart $6.5K/ac vs downtown $634K/ac)</t>
        </is>
      </c>
      <c r="E11" s="2" t="inlineStr">
        <is>
          <t>Same direction</t>
        </is>
      </c>
      <c r="F11" s="2" t="inlineStr">
        <is>
          <t>No change — directionally consistent</t>
        </is>
      </c>
      <c r="G11" s="2" t="inlineStr">
        <is>
          <t>Medium (advocacy paired w/ neutral)</t>
        </is>
      </c>
    </row>
    <row r="12" ht="20.25" customHeight="1" s="106">
      <c r="A12" s="2" t="inlineStr">
        <is>
          <t>Upfront infrastructure</t>
        </is>
      </c>
      <c r="B12" s="2" t="inlineStr">
        <is>
          <t>Takeoff sheet (informational)</t>
        </is>
      </c>
      <c r="C12" s="2" t="inlineStr">
        <is>
          <t>~38% lower for compact (up to 50%)</t>
        </is>
      </c>
      <c r="D12" s="2" t="inlineStr">
        <is>
          <t>SGA (advocacy) paired w/ Verdunity TX street liabilities</t>
        </is>
      </c>
      <c r="E12" s="2" t="inlineStr">
        <is>
          <t>Context only</t>
        </is>
      </c>
      <c r="F12" s="2" t="inlineStr">
        <is>
          <t>No base-case change; optional sensitivity only</t>
        </is>
      </c>
      <c r="G12" s="2" t="inlineStr">
        <is>
          <t>Medium (advocacy paired)</t>
        </is>
      </c>
    </row>
    <row r="13" ht="20.25" customHeight="1" s="106">
      <c r="A13" s="2" t="inlineStr">
        <is>
          <t>City opex per resident</t>
        </is>
      </c>
      <c r="B13" s="2" t="inlineStr">
        <is>
          <t>$680/cap (SFR)</t>
        </is>
      </c>
      <c r="C13" s="2" t="inlineStr">
        <is>
          <t>$677/cap (FY25 ACFR buildup at 80% marginal)</t>
        </is>
      </c>
      <c r="D13" s="2" t="inlineStr">
        <is>
          <t>Sealy FY25 ACFR; ICMA per-capita method</t>
        </is>
      </c>
      <c r="E13" s="2" t="inlineStr">
        <is>
          <t>Within $3</t>
        </is>
      </c>
      <c r="F13" s="2" t="inlineStr">
        <is>
          <t>No change — anchored to local actual</t>
        </is>
      </c>
      <c r="G13" s="2" t="inlineStr">
        <is>
          <t>High (SOLID-FY25)</t>
        </is>
      </c>
    </row>
    <row r="14" ht="15" customHeight="1" s="106">
      <c r="A14" s="2" t="inlineStr">
        <is>
          <t>Manufacturing AV/acre</t>
        </is>
      </c>
      <c r="B14" s="2" t="inlineStr">
        <is>
          <t>$750,000/ac</t>
        </is>
      </c>
      <c r="C14" s="2" t="inlineStr">
        <is>
          <t>$749K/ac (Sika FY25 actual)</t>
        </is>
      </c>
      <c r="D14" s="2" t="inlineStr">
        <is>
          <t>Sealy FY25 ACFR (Sika); Hailiang higher-end</t>
        </is>
      </c>
      <c r="E14" s="2" t="inlineStr">
        <is>
          <t>Exact match</t>
        </is>
      </c>
      <c r="F14" s="2" t="inlineStr">
        <is>
          <t>No change</t>
        </is>
      </c>
      <c r="G14" s="2" t="inlineStr">
        <is>
          <t>High (SOLID)</t>
        </is>
      </c>
    </row>
    <row r="15" ht="15" customHeight="1" s="106">
      <c r="A15" s="2" t="inlineStr">
        <is>
          <t>MFR AV/unit</t>
        </is>
      </c>
      <c r="B15" s="2" t="inlineStr">
        <is>
          <t>$80,000/unit</t>
        </is>
      </c>
      <c r="C15" s="2" t="inlineStr">
        <is>
          <t>$77K/unit (Retreat actual)</t>
        </is>
      </c>
      <c r="D15" s="2" t="inlineStr">
        <is>
          <t>Sealy FY25 ACFR (Retreat at Sealy)</t>
        </is>
      </c>
      <c r="E15" s="2" t="inlineStr">
        <is>
          <t>Within 4%</t>
        </is>
      </c>
      <c r="F15" s="2" t="inlineStr">
        <is>
          <t>No change</t>
        </is>
      </c>
      <c r="G15" s="2" t="inlineStr">
        <is>
          <t>High (SOLID)</t>
        </is>
      </c>
    </row>
    <row r="16" ht="20.25" customHeight="1" s="106">
      <c r="A16" s="2" t="inlineStr">
        <is>
          <t>Fire/police LOS triggers</t>
        </is>
      </c>
      <c r="B16" s="2" t="inlineStr">
        <is>
          <t>Fire station/3,500 res; police 2/1,000; fire 1/1,000</t>
        </is>
      </c>
      <c r="C16" s="2" t="inlineStr">
        <is>
          <t>Dept-level LOS; public safety ~60% of GF</t>
        </is>
      </c>
      <c r="D16" s="2" t="inlineStr">
        <is>
          <t>ICMA/TischlerBise practice; NLC 2025</t>
        </is>
      </c>
      <c r="E16" s="2" t="inlineStr">
        <is>
          <t>Plausible</t>
        </is>
      </c>
      <c r="F16" s="2" t="inlineStr">
        <is>
          <t>No change; dept validation still required</t>
        </is>
      </c>
      <c r="G16" s="2" t="inlineStr">
        <is>
          <t>Medium (peer method)</t>
        </is>
      </c>
    </row>
    <row r="17" ht="20.25" customHeight="1" s="106">
      <c r="A17" s="2" t="inlineStr">
        <is>
          <t>Unfunded street liability (peer scale)</t>
        </is>
      </c>
      <c r="B17" s="2" t="inlineStr">
        <is>
          <t>n/a (Sealy-specific not modeled as liability)</t>
        </is>
      </c>
      <c r="C17" s="2" t="inlineStr">
        <is>
          <t>$52M-$1.3B across 6 TX cities</t>
        </is>
      </c>
      <c r="D17" s="2" t="inlineStr">
        <is>
          <t>Verdunity TX portfolio</t>
        </is>
      </c>
      <c r="E17" s="2" t="inlineStr">
        <is>
          <t>Context</t>
        </is>
      </c>
      <c r="F17" s="2" t="inlineStr">
        <is>
          <t>No change — neutral evidence growth carries liabilities</t>
        </is>
      </c>
      <c r="G17" s="2" t="inlineStr">
        <is>
          <t>High (peer)</t>
        </is>
      </c>
    </row>
    <row r="18" ht="20.25" customHeight="1" s="106">
      <c r="A18" s="2" t="inlineStr">
        <is>
          <t>Confidence via triangulation</t>
        </is>
      </c>
      <c r="B18" s="2" t="inlineStr">
        <is>
          <t>Single open model</t>
        </is>
      </c>
      <c r="C18" s="2" t="inlineStr">
        <is>
          <t>3 methods converged (staff/TischlerBise/THK)</t>
        </is>
      </c>
      <c r="D18" s="2" t="inlineStr">
        <is>
          <t>Castle Pines CO 2026</t>
        </is>
      </c>
      <c r="E18" s="2" t="inlineStr">
        <is>
          <t>Supports</t>
        </is>
      </c>
      <c r="F18" s="2" t="inlineStr">
        <is>
          <t>No change — v6 is one reasonable method among several</t>
        </is>
      </c>
      <c r="G18" s="2" t="inlineStr">
        <is>
          <t>High (peer)</t>
        </is>
      </c>
    </row>
    <row r="19" ht="20.25" customHeight="1" s="106">
      <c r="A19" s="2" t="inlineStr">
        <is>
          <t>Legal allocation mechanism</t>
        </is>
      </c>
      <c r="B19" s="2" t="inlineStr">
        <is>
          <t>ILA allocates combined-area sales tax</t>
        </is>
      </c>
      <c r="C19" s="2" t="inlineStr">
        <is>
          <t>Authorized; first-in-time favors ESD; not compelled</t>
        </is>
      </c>
      <c r="D19" s="2" t="inlineStr">
        <is>
          <t>TML 2025 (Tex H&amp;S 775.0754; LGC 43.0751)</t>
        </is>
      </c>
      <c r="E19" s="2" t="inlineStr">
        <is>
          <t>Confirmed</t>
        </is>
      </c>
      <c r="F19" s="2" t="inlineStr">
        <is>
          <t>No change — confirms assumed vehicle</t>
        </is>
      </c>
      <c r="G19" s="2" t="inlineStr">
        <is>
          <t>High (statute)</t>
        </is>
      </c>
    </row>
  </sheetData>
  <mergeCells count="2">
    <mergeCell ref="A2:G2"/>
    <mergeCell ref="A1:G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2026-05-25T19:22:06Z</dcterms:created>
  <dcterms:modified xmlns:dcterms="http://purl.org/dc/terms/" xmlns:xsi="http://www.w3.org/2001/XMLSchema-instance" xsi:type="dcterms:W3CDTF">2026-05-30T05:52:15Z</dcterms:modified>
  <cp:lastModifiedBy>Bobby Necker</cp:lastModifiedBy>
  <cp:revision>0</cp:revision>
</cp:coreProperties>
</file>
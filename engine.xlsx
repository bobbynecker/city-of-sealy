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3.xml" ContentType="application/vnd.openxmlformats-officedocument.spreadsheetml.comment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comments10.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4.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1.xml" ContentType="application/vnd.openxmlformats-officedocument.theme+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ver" sheetId="1" state="visible" r:id="rId3"/>
    <sheet name="Typical Inputs" sheetId="2" state="visible" r:id="rId4"/>
    <sheet name="Advanced Inputs" sheetId="3" state="visible" r:id="rId5"/>
    <sheet name="Capital Items" sheetId="4" state="visible" r:id="rId6"/>
    <sheet name="Results" sheetId="5" state="visible" r:id="rId7"/>
    <sheet name="SOURCES" sheetId="6" state="hidden" r:id="rId8"/>
    <sheet name="Scenarios" sheetId="7" state="hidden" r:id="rId9"/>
    <sheet name="00_Inputs_Dashboard" sheetId="8" state="hidden" r:id="rId10"/>
    <sheet name="02_Type_Assumptions" sheetId="9" state="hidden" r:id="rId11"/>
    <sheet name="03_Multi_Horizon_Results" sheetId="10" state="hidden" r:id="rId12"/>
    <sheet name="04_Annual_Calculations" sheetId="11" state="hidden" r:id="rId13"/>
    <sheet name="05_Capital_Triggers" sheetId="12" state="hidden" r:id="rId14"/>
    <sheet name="09_Phase_Factors" sheetId="13" state="hidden" r:id="rId15"/>
    <sheet name="12_Takeoff_Assumptions" sheetId="14" state="hidden" r:id="rId16"/>
    <sheet name="Sources &amp; Assumptions" sheetId="15" state="visible" r:id="rId17"/>
    <sheet name="Change_Log" sheetId="16" state="hidden" r:id="rId18"/>
    <sheet name="Validation_Output" sheetId="17" state="hidden" r:id="rId19"/>
  </sheets>
  <definedNames>
    <definedName function="false" hidden="false" localSheetId="2" name="_xlnm.Print_Area" vbProcedure="false">'Advanced Inputs'!$A$1:$N$76</definedName>
    <definedName function="false" hidden="false" localSheetId="2" name="_xlnm.Print_Titles" vbProcedure="false">'Advanced Inputs'!$4:$4</definedName>
    <definedName function="false" hidden="false" localSheetId="0" name="_xlnm.Print_Area" vbProcedure="false">Cover!$A$1:$F$19</definedName>
    <definedName function="false" hidden="false" localSheetId="4" name="_xlnm.Print_Area" vbProcedure="false">Results!$A$1:$H$27</definedName>
    <definedName function="false" hidden="false" localSheetId="14" name="_xlnm.Print_Area" vbProcedure="false">'Sources &amp; Assumptions'!$A$1:$E$34</definedName>
    <definedName function="false" hidden="false" localSheetId="14" name="_xlnm.Print_Titles" vbProcedure="false">'Sources &amp; Assumptions'!$4:$4</definedName>
    <definedName function="false" hidden="false" localSheetId="1" name="_xlnm.Print_Area" vbProcedure="false">'Typical Inputs'!$A$1:$F$52</definedName>
    <definedName function="false" hidden="false" name="TypeList" vbProcedure="false">'02_Type_Assumptions'!$A$4:$A$25</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Model</author>
    <author>Validation v7.7</author>
  </authors>
  <commentList>
    <comment ref="A4" authorId="0">
      <text>
        <r>
          <rPr>
            <sz val="10"/>
            <rFont val="Arial"/>
            <family val="2"/>
          </rPr>
          <t xml:space="preserve">Basis / source: Basis / source</t>
        </r>
      </text>
    </comment>
    <comment ref="A6" authorId="0">
      <text>
        <r>
          <rPr>
            <sz val="10"/>
            <rFont val="Arial"/>
            <family val="2"/>
          </rPr>
          <t xml:space="preserve">Basis / source: User input; no preferred split implied</t>
        </r>
      </text>
    </comment>
    <comment ref="A7" authorId="0">
      <text>
        <r>
          <rPr>
            <sz val="10"/>
            <rFont val="Arial"/>
            <family val="2"/>
          </rPr>
          <t xml:space="preserve">Basis / source: Carve-out from the City's take — basis set at right →</t>
        </r>
      </text>
    </comment>
    <comment ref="A8" authorId="0">
      <text>
        <r>
          <rPr>
            <sz val="10"/>
            <rFont val="Arial"/>
            <family val="2"/>
          </rPr>
          <t xml:space="preserve">Basis / source: User input; City + ESD must = 100%</t>
        </r>
      </text>
    </comment>
    <comment ref="A9" authorId="0">
      <text>
        <r>
          <rPr>
            <sz val="10"/>
            <rFont val="Arial"/>
            <family val="2"/>
          </rPr>
          <t xml:space="preserve">Basis / source: Combined-area code 6008609; 2.0% local cap (Tex Tax Ch.321)</t>
        </r>
      </text>
    </comment>
    <comment ref="A10" authorId="0">
      <text>
        <r>
          <rPr>
            <sz val="10"/>
            <rFont val="Arial"/>
            <family val="2"/>
          </rPr>
          <t xml:space="preserve">Basis / source: Sealy FY26 Ord. 2025-24 ($0.37731/$100)</t>
        </r>
      </text>
    </comment>
    <comment ref="A11" authorId="0">
      <text>
        <r>
          <rPr>
            <sz val="10"/>
            <rFont val="Arial"/>
            <family val="2"/>
          </rPr>
          <t xml:space="preserve">Basis / source: ESD #2 2026 ($0.09310/$100); FY25 ACFR confirms</t>
        </r>
      </text>
    </comment>
    <comment ref="A13" authorId="0">
      <text>
        <r>
          <rPr>
            <sz val="10"/>
            <rFont val="Arial"/>
            <family val="2"/>
          </rPr>
          <t xml:space="preserve">Basis / source: HB1378 §140.008 FY25; FY25 ACFR cross-val</t>
        </r>
      </text>
    </comment>
    <comment ref="A14" authorId="0">
      <text>
        <r>
          <rPr>
            <sz val="10"/>
            <rFont val="Arial"/>
            <family val="2"/>
          </rPr>
          <t xml:space="preserve">Basis / source: HB1378 5-yr actual 6,450→7,553</t>
        </r>
      </text>
    </comment>
    <comment ref="A15" authorId="0">
      <text>
        <r>
          <rPr>
            <sz val="10"/>
            <rFont val="Arial"/>
            <family val="2"/>
          </rPr>
          <t xml:space="preserve">Basis / source: FY26 Adopted Budget (conservative floor)</t>
        </r>
      </text>
    </comment>
    <comment ref="A16" authorId="0">
      <text>
        <r>
          <rPr>
            <sz val="10"/>
            <rFont val="Arial"/>
            <family val="2"/>
          </rPr>
          <t xml:space="preserve">Basis / source: Sealy 12-yr Comptroller; 9% high-case sensitivity</t>
        </r>
      </text>
    </comment>
    <comment ref="A17" authorId="0">
      <text>
        <r>
          <rPr>
            <sz val="10"/>
            <rFont val="Arial"/>
            <family val="2"/>
          </rPr>
          <t xml:space="preserve">Basis / source: HB1378-derived; 5-yr was 7.3% (conservative)</t>
        </r>
      </text>
    </comment>
    <comment ref="A18" authorId="0">
      <text>
        <r>
          <rPr>
            <sz val="10"/>
            <rFont val="Arial"/>
            <family val="2"/>
          </rPr>
          <t xml:space="preserve">Basis / source: Planning benchmark; per-project adjustable</t>
        </r>
      </text>
    </comment>
    <comment ref="A19" authorId="0">
      <text>
        <r>
          <rPr>
            <sz val="10"/>
            <rFont val="Arial"/>
            <family val="2"/>
          </rPr>
          <t xml:space="preserve">Basis / source: TML benchmark</t>
        </r>
      </text>
    </comment>
    <comment ref="A20" authorId="0">
      <text>
        <r>
          <rPr>
            <sz val="10"/>
            <rFont val="Arial"/>
            <family val="2"/>
          </rPr>
          <t xml:space="preserve">Basis / source: Maxxbuilders TX 2024-2026 (3-6%)</t>
        </r>
      </text>
    </comment>
    <comment ref="A21" authorId="0">
      <text>
        <r>
          <rPr>
            <sz val="10"/>
            <rFont val="Arial"/>
            <family val="2"/>
          </rPr>
          <t xml:space="preserve">Basis / source: Planning benchmark</t>
        </r>
      </text>
    </comment>
    <comment ref="A22" authorId="0">
      <text>
        <r>
          <rPr>
            <sz val="10"/>
            <rFont val="Arial"/>
            <family val="2"/>
          </rPr>
          <t xml:space="preserve">Basis / source: Planning benchmark</t>
        </r>
      </text>
    </comment>
    <comment ref="A23" authorId="0">
      <text>
        <r>
          <rPr>
            <sz val="10"/>
            <rFont val="Arial"/>
            <family val="2"/>
          </rPr>
          <t xml:space="preserve">Basis / source: Spec #13 Option B</t>
        </r>
      </text>
    </comment>
    <comment ref="A24" authorId="0">
      <text>
        <r>
          <rPr>
            <sz val="10"/>
            <rFont val="Arial"/>
            <family val="2"/>
          </rPr>
          <t xml:space="preserve">Basis / source: FY25 ACFR collected ~104.6%; default 100%</t>
        </r>
      </text>
    </comment>
    <comment ref="A26" authorId="0">
      <text>
        <r>
          <rPr>
            <sz val="10"/>
            <rFont val="Arial"/>
            <family val="2"/>
          </rPr>
          <t xml:space="preserve">Basis / source: Planning benchmark</t>
        </r>
      </text>
    </comment>
    <comment ref="A27" authorId="0">
      <text>
        <r>
          <rPr>
            <sz val="10"/>
            <rFont val="Arial"/>
            <family val="2"/>
          </rPr>
          <t xml:space="preserve">Basis / source: Retreat at Sealy lease-up</t>
        </r>
      </text>
    </comment>
    <comment ref="A28" authorId="0">
      <text>
        <r>
          <rPr>
            <sz val="10"/>
            <rFont val="Arial"/>
            <family val="2"/>
          </rPr>
          <t xml:space="preserve">Basis / source: Census-derived</t>
        </r>
      </text>
    </comment>
    <comment ref="A29" authorId="0">
      <text>
        <r>
          <rPr>
            <sz val="10"/>
            <rFont val="Arial"/>
            <family val="2"/>
          </rPr>
          <t xml:space="preserve">Basis / source: Retreat at Sealy</t>
        </r>
      </text>
    </comment>
    <comment ref="A30" authorId="0">
      <text>
        <r>
          <rPr>
            <sz val="10"/>
            <rFont val="Arial"/>
            <family val="2"/>
          </rPr>
          <t xml:space="preserve">Basis / source: Base case; $4K cons / $8K high</t>
        </r>
      </text>
    </comment>
    <comment ref="A31" authorId="0">
      <text>
        <r>
          <rPr>
            <sz val="10"/>
            <rFont val="Arial"/>
            <family val="2"/>
          </rPr>
          <t xml:space="preserve">Basis / source: Marketplace + remote-seller scope</t>
        </r>
      </text>
    </comment>
    <comment ref="A32" authorId="0">
      <text>
        <r>
          <rPr>
            <sz val="10"/>
            <rFont val="Arial"/>
            <family val="2"/>
          </rPr>
          <t xml:space="preserve">Basis / source: Destination ship-to to Sealy/ESD combined area</t>
        </r>
      </text>
    </comment>
    <comment ref="A33" authorId="0">
      <text>
        <r>
          <rPr>
            <sz val="10"/>
            <rFont val="Arial"/>
            <family val="2"/>
          </rPr>
          <t xml:space="preserve">Basis / source: Real growth/HH</t>
        </r>
      </text>
    </comment>
    <comment ref="A34" authorId="0">
      <text>
        <r>
          <rPr>
            <sz val="10"/>
            <rFont val="Arial"/>
            <family val="2"/>
          </rPr>
          <t xml:space="preserve">Basis / source: Toggle (Test 11/12)</t>
        </r>
      </text>
    </comment>
    <comment ref="A37" authorId="0">
      <text>
        <r>
          <rPr>
            <sz val="10"/>
            <rFont val="Arial"/>
            <family val="2"/>
          </rPr>
          <t xml:space="preserve">Basis / source: Over65%</t>
        </r>
      </text>
    </comment>
    <comment ref="A47" authorId="0">
      <text>
        <r>
          <rPr>
            <sz val="10"/>
            <rFont val="Arial"/>
            <family val="2"/>
          </rPr>
          <t xml:space="preserve">Basis / source: Building footprint vs lot area. Applies only when a project is entered by sqft (e.g., 200K sqft ÷ 43,560 ÷ FAR = land acres). Industrial 25–30% typical.</t>
        </r>
      </text>
    </comment>
    <comment ref="A48" authorId="0">
      <text>
        <r>
          <rPr>
            <sz val="10"/>
            <rFont val="Arial"/>
            <family val="2"/>
          </rPr>
          <t xml:space="preserve">Basis / source: Generic Ch.312-style abatement on NEW industrial taxable value (city &amp; ESD). 0% = full taxation (default). Stress lever only; not tied to any named project.</t>
        </r>
      </text>
    </comment>
    <comment ref="A49" authorId="0">
      <text>
        <r>
          <rPr>
            <sz val="10"/>
            <rFont val="Arial"/>
            <family val="2"/>
          </rPr>
          <t xml:space="preserve">Basis / source: Ch.312 abatements last up to 10 yrs, then full tax resumes (Tex Tax Code §312.204). Applies to city + ESD property tax; not sales tax.</t>
        </r>
      </text>
    </comment>
    <comment ref="A50" authorId="0">
      <text>
        <r>
          <rPr>
            <sz val="10"/>
            <rFont val="Arial"/>
            <family val="2"/>
          </rPr>
          <t xml:space="preserve">Basis / source: Sealy 2018 Strand study: $3,381 water + $3,784 sewer (adopted). Drives Scenario impact fees + Capital LUE triggers.</t>
        </r>
      </text>
    </comment>
    <comment ref="A51" authorId="0">
      <text>
        <r>
          <rPr>
            <sz val="10"/>
            <rFont val="Arial"/>
            <family val="2"/>
          </rPr>
          <t xml:space="preserve">Basis / source: TX ag productivity value (used when surplus treated as Ag)</t>
        </r>
      </text>
    </comment>
    <comment ref="D48" authorId="1">
      <text>
        <r>
          <rPr>
            <sz val="10"/>
            <rFont val="Arial"/>
            <family val="2"/>
          </rPr>
          <t xml:space="preserve">WARNING: A nonzero industrial abatement is applied generically across the abatement term. A real abatement is project-specific — confirm the parcel, start year, % schedule, and term against the executed agreement before relying on these figures.</t>
        </r>
      </text>
    </comment>
  </commentList>
</comments>
</file>

<file path=xl/comments4.xml><?xml version="1.0" encoding="utf-8"?>
<comments xmlns="http://schemas.openxmlformats.org/spreadsheetml/2006/main" xmlns:xdr="http://schemas.openxmlformats.org/drawingml/2006/spreadsheetDrawing">
  <authors>
    <author>Validation v7.7</author>
  </authors>
  <commentList>
    <comment ref="R4" authorId="0">
      <text>
        <r>
          <rPr>
            <sz val="10"/>
            <rFont val="Arial"/>
            <family val="2"/>
          </rPr>
          <t xml:space="preserve">Currently INCLUDED in net. Confirm with City/ESD staff that this item, its cost factor, and its payer are correct for the modeled scenario.</t>
        </r>
      </text>
    </comment>
    <comment ref="R5" authorId="0">
      <text>
        <r>
          <rPr>
            <sz val="10"/>
            <rFont val="Arial"/>
            <family val="2"/>
          </rPr>
          <t xml:space="preserve">Currently INCLUDED in net. Confirm with City/ESD staff that this item, its cost factor, and its payer are correct for the modeled scenario.</t>
        </r>
      </text>
    </comment>
    <comment ref="R6" authorId="0">
      <text>
        <r>
          <rPr>
            <sz val="10"/>
            <rFont val="Arial"/>
            <family val="2"/>
          </rPr>
          <t xml:space="preserve">Currently INCLUDED in net. Confirm with City/ESD staff that this item, its cost factor, and its payer are correct for the modeled scenario.</t>
        </r>
      </text>
    </comment>
    <comment ref="R7" authorId="0">
      <text>
        <r>
          <rPr>
            <sz val="10"/>
            <rFont val="Arial"/>
            <family val="2"/>
          </rPr>
          <t xml:space="preserve">Currently INCLUDED in net. Confirm with City/ESD staff that this item, its cost factor, and its payer are correct for the modeled scenario.</t>
        </r>
      </text>
    </comment>
    <comment ref="R8" authorId="0">
      <text>
        <r>
          <rPr>
            <sz val="10"/>
            <rFont val="Arial"/>
            <family val="2"/>
          </rPr>
          <t xml:space="preserve">Currently INCLUDED in net. Confirm with City/ESD staff that this item, its cost factor, and its payer are correct for the modeled scenario.</t>
        </r>
      </text>
    </comment>
    <comment ref="R9" authorId="0">
      <text>
        <r>
          <rPr>
            <sz val="10"/>
            <rFont val="Arial"/>
            <family val="2"/>
          </rPr>
          <t xml:space="preserve">Currently INCLUDED in net. Confirm with City/ESD staff that this item, its cost factor, and its payer are correct for the modeled scenario.</t>
        </r>
      </text>
    </comment>
    <comment ref="R10" authorId="0">
      <text>
        <r>
          <rPr>
            <sz val="10"/>
            <rFont val="Arial"/>
            <family val="2"/>
          </rPr>
          <t xml:space="preserve">Currently INCLUDED in net. Confirm with City/ESD staff that this item, its cost factor, and its payer are correct for the modeled scenario.</t>
        </r>
      </text>
    </comment>
    <comment ref="R11" authorId="0">
      <text>
        <r>
          <rPr>
            <sz val="10"/>
            <rFont val="Arial"/>
            <family val="2"/>
          </rPr>
          <t xml:space="preserve">Currently INCLUDED in net. Confirm with City/ESD staff that this item, its cost factor, and its payer are correct for the modeled scenario.</t>
        </r>
      </text>
    </comment>
    <comment ref="R12" authorId="0">
      <text>
        <r>
          <rPr>
            <sz val="10"/>
            <rFont val="Arial"/>
            <family val="2"/>
          </rPr>
          <t xml:space="preserve">Currently INCLUDED in net. Confirm with City/ESD staff that this item, its cost factor, and its payer are correct for the modeled scenario.</t>
        </r>
      </text>
    </comment>
    <comment ref="R13" authorId="0">
      <text>
        <r>
          <rPr>
            <sz val="10"/>
            <rFont val="Arial"/>
            <family val="2"/>
          </rPr>
          <t xml:space="preserve">Currently INCLUDED in net. Confirm with City/ESD staff that this item, its cost factor, and its payer are correct for the modeled scenario.</t>
        </r>
      </text>
    </comment>
    <comment ref="R14" authorId="0">
      <text>
        <r>
          <rPr>
            <sz val="10"/>
            <rFont val="Arial"/>
            <family val="2"/>
          </rPr>
          <t xml:space="preserve">Currently INCLUDED in net. Confirm with City/ESD staff that this item, its cost factor, and its payer are correct for the modeled scenario.</t>
        </r>
      </text>
    </comment>
    <comment ref="R15" authorId="0">
      <text>
        <r>
          <rPr>
            <sz val="10"/>
            <rFont val="Arial"/>
            <family val="2"/>
          </rPr>
          <t xml:space="preserve">Currently INCLUDED in net. Confirm with City/ESD staff that this item, its cost factor, and its payer are correct for the modeled scenario.</t>
        </r>
      </text>
    </comment>
    <comment ref="R16" authorId="0">
      <text>
        <r>
          <rPr>
            <sz val="10"/>
            <rFont val="Arial"/>
            <family val="2"/>
          </rPr>
          <t xml:space="preserve">Currently INCLUDED in net. Confirm with City/ESD staff that this item, its cost factor, and its payer are correct for the modeled scenario.</t>
        </r>
      </text>
    </comment>
    <comment ref="R17" authorId="0">
      <text>
        <r>
          <rPr>
            <sz val="10"/>
            <rFont val="Arial"/>
            <family val="2"/>
          </rPr>
          <t xml:space="preserve">Currently INCLUDED in net. Confirm with City/ESD staff that this item, its cost factor, and its payer are correct for the modeled scenario.</t>
        </r>
      </text>
    </comment>
    <comment ref="R18" authorId="0">
      <text>
        <r>
          <rPr>
            <sz val="10"/>
            <rFont val="Arial"/>
            <family val="2"/>
          </rPr>
          <t xml:space="preserve">Currently INCLUDED in net. Confirm with City/ESD staff that this item, its cost factor, and its payer are correct for the modeled scenario.</t>
        </r>
      </text>
    </comment>
    <comment ref="R19" authorId="0">
      <text>
        <r>
          <rPr>
            <sz val="10"/>
            <rFont val="Arial"/>
            <family val="2"/>
          </rPr>
          <t xml:space="preserve">Currently INCLUDED in net. Confirm with City/ESD staff that this item, its cost factor, and its payer are correct for the modeled scenario.</t>
        </r>
      </text>
    </comment>
    <comment ref="R20" authorId="0">
      <text>
        <r>
          <rPr>
            <sz val="10"/>
            <rFont val="Arial"/>
            <family val="2"/>
          </rPr>
          <t xml:space="preserve">Currently INCLUDED in net. Confirm with City/ESD staff that this item, its cost factor, and its payer are correct for the modeled scenario.</t>
        </r>
      </text>
    </comment>
    <comment ref="R21" authorId="0">
      <text>
        <r>
          <rPr>
            <sz val="10"/>
            <rFont val="Arial"/>
            <family val="2"/>
          </rPr>
          <t xml:space="preserve">Currently INCLUDED in net. Confirm with City/ESD staff that this item, its cost factor, and its payer are correct for the modeled scenario.</t>
        </r>
      </text>
    </comment>
    <comment ref="R22" authorId="0">
      <text>
        <r>
          <rPr>
            <sz val="10"/>
            <rFont val="Arial"/>
            <family val="2"/>
          </rPr>
          <t xml:space="preserve">Currently INCLUDED in net. Confirm with City/ESD staff that this item, its cost factor, and its payer are correct for the modeled scenario.</t>
        </r>
      </text>
    </comment>
    <comment ref="R23" authorId="0">
      <text>
        <r>
          <rPr>
            <sz val="10"/>
            <rFont val="Arial"/>
            <family val="2"/>
          </rPr>
          <t xml:space="preserve">Currently INCLUDED in net. Confirm with City/ESD staff that this item, its cost factor, and its payer are correct for the modeled scenario.</t>
        </r>
      </text>
    </comment>
    <comment ref="R24" authorId="0">
      <text>
        <r>
          <rPr>
            <sz val="10"/>
            <rFont val="Arial"/>
            <family val="2"/>
          </rPr>
          <t xml:space="preserve">Currently INCLUDED in net. Confirm with City/ESD staff that this item, its cost factor, and its payer are correct for the modeled scenario.</t>
        </r>
      </text>
    </comment>
    <comment ref="R25" authorId="0">
      <text>
        <r>
          <rPr>
            <sz val="10"/>
            <rFont val="Arial"/>
            <family val="2"/>
          </rPr>
          <t xml:space="preserve">Currently INCLUDED in net. Confirm with City/ESD staff that this item, its cost factor, and its payer are correct for the modeled scenario.</t>
        </r>
      </text>
    </comment>
    <comment ref="R26" authorId="0">
      <text>
        <r>
          <rPr>
            <sz val="10"/>
            <rFont val="Arial"/>
            <family val="2"/>
          </rPr>
          <t xml:space="preserve">Currently INCLUDED in net. Confirm with City/ESD staff that this item, its cost factor, and its payer are correct for the modeled scenario.</t>
        </r>
      </text>
    </comment>
    <comment ref="R27" authorId="0">
      <text>
        <r>
          <rPr>
            <sz val="10"/>
            <rFont val="Arial"/>
            <family val="2"/>
          </rPr>
          <t xml:space="preserve">Currently INCLUDED in net. Confirm with City/ESD staff that this item, its cost factor, and its payer are correct for the modeled scenario.</t>
        </r>
      </text>
    </comment>
    <comment ref="R28" authorId="0">
      <text>
        <r>
          <rPr>
            <sz val="10"/>
            <rFont val="Arial"/>
            <family val="2"/>
          </rPr>
          <t xml:space="preserve">Currently INCLUDED in net. Confirm with City/ESD staff that this item, its cost factor, and its payer are correct for the modeled scenario.</t>
        </r>
      </text>
    </comment>
    <comment ref="R29" authorId="0">
      <text>
        <r>
          <rPr>
            <sz val="10"/>
            <rFont val="Arial"/>
            <family val="2"/>
          </rPr>
          <t xml:space="preserve">Custom row — defaults to EXCLUDED from net pending a confirmed scope, cost, and payer. Set to Yes only after the item is defined.</t>
        </r>
      </text>
    </comment>
    <comment ref="R30" authorId="0">
      <text>
        <r>
          <rPr>
            <sz val="10"/>
            <rFont val="Arial"/>
            <family val="2"/>
          </rPr>
          <t xml:space="preserve">Custom row — defaults to EXCLUDED from net pending a confirmed scope, cost, and payer. Set to Yes only after the item is defined.</t>
        </r>
      </text>
    </comment>
    <comment ref="R31" authorId="0">
      <text>
        <r>
          <rPr>
            <sz val="10"/>
            <rFont val="Arial"/>
            <family val="2"/>
          </rPr>
          <t xml:space="preserve">Custom row — defaults to EXCLUDED from net pending a confirmed scope, cost, and payer. Set to Yes only after the item is defined.</t>
        </r>
      </text>
    </comment>
  </commentList>
</comments>
</file>

<file path=xl/comments8.xml><?xml version="1.0" encoding="utf-8"?>
<comments xmlns="http://schemas.openxmlformats.org/spreadsheetml/2006/main" xmlns:xdr="http://schemas.openxmlformats.org/drawingml/2006/spreadsheetDrawing">
  <authors>
    <author>Audit 2026-06-01</author>
  </authors>
  <commentList>
    <comment ref="B56" authorId="0">
      <text>
        <r>
          <rPr>
            <sz val="10"/>
            <rFont val="Arial"/>
            <family val="2"/>
          </rPr>
          <t xml:space="preserve">Itemized (1) and trigger (2) capital are ALTERNATIVE methods, not additive. Default 1 uses the managed Capital_Items list. 03_Multi r24/r27 honor this toggle so the two systems can never double-count.</t>
        </r>
      </text>
    </comment>
  </commentList>
</comments>
</file>

<file path=xl/comments10.xml><?xml version="1.0" encoding="utf-8"?>
<comments xmlns="http://schemas.openxmlformats.org/spreadsheetml/2006/main" xmlns:xdr="http://schemas.openxmlformats.org/drawingml/2006/spreadsheetDrawing">
  <authors>
    <author>Audit 2026-06-01</author>
  </authors>
  <commentList>
    <comment ref="B32" authorId="0">
      <text>
        <r>
          <rPr>
            <sz val="10"/>
            <rFont val="Arial"/>
            <family val="2"/>
          </rPr>
          <t xml:space="preserve">Break-even = (City net cost excl. sales tax) / (City sales-tax share net of EDC, row 18). Uses the same City share + EDC allocation as 04_Annual r18-r20 (was incorrectly dividing by pool*(1-EDC%), which ignored the City share).</t>
        </r>
      </text>
    </comment>
  </commentList>
</comments>
</file>

<file path=xl/sharedStrings.xml><?xml version="1.0" encoding="utf-8"?>
<sst xmlns="http://schemas.openxmlformats.org/spreadsheetml/2006/main" count="2144" uniqueCount="1229">
  <si>
    <t xml:space="preserve">CITY OF SEALY</t>
  </si>
  <si>
    <t xml:space="preserve">ESD #2 Development-Scenario Fiscal Model</t>
  </si>
  <si>
    <t xml:space="preserve">Council edition · June 2026 · Independent planning analysis (not a certified forecast) · Prepared by Councilmember Bobby Necker, Place 1</t>
  </si>
  <si>
    <t xml:space="preserve">30-YEAR 1.5% SALES-TAX POOL  ·  current INPUTS scenario</t>
  </si>
  <si>
    <t xml:space="preserve">How to use this model</t>
  </si>
  <si>
    <t xml:space="preserve">1.   On TYPICAL INPUTS: set a scenario Active = Yes, choose a Development Type, enter a quantity (and lot size / gross-up for subdivisions).</t>
  </si>
  <si>
    <t xml:space="preserve">2.   Read the RESULTS block on that same page — the 1.5% sales-tax pool and the City / EDC / ESD shares by horizon.</t>
  </si>
  <si>
    <t xml:space="preserve">3.   Enter your City / ESD split at the top of Typical Inputs; it is yours to set and everything updates live.</t>
  </si>
  <si>
    <t xml:space="preserve">4.   Advanced Inputs holds every deeper assumption; Capital Items the infrastructure detail; Sources &amp; Assumptions the citations.</t>
  </si>
  <si>
    <t xml:space="preserve">Go to</t>
  </si>
  <si>
    <t xml:space="preserve">▸    Typical Inputs  —  set scenario, read results</t>
  </si>
  <si>
    <t xml:space="preserve">▸    Advanced Inputs  —  all assumptions</t>
  </si>
  <si>
    <t xml:space="preserve">▸    Results  —  full sales-tax &amp; fiscal detail</t>
  </si>
  <si>
    <t xml:space="preserve">▸    Capital Items  —  infrastructure detail</t>
  </si>
  <si>
    <t xml:space="preserve">TYPICAL INPUTS</t>
  </si>
  <si>
    <t xml:space="preserve">Set your split and scenarios here — results update live below.  Everything for a meeting on one page.</t>
  </si>
  <si>
    <t xml:space="preserve">1 · SALES-TAX ALLOCATION   (City + ESD must total 100%)</t>
  </si>
  <si>
    <t xml:space="preserve">City General Fund share of pool</t>
  </si>
  <si>
    <t xml:space="preserve">EDC retention (% of City share)</t>
  </si>
  <si>
    <t xml:space="preserve">ESD #2 share of pool</t>
  </si>
  <si>
    <t xml:space="preserve">Sales-tax pool rate</t>
  </si>
  <si>
    <t xml:space="preserve">Split check (City + ESD)</t>
  </si>
  <si>
    <t xml:space="preserve">← must equal 100%</t>
  </si>
  <si>
    <t xml:space="preserve">2 · DEVELOPMENT SCENARIOS   (Active = Yes, pick a type, enter quantity)</t>
  </si>
  <si>
    <t xml:space="preserve">Development Type</t>
  </si>
  <si>
    <t xml:space="preserve">Active?</t>
  </si>
  <si>
    <t xml:space="preserve">Quantity</t>
  </si>
  <si>
    <t xml:space="preserve">Lot size (ac/unit)</t>
  </si>
  <si>
    <t xml:space="preserve">Gross-up % (non-lot)</t>
  </si>
  <si>
    <t xml:space="preserve">Final Acres (computed)</t>
  </si>
  <si>
    <t xml:space="preserve">Big-Box / Anchor Retail</t>
  </si>
  <si>
    <t xml:space="preserve">Yes</t>
  </si>
  <si>
    <t xml:space="preserve">Retail Center / Strip</t>
  </si>
  <si>
    <t xml:space="preserve">No</t>
  </si>
  <si>
    <t xml:space="preserve">Office / Business Park</t>
  </si>
  <si>
    <t xml:space="preserve">Light Industrial / Flex</t>
  </si>
  <si>
    <t xml:space="preserve">Mixed-Use Pad / Vertical</t>
  </si>
  <si>
    <t xml:space="preserve">Gas / Convenience Store</t>
  </si>
  <si>
    <t xml:space="preserve">Large Travel Center (C-store)</t>
  </si>
  <si>
    <t xml:space="preserve">Fast Food / QSR</t>
  </si>
  <si>
    <t xml:space="preserve">Restaurant (Full-Service)</t>
  </si>
  <si>
    <t xml:space="preserve">Grocery / Supermarket</t>
  </si>
  <si>
    <t xml:space="preserve">Auto Parts / Service</t>
  </si>
  <si>
    <t xml:space="preserve">Car Wash</t>
  </si>
  <si>
    <t xml:space="preserve">Single-Family Subdivision</t>
  </si>
  <si>
    <t xml:space="preserve">Single-Family Urban / Patio</t>
  </si>
  <si>
    <t xml:space="preserve">Townhome / Condo</t>
  </si>
  <si>
    <t xml:space="preserve">Multifamily Apartments</t>
  </si>
  <si>
    <t xml:space="preserve">Hotel</t>
  </si>
  <si>
    <t xml:space="preserve">Manufacturing</t>
  </si>
  <si>
    <t xml:space="preserve">Industrial / Logistics</t>
  </si>
  <si>
    <t xml:space="preserve">Civic / Institutional</t>
  </si>
  <si>
    <t xml:space="preserve">Parks / Open Space</t>
  </si>
  <si>
    <t xml:space="preserve">Vacant / Holding Land</t>
  </si>
  <si>
    <t xml:space="preserve">Gross-up % adds non-lot land (streets, detention, open space) for infrastructure sizing only — value &amp; tax stay per-home. Sealy newer subdivisions (Westward Pointe / BSR): ~0.24-ac lots, ~50% gross-up (~2.6 homes per gross acre).</t>
  </si>
  <si>
    <t xml:space="preserve">3 · RESULTS   (live from your scenario — by horizon)</t>
  </si>
  <si>
    <t xml:space="preserve">5-Year</t>
  </si>
  <si>
    <t xml:space="preserve">10-Year</t>
  </si>
  <si>
    <t xml:space="preserve">15-Year</t>
  </si>
  <si>
    <t xml:space="preserve">20-Year</t>
  </si>
  <si>
    <t xml:space="preserve">30-Year</t>
  </si>
  <si>
    <t xml:space="preserve">1.5% sales-tax pool (the pie)</t>
  </si>
  <si>
    <t xml:space="preserve">→ City General Fund</t>
  </si>
  <si>
    <t xml:space="preserve">→ Sealy EDC (carve-out)</t>
  </si>
  <si>
    <t xml:space="preserve">→ ESD #2 share</t>
  </si>
  <si>
    <t xml:space="preserve">City NET fiscal position</t>
  </si>
  <si>
    <t xml:space="preserve">ESD #2 NET fiscal position</t>
  </si>
  <si>
    <t xml:space="preserve">Combined NET fiscal position</t>
  </si>
  <si>
    <t xml:space="preserve">4 · CAPITAL &amp; PROPERTY-TAX CONTEXT   (assumes full city funding)</t>
  </si>
  <si>
    <t xml:space="preserve">City property tax</t>
  </si>
  <si>
    <t xml:space="preserve">ESD #2 property tax</t>
  </si>
  <si>
    <t xml:space="preserve">Impact fees (one-time)</t>
  </si>
  <si>
    <t xml:space="preserve">City capital / debt service</t>
  </si>
  <si>
    <t xml:space="preserve">ESD capital / debt service</t>
  </si>
  <si>
    <t xml:space="preserve">INPUTS</t>
  </si>
  <si>
    <t xml:space="preserve">All user-editable assumptions  ·  edit the "Your input" column  ·  Section F holds the development scenarios</t>
  </si>
  <si>
    <t xml:space="preserve">Assumption</t>
  </si>
  <si>
    <t xml:space="preserve">Recommended</t>
  </si>
  <si>
    <t xml:space="preserve">Your input</t>
  </si>
  <si>
    <t xml:space="preserve">A. ALLOCATION &amp; TAX RATES</t>
  </si>
  <si>
    <t xml:space="preserve">City General Fund share of sales-tax pool</t>
  </si>
  <si>
    <t xml:space="preserve">(enter)</t>
  </si>
  <si>
    <t xml:space="preserve">EDC retention of sales tax (%)</t>
  </si>
  <si>
    <t xml:space="preserve">EDC basis:</t>
  </si>
  <si>
    <t xml:space="preserve">(1 = % of City share  |  2 = % of total 1.5% pool)</t>
  </si>
  <si>
    <t xml:space="preserve">ESD #2 share of sales-tax pool</t>
  </si>
  <si>
    <t xml:space="preserve">City property tax rate (per $1 AV)</t>
  </si>
  <si>
    <t xml:space="preserve">ESD #2 property tax rate (per $1 AV)</t>
  </si>
  <si>
    <t xml:space="preserve">B. GROWTH &amp; FINANCIAL</t>
  </si>
  <si>
    <t xml:space="preserve">Sealy current population</t>
  </si>
  <si>
    <t xml:space="preserve">Population CAGR</t>
  </si>
  <si>
    <t xml:space="preserve">Current annual sales-tax pool ($)</t>
  </si>
  <si>
    <t xml:space="preserve">Sales-tax pool CAGR</t>
  </si>
  <si>
    <t xml:space="preserve">Property AV growth CAGR</t>
  </si>
  <si>
    <t xml:space="preserve">Annexation capture rate</t>
  </si>
  <si>
    <t xml:space="preserve">General opex inflation CAGR</t>
  </si>
  <si>
    <t xml:space="preserve">Capital construction inflation CAGR</t>
  </si>
  <si>
    <t xml:space="preserve">City reserve % (opex+capital basis)</t>
  </si>
  <si>
    <t xml:space="preserve">ESD reserve % (opex+capital basis)</t>
  </si>
  <si>
    <t xml:space="preserve">Reserve basis includes capital? (1=Yes,0=No)</t>
  </si>
  <si>
    <t xml:space="preserve">Property tax collection rate</t>
  </si>
  <si>
    <t xml:space="preserve">C. RESIDENT ONLINE / DELIVERY USE-TAX</t>
  </si>
  <si>
    <t xml:space="preserve">SFR occupancy rate</t>
  </si>
  <si>
    <t xml:space="preserve">MFR occupancy rate</t>
  </si>
  <si>
    <t xml:space="preserve">SFR household size</t>
  </si>
  <si>
    <t xml:space="preserve">MFR household size</t>
  </si>
  <si>
    <t xml:space="preserve">Online spend per occupied household ($)</t>
  </si>
  <si>
    <t xml:space="preserve">Taxable share of online spending</t>
  </si>
  <si>
    <t xml:space="preserve">Local address capture factor</t>
  </si>
  <si>
    <t xml:space="preserve">Online spend growth (CAGR)</t>
  </si>
  <si>
    <t xml:space="preserve">Include online use-tax? (1=Yes,0=No)</t>
  </si>
  <si>
    <t xml:space="preserve">D. EXEMPTION ADJUSTMENT — effective taxable-value factor (edit % cells; factor = 1 − sum)</t>
  </si>
  <si>
    <t xml:space="preserve">Category</t>
  </si>
  <si>
    <t xml:space="preserve">Homestead%</t>
  </si>
  <si>
    <t xml:space="preserve">DisVet%</t>
  </si>
  <si>
    <t xml:space="preserve">Freeport%</t>
  </si>
  <si>
    <t xml:space="preserve">Pollution%</t>
  </si>
  <si>
    <t xml:space="preserve">Other%</t>
  </si>
  <si>
    <t xml:space="preserve">Haircut</t>
  </si>
  <si>
    <t xml:space="preserve">Factor</t>
  </si>
  <si>
    <t xml:space="preserve">ESD Hmstd%</t>
  </si>
  <si>
    <t xml:space="preserve">ESD Ov65%</t>
  </si>
  <si>
    <t xml:space="preserve">ESD DVet%</t>
  </si>
  <si>
    <t xml:space="preserve">ESD Free%</t>
  </si>
  <si>
    <t xml:space="preserve">ESD Poll%</t>
  </si>
  <si>
    <t xml:space="preserve">ESD Other%</t>
  </si>
  <si>
    <t xml:space="preserve">ESD Haircut</t>
  </si>
  <si>
    <t xml:space="preserve">ESD Factor</t>
  </si>
  <si>
    <t xml:space="preserve">Residential</t>
  </si>
  <si>
    <t xml:space="preserve">Commercial</t>
  </si>
  <si>
    <t xml:space="preserve">Industrial</t>
  </si>
  <si>
    <t xml:space="preserve">Civic</t>
  </si>
  <si>
    <t xml:space="preserve">Vacant</t>
  </si>
  <si>
    <t xml:space="preserve">Factors flow to Type coefficients → property tax. City of Sealy: no general homestead. ESD #2: 1% homestead. Confirm vs Austin CAD certified roll.</t>
  </si>
  <si>
    <t xml:space="preserve">E. DEVELOPMENT GEOMETRY &amp; INCENTIVES</t>
  </si>
  <si>
    <t xml:space="preserve">Floor-Area-Ratio (FAR) for sqft-entered projects</t>
  </si>
  <si>
    <t xml:space="preserve">New industrial tax abatement %</t>
  </si>
  <si>
    <t xml:space="preserve">Industrial abatement term (years)</t>
  </si>
  <si>
    <t xml:space="preserve">10 (max)</t>
  </si>
  <si>
    <t xml:space="preserve">Water + sewer impact fee per LUE ($)</t>
  </si>
  <si>
    <t xml:space="preserve">F. SCENARIO PROJECTS — set Active=Yes to include a project. Type &amp; Quantity Type are dropdowns. Manual Acres only to override the lookup.</t>
  </si>
  <si>
    <t xml:space="preserve">Quantity Type</t>
  </si>
  <si>
    <t xml:space="preserve">Manual Acres (opt.)</t>
  </si>
  <si>
    <t xml:space="preserve">Start Year</t>
  </si>
  <si>
    <t xml:space="preserve">Buildout Yrs</t>
  </si>
  <si>
    <t xml:space="preserve">Capture %</t>
  </si>
  <si>
    <t xml:space="preserve">Sales-tax driver?</t>
  </si>
  <si>
    <t xml:space="preserve">Lot size (acres/unit, opt.)</t>
  </si>
  <si>
    <t xml:space="preserve">CAPITAL ITEMS</t>
  </si>
  <si>
    <t xml:space="preserve">Infrastructure &amp; service capital (supporting detail)  ·  auto-sized by development  ·  feeds the Fiscal Context section of RESULTS</t>
  </si>
  <si>
    <t xml:space="preserve">Item</t>
  </si>
  <si>
    <t xml:space="preserve">Entity</t>
  </si>
  <si>
    <t xml:space="preserve">Driver (what triggers qty)</t>
  </si>
  <si>
    <t xml:space="preserve">Unit</t>
  </si>
  <si>
    <t xml:space="preserve">Typical factor</t>
  </si>
  <si>
    <t xml:space="preserve">5-year auto qty</t>
  </si>
  <si>
    <t xml:space="preserve">10-year auto qty</t>
  </si>
  <si>
    <t xml:space="preserve">15-year auto qty</t>
  </si>
  <si>
    <t xml:space="preserve">20-year auto qty</t>
  </si>
  <si>
    <t xml:space="preserve">30-year auto qty</t>
  </si>
  <si>
    <t xml:space="preserve">Manual qty +/-</t>
  </si>
  <si>
    <t xml:space="preserve">Cumulative quantity (at buildout)</t>
  </si>
  <si>
    <t xml:space="preserve">Unit cost ($)</t>
  </si>
  <si>
    <t xml:space="preserve">Unit cost override</t>
  </si>
  <si>
    <t xml:space="preserve">Manual Total Cost Override</t>
  </si>
  <si>
    <t xml:space="preserve">Total cost (today's $)</t>
  </si>
  <si>
    <t xml:space="preserve">Who pays</t>
  </si>
  <si>
    <t xml:space="preserve">Include in net?</t>
  </si>
  <si>
    <t xml:space="preserve">How it's paid</t>
  </si>
  <si>
    <t xml:space="preserve">Year incurred (build yr)</t>
  </si>
  <si>
    <t xml:space="preserve">Debt term (yrs)</t>
  </si>
  <si>
    <t xml:space="preserve">Debt rate</t>
  </si>
  <si>
    <t xml:space="preserve">Annual Debt Service</t>
  </si>
  <si>
    <t xml:space="preserve">City 5-year impact</t>
  </si>
  <si>
    <t xml:space="preserve">City 10-year impact</t>
  </si>
  <si>
    <t xml:space="preserve">City 15-year impact</t>
  </si>
  <si>
    <t xml:space="preserve">City 20-year impact</t>
  </si>
  <si>
    <t xml:space="preserve">City 30-year impact</t>
  </si>
  <si>
    <t xml:space="preserve">ESD 5-year impact</t>
  </si>
  <si>
    <t xml:space="preserve">ESD 10-year impact</t>
  </si>
  <si>
    <t xml:space="preserve">ESD 15-year impact</t>
  </si>
  <si>
    <t xml:space="preserve">ESD 20-year impact</t>
  </si>
  <si>
    <t xml:space="preserve">ESD 30-year impact</t>
  </si>
  <si>
    <t xml:space="preserve">Source / Note</t>
  </si>
  <si>
    <t xml:space="preserve">DS @5yr-qty</t>
  </si>
  <si>
    <t xml:space="preserve">DS @10yr-qty</t>
  </si>
  <si>
    <t xml:space="preserve">DS @15yr-qty</t>
  </si>
  <si>
    <t xml:space="preserve">DS @20yr-qty</t>
  </si>
  <si>
    <t xml:space="preserve">DS @30yr-qty</t>
  </si>
  <si>
    <t xml:space="preserve">12-inch water main, transmission</t>
  </si>
  <si>
    <t xml:space="preserve">City</t>
  </si>
  <si>
    <t xml:space="preserve">captured acres</t>
  </si>
  <si>
    <t xml:space="preserve">linear ft</t>
  </si>
  <si>
    <t xml:space="preserve">60 LF/ac</t>
  </si>
  <si>
    <t xml:space="preserve">Debt service</t>
  </si>
  <si>
    <t xml:space="preserve">Planning allowance for trunk/looping needs; engineer/Public Works validation required. | Takeoff factor: 60 LF per developed acre; confidence Low; validate w/ Engineer/Public Works.</t>
  </si>
  <si>
    <t xml:space="preserve">8-inch water main, distribution</t>
  </si>
  <si>
    <t xml:space="preserve">400 LF/ac</t>
  </si>
  <si>
    <t xml:space="preserve">Subdivision/internal water distribution planning allowance; actual plat should override. | Takeoff factor: 400 LF per developed acre; confidence Low; validate w/ Engineer/Public Works.</t>
  </si>
  <si>
    <t xml:space="preserve">Fire hydrants</t>
  </si>
  <si>
    <t xml:space="preserve">water distribution LF</t>
  </si>
  <si>
    <t xml:space="preserve">each</t>
  </si>
  <si>
    <t xml:space="preserve">hydrant spacing 500 LF</t>
  </si>
  <si>
    <t xml:space="preserve">Hydrant count from distribution LF / spacing; verify fire code and utility standards. | Takeoff factor: 500 LF between hydrants; confidence Medium; validate w/ Fire/Public Works.</t>
  </si>
  <si>
    <t xml:space="preserve">Water wells, 1,500 gpm</t>
  </si>
  <si>
    <t xml:space="preserve">water demand MGD</t>
  </si>
  <si>
    <t xml:space="preserve">threshold 0.50 MGD</t>
  </si>
  <si>
    <t xml:space="preserve">Demand-based planning trigger; validate with water master plan and TCEQ capacity review. | Takeoff factor: 0.5 MGD demand; confidence Low; validate w/ Engineer/Public Works.</t>
  </si>
  <si>
    <t xml:space="preserve">Gravity sewer main, 10-inch</t>
  </si>
  <si>
    <t xml:space="preserve">300 LF/ac</t>
  </si>
  <si>
    <t xml:space="preserve">Gravity sewer planning allowance; actual basin/topography should override. | Takeoff factor: 300 LF per developed acre; confidence Low; validate w/ Engineer/Public Works.</t>
  </si>
  <si>
    <t xml:space="preserve">Force main</t>
  </si>
  <si>
    <t xml:space="preserve">40 LF/ac</t>
  </si>
  <si>
    <t xml:space="preserve">Force-main planning allowance; actual need depends on lift-station/basin design. | Takeoff factor: 40 LF per developed acre; confidence Low; validate w/ Engineer/Public Works.</t>
  </si>
  <si>
    <t xml:space="preserve">Lift stations</t>
  </si>
  <si>
    <t xml:space="preserve">sewer demand MGD</t>
  </si>
  <si>
    <t xml:space="preserve">threshold 0.25 MGD</t>
  </si>
  <si>
    <t xml:space="preserve">Planning trigger only; topography and basin engineer review required. | Takeoff factor: 0.25 MGD; confidence Low; validate w/ Engineer/Public Works.</t>
  </si>
  <si>
    <t xml:space="preserve">WWTP expansion capacity</t>
  </si>
  <si>
    <t xml:space="preserve">MGD</t>
  </si>
  <si>
    <t xml:space="preserve">250 gpd/LUE</t>
  </si>
  <si>
    <t xml:space="preserve">Shows estimated sewer demand capacity exposure, not an engineering design directive. | Takeoff factor: 250 gpd per LUE; confidence Low; validate w/ Engineer/Public Works.</t>
  </si>
  <si>
    <t xml:space="preserve">Collector street</t>
  </si>
  <si>
    <t xml:space="preserve">lane-miles</t>
  </si>
  <si>
    <t xml:space="preserve">0.02 lane-mi/ac</t>
  </si>
  <si>
    <t xml:space="preserve">Thoroughfare planning allowance; actual route/section should override. | Takeoff factor: 0.02 lane-mile per developed acre; confidence Low; validate w/ Public Works/Engineer.</t>
  </si>
  <si>
    <t xml:space="preserve">Local street</t>
  </si>
  <si>
    <t xml:space="preserve">120 centerline LF/ac × 2 lanes</t>
  </si>
  <si>
    <t xml:space="preserve">Local street lane-mile takeoff; actual plat should override. | Takeoff factor: 120 centerline LF per developed acre; confidence Low; validate w/ Public Works/Engineer.</t>
  </si>
  <si>
    <t xml:space="preserve">Sidewalk / trail</t>
  </si>
  <si>
    <t xml:space="preserve">Planning benchmark; frontage/trail plans should override. | Takeoff factor: 300 LF per developed acre; confidence Low; validate w/ Planning/Public Works.</t>
  </si>
  <si>
    <t xml:space="preserve">Drainage / detention acreage</t>
  </si>
  <si>
    <t xml:space="preserve">acres</t>
  </si>
  <si>
    <t xml:space="preserve">0.10 ac/ac</t>
  </si>
  <si>
    <t xml:space="preserve">Drainage/detention planning share; drainage study should override. | Takeoff factor: 0.1 acres per developed acre; confidence Low; validate w/ Engineer/Public Works.</t>
  </si>
  <si>
    <t xml:space="preserve">Traffic signals</t>
  </si>
  <si>
    <t xml:space="preserve">commercial/industrial sqft</t>
  </si>
  <si>
    <t xml:space="preserve">threshold 150,000 sqft</t>
  </si>
  <si>
    <t xml:space="preserve">Planning trigger; traffic impact analysis should override. | Takeoff factor: 150000 commercial/industrial sqft; confidence Low; validate w/ Engineer/Public Works.</t>
  </si>
  <si>
    <t xml:space="preserve">Police FTEs (sworn)</t>
  </si>
  <si>
    <t xml:space="preserve">captured residents</t>
  </si>
  <si>
    <t xml:space="preserve">FTE</t>
  </si>
  <si>
    <t xml:space="preserve">2.0 FTE/1,000 residents</t>
  </si>
  <si>
    <t xml:space="preserve">Annual O&amp;M</t>
  </si>
  <si>
    <t xml:space="preserve">Planning benchmark only; workload-based police staffing should validate. | Takeoff factor: 2 FTE per 1,000 residents; confidence Low; validate w/ Police/HR.</t>
  </si>
  <si>
    <t xml:space="preserve">Police vehicles</t>
  </si>
  <si>
    <t xml:space="preserve">police FTE</t>
  </si>
  <si>
    <t xml:space="preserve">1 vehicle / 2 FTE</t>
  </si>
  <si>
    <t xml:space="preserve">Cash capital</t>
  </si>
  <si>
    <t xml:space="preserve">Planning fleet benchmark; police/fleet plan should validate. | Takeoff factor: 1 vehicle per 2 police FTE; confidence Low; validate w/ Police/Fleet.</t>
  </si>
  <si>
    <t xml:space="preserve">Park acreage</t>
  </si>
  <si>
    <t xml:space="preserve">5 ac/1,000 residents</t>
  </si>
  <si>
    <t xml:space="preserve">Local planning target, not an NRPA universal standard. | Takeoff factor: 5 acres per 1,000 residents; confidence Low; validate w/ Parks/Planning.</t>
  </si>
  <si>
    <t xml:space="preserve">Public works vehicles</t>
  </si>
  <si>
    <t xml:space="preserve">threshold 500 ac</t>
  </si>
  <si>
    <t xml:space="preserve">Fleet planning trigger; Public Works validation required.</t>
  </si>
  <si>
    <t xml:space="preserve">Fire stations</t>
  </si>
  <si>
    <t xml:space="preserve">ESD</t>
  </si>
  <si>
    <t xml:space="preserve">threshold 3,500 residents</t>
  </si>
  <si>
    <t xml:space="preserve">ESD fire/rescue and EMS-assist station trigger; call-volume validation required. | Takeoff factor: 3500 captured residents; confidence Low; validate w/ ESD #2.</t>
  </si>
  <si>
    <t xml:space="preserve">Engine companies (Type I pumper)</t>
  </si>
  <si>
    <t xml:space="preserve">threshold 7,000 residents</t>
  </si>
  <si>
    <t xml:space="preserve">Apparatus trigger; ESD capital plan should validate. | Takeoff factor: 7000 captured residents; confidence Low; validate w/ ESD #2.</t>
  </si>
  <si>
    <t xml:space="preserve">Ladder trucks / quints</t>
  </si>
  <si>
    <t xml:space="preserve">threshold 14,000 residents</t>
  </si>
  <si>
    <t xml:space="preserve">Apparatus trigger; may require manual override for tall/industrial risk. | Takeoff factor: 14000 captured residents; confidence Low; validate w/ ESD #2.</t>
  </si>
  <si>
    <t xml:space="preserve">Brush trucks</t>
  </si>
  <si>
    <t xml:space="preserve">threshold 1,500 ac</t>
  </si>
  <si>
    <t xml:space="preserve">Wildland/acreage exposure trigger; ESD validation required. | Takeoff factor: 1500 captured acres; confidence Low; validate w/ ESD #2.</t>
  </si>
  <si>
    <t xml:space="preserve">Command vehicles</t>
  </si>
  <si>
    <t xml:space="preserve">fire stations</t>
  </si>
  <si>
    <t xml:space="preserve">1 per station</t>
  </si>
  <si>
    <t xml:space="preserve">Command vehicle allowance tied to fire station trigger.</t>
  </si>
  <si>
    <t xml:space="preserve">SCBA / PPE sets</t>
  </si>
  <si>
    <t xml:space="preserve">firefighter FTE</t>
  </si>
  <si>
    <t xml:space="preserve">sets</t>
  </si>
  <si>
    <t xml:space="preserve">1 set/FTE</t>
  </si>
  <si>
    <t xml:space="preserve">Planning equipment allowance; validate with ESD equipment standards. | Takeoff factor: 1 set per FTE; confidence Low; validate w/ ESD #2.</t>
  </si>
  <si>
    <t xml:space="preserve">Firefighter / EMT FTEs</t>
  </si>
  <si>
    <t xml:space="preserve">1.0 FTE/1,000 residents</t>
  </si>
  <si>
    <t xml:space="preserve">Fire/rescue and EMS-assist staffing benchmark; not ambulance transport staffing. | Takeoff factor: 1 FTE per 1,000 residents; confidence Low; validate w/ ESD #2.</t>
  </si>
  <si>
    <t xml:space="preserve">Fire officer FTEs</t>
  </si>
  <si>
    <t xml:space="preserve">1 officer / 5 firefighter FTE</t>
  </si>
  <si>
    <t xml:space="preserve">Planning benchmark; validate with ESD staffing model. | Takeoff factor: 5 firefighter FTE per officer; confidence Low; validate w/ ESD #2.</t>
  </si>
  <si>
    <t xml:space="preserve">Custom infrastructure item 1 (e.g., electrical substation)</t>
  </si>
  <si>
    <t xml:space="preserve">manual/custom</t>
  </si>
  <si>
    <t xml:space="preserve">manual</t>
  </si>
  <si>
    <t xml:space="preserve">Unknown</t>
  </si>
  <si>
    <t xml:space="preserve">TBD</t>
  </si>
  <si>
    <t xml:space="preserve">Custom row. Enter manual quantity/cost, funding responsibility, timing, and include-in-net choice.</t>
  </si>
  <si>
    <t xml:space="preserve">Custom infrastructure item 2 (e.g., regional detention / off-site main)</t>
  </si>
  <si>
    <t xml:space="preserve">Custom row. Use for items not in standard library; initially excluded from fiscal net.</t>
  </si>
  <si>
    <t xml:space="preserve">Custom ESD / other item (e.g., radio system, special apparatus)</t>
  </si>
  <si>
    <t xml:space="preserve">Custom ESD/other row; validate with ESD capital plan or responsible entity.</t>
  </si>
  <si>
    <t xml:space="preserve">Totals / Fiscal-Net Inclusion Summary</t>
  </si>
  <si>
    <t xml:space="preserve">Included City fiscal-net impact by horizon</t>
  </si>
  <si>
    <t xml:space="preserve">Included ESD fiscal-net impact by horizon</t>
  </si>
  <si>
    <t xml:space="preserve">Note: Standard infrastructure rows are informational unless selected for fiscal inclusion. To incorporate an item into the overall fiscal model, set Include in Fiscal Net? to Yes, select City or ESD as Funding Responsibility, choose Cost Treatment, and verify Timing Year / debt inputs.</t>
  </si>
  <si>
    <t xml:space="preserve">RESULTS</t>
  </si>
  <si>
    <t xml:space="preserve">Sales tax (the ILA question) + fiscal context  ·  cumulative totals over each horizon for the Active scenarios</t>
  </si>
  <si>
    <t xml:space="preserve">Sales-tax split applied (from INPUTS):</t>
  </si>
  <si>
    <t xml:space="preserve">City GF</t>
  </si>
  <si>
    <t xml:space="preserve">Sealy EDC</t>
  </si>
  <si>
    <t xml:space="preserve">ESD #2</t>
  </si>
  <si>
    <t xml:space="preserve">(Split cells are blank until entered on INPUTS — City + ESD should total 100%.)</t>
  </si>
  <si>
    <t xml:space="preserve">SALES TAX — THE ILA QUESTION</t>
  </si>
  <si>
    <t xml:space="preserve">Metric</t>
  </si>
  <si>
    <t xml:space="preserve">Total taxable sales generated</t>
  </si>
  <si>
    <t xml:space="preserve">1.5% ILA sales-tax pool (the pie to split)</t>
  </si>
  <si>
    <t xml:space="preserve">   → City General Fund (net of EDC)</t>
  </si>
  <si>
    <t xml:space="preserve">   → Sealy EDC (carve-out)</t>
  </si>
  <si>
    <t xml:space="preserve">   → ESD #2 share</t>
  </si>
  <si>
    <t xml:space="preserve">FISCAL CONTEXT — broader development-feasibility (beyond the ILA sales-tax question)</t>
  </si>
  <si>
    <t xml:space="preserve">Capital/operating below assume full city-funded buildout of supporting infrastructure; the ILA concerns only the sales-tax pool above.</t>
  </si>
  <si>
    <t xml:space="preserve">City property tax (net of exemptions)</t>
  </si>
  <si>
    <t xml:space="preserve">ESD #2 property tax (net of exemptions)</t>
  </si>
  <si>
    <t xml:space="preserve">City operating cost</t>
  </si>
  <si>
    <t xml:space="preserve">City capital / debt service (infrastructure)</t>
  </si>
  <si>
    <t xml:space="preserve">ESD operating cost</t>
  </si>
  <si>
    <t xml:space="preserve">Source Log</t>
  </si>
  <si>
    <t xml:space="preserve">Input</t>
  </si>
  <si>
    <t xml:space="preserve">Value</t>
  </si>
  <si>
    <t xml:space="preserve">Source / Basis</t>
  </si>
  <si>
    <t xml:space="preserve">Confidence</t>
  </si>
  <si>
    <t xml:space="preserve">Last Verified</t>
  </si>
  <si>
    <t xml:space="preserve">Staff?</t>
  </si>
  <si>
    <t xml:space="preserve">City Attorney?</t>
  </si>
  <si>
    <t xml:space="preserve">Comptroller?</t>
  </si>
  <si>
    <t xml:space="preserve">Notes</t>
  </si>
  <si>
    <t xml:space="preserve">Pool rate (combined-area)</t>
  </si>
  <si>
    <t xml:space="preserve">Comptroller combined-area code 6008609 1.5%; 2.0% local cap</t>
  </si>
  <si>
    <t xml:space="preserve">High</t>
  </si>
  <si>
    <t xml:space="preserve">2026-05-14</t>
  </si>
  <si>
    <t xml:space="preserve">Tex Tax Code Ch. 321</t>
  </si>
  <si>
    <t xml:space="preserve">Sealy HB1378 §140.008 FY25 actual</t>
  </si>
  <si>
    <t xml:space="preserve">2026-05-14 (FY25 ACFR)</t>
  </si>
  <si>
    <t xml:space="preserve">Sealy HB1378 §140.008 FY25 (city-published). CROSS-VALIDATED via FY25 ACFR statistical section: 7,553 (2025), 7,243 (2024), 7,059 (2023), 6,839 (2022). Source: US Census ACS 5-yr.</t>
  </si>
  <si>
    <t xml:space="preserve">Sealy HB1378 5-yr actual 6,450 → 7,553</t>
  </si>
  <si>
    <t xml:space="preserve">Sealy HB1378 5-yr actual. CROSS-VALIDATED: FY25 ACFR 3-yr CAGR = (7,553/6,839)^(1/3)-1 = 3.36%. Model uses 3.2% — conservative.</t>
  </si>
  <si>
    <t xml:space="preserve">Current annual sales-tax pool</t>
  </si>
  <si>
    <t xml:space="preserve">FY26 Adopted Budget; cross-validated FY25 actual $4.0M (Comptroller 53-mo); FY26 YTD pacing</t>
  </si>
  <si>
    <t xml:space="preserve">FY26 Adopted Budget $3.7M. CROSS-VALIDATED: FY25 ACFR GF sales tax $2,756,699 (1.0% slice); implied 1.5% combined pool = $4.14M. Calendar 2025 Comptroller cash = $4.02M. Model conservative.</t>
  </si>
  <si>
    <t xml:space="preserve">Sealy 12-yr Comptroller actual (6.5% long-run); trailing 3-yr is 9.4%; March 2026 YoY +39%</t>
  </si>
  <si>
    <t xml:space="preserve">6.5% = long-run mean. STRESS: trailing 3-yr CAGR is 9.4%; March 2026 YoY +39% (manufacturing-driven). Use 9% high-case sensitivity if needed.</t>
  </si>
  <si>
    <t xml:space="preserve">City property tax rate</t>
  </si>
  <si>
    <t xml:space="preserve">Sealy FY26 Ord. 2025-24 $0.37731/$100</t>
  </si>
  <si>
    <t xml:space="preserve">Adopted</t>
  </si>
  <si>
    <t xml:space="preserve">ESD #2 ad valorem rate</t>
  </si>
  <si>
    <t xml:space="preserve">Current adopted ESD #2 rate: $0.09310/$100 (2026 tax year). FY25 ACFR statistical section confirms historical: 2025=$0.09578, 2024=$0.09480, 2023=$0.099558.</t>
  </si>
  <si>
    <t xml:space="preserve">2026-05-15</t>
  </si>
  <si>
    <t xml:space="preserve">$0.09310 = 2026 current adopted rate (SB625 2026 filing entered 2026-02-26; Retreat at Sealy 2026 tax statement Acct 13818001). FY25 ACFR statistical section p.144 confirms 2025=$0.09578, 2024=$0.09480, 2023=$0.099558. Verify locally before public reliance.</t>
  </si>
  <si>
    <t xml:space="preserve">Sealy impact fee per LUE</t>
  </si>
  <si>
    <t xml:space="preserve">$7,165</t>
  </si>
  <si>
    <t xml:space="preserve">Sealy 2018 Strand Impact Fee Study (water+sewer adopted)</t>
  </si>
  <si>
    <t xml:space="preserve">Adopted by Council 2018</t>
  </si>
  <si>
    <t xml:space="preserve">MFR AV per unit</t>
  </si>
  <si>
    <t xml:space="preserve">$80K/unit</t>
  </si>
  <si>
    <t xml:space="preserve">Retreat at Sealy actual ($19.89M/250u/11.3ac)</t>
  </si>
  <si>
    <t xml:space="preserve">Tax statement source</t>
  </si>
  <si>
    <t xml:space="preserve">Sealy FY26 fiscal-strength context</t>
  </si>
  <si>
    <t xml:space="preserve">403 operating days @ Mar 31, 2026</t>
  </si>
  <si>
    <t xml:space="preserve">5/19/2026 council packet Financial Report (Matura)</t>
  </si>
  <si>
    <t xml:space="preserve">City at 403 days operating reserve, up from 239 in Oct 2025. Revenue at 85.52% of FY26 budget at 50% of fiscal year. Property tax 104.57% collected, sales tax 99.68%. NEGOTIATION CONTEXT for ESD #2 ILA.</t>
  </si>
  <si>
    <t xml:space="preserve">Sealy FY25 GF revenue actual</t>
  </si>
  <si>
    <t xml:space="preserve">$10,300,940</t>
  </si>
  <si>
    <t xml:space="preserve">Sealy FY25 ACFR (acfr_fy2025.pdf, 185pp)</t>
  </si>
  <si>
    <t xml:space="preserve">Cross-validation input. FY26 budgeted GF revenue is conservative at approximately $8.9M (implied from 85.52% YTD).</t>
  </si>
  <si>
    <t xml:space="preserve">City PT rate FY25 vs FY26 trajectory</t>
  </si>
  <si>
    <t xml:space="preserve">FY26=$0.37731, FY25=$0.31091</t>
  </si>
  <si>
    <t xml:space="preserve">FY25 ACFR statistical section (FY25 op rate $0.196930 + debt service $0.11398)</t>
  </si>
  <si>
    <t xml:space="preserve">City PT rate rose 21% YoY (FY25→FY26) tied to new $20M CO issuance. Higher PT revenue strengthens city fiscal position; relevant negotiation context.</t>
  </si>
  <si>
    <t xml:space="preserve">Walmart taxpayer concentration risk</t>
  </si>
  <si>
    <t xml:space="preserve">$130.6M = 14.8% of city AV</t>
  </si>
  <si>
    <t xml:space="preserve">FY25 ACFR principal taxpayer list (Wal-Mart Stores East US07036 #2 $74.3M + Wal-Mart Transportation #5 $28.6M + Wal-Mart Stores East US07036 #6 $27.7M)</t>
  </si>
  <si>
    <t xml:space="preserve">Top 10 taxpayers = 43.89% of $783.9M total AV. Walmart entities alone = 14.8%. Sealy's tax base is concentrated; ILA terms should account for downside risk if Walmart DC contracts.</t>
  </si>
  <si>
    <t xml:space="preserve">Sealy FY25 total city AV</t>
  </si>
  <si>
    <t xml:space="preserve">$783,888,923</t>
  </si>
  <si>
    <t xml:space="preserve">FY25 ACFR statistical section</t>
  </si>
  <si>
    <t xml:space="preserve">Total city AV (governmental purposes). Stable around $780-800M last 4 years despite taxpayer churn (BAE left 2016-2025, Hailiang+Walmart+Gamechange added). AV per capita actually declined 2022-2025 due to population growth outpacing AV growth.</t>
  </si>
  <si>
    <t xml:space="preserve">Sealy FY25 debt issuance</t>
  </si>
  <si>
    <t xml:space="preserve">$20.7M (CO + premium)</t>
  </si>
  <si>
    <t xml:space="preserve">FY25 ACFR statistical section + debt service detail</t>
  </si>
  <si>
    <t xml:space="preserve">Sealy issued $19.91M in new COs + $807K premium = $20.72M proceeds in FY25. Drives the FY26 PT rate increase to $0.37731. Capital projects expanding — context for fiscal-strength position.</t>
  </si>
  <si>
    <t xml:space="preserve">Industrial AV per acre validation</t>
  </si>
  <si>
    <t xml:space="preserve">$750K/ac (model)</t>
  </si>
  <si>
    <t xml:space="preserve">Sika Corp FY25 ACFR: $18.72M / ~25ac developed = $749K/ac. Hailiang Copper $87.75M (#1 taxpayer).</t>
  </si>
  <si>
    <t xml:space="preserve">High (SOLID)</t>
  </si>
  <si>
    <t xml:space="preserve">Triple-validated: Sika exact match. Hailiang at $878K/ac (~100ac) is higher-end. Model assumption sits within observed range.</t>
  </si>
  <si>
    <t xml:space="preserve">MFR AV per unit validation</t>
  </si>
  <si>
    <t xml:space="preserve">$80K/unit (model)</t>
  </si>
  <si>
    <t xml:space="preserve">Retreat at Sealy FY25 ACFR: $19.3M / ~250 units = $77K/unit</t>
  </si>
  <si>
    <t xml:space="preserve">Within 4% of model assumption. Validated.</t>
  </si>
  <si>
    <t xml:space="preserve">EDC retention (carve-out)</t>
  </si>
  <si>
    <t xml:space="preserve">Tex LGC Ch. 505 Type B / Sealy EDC. 0% is a MODELED ASSUMPTION ONLY.</t>
  </si>
  <si>
    <t xml:space="preserve">Low</t>
  </si>
  <si>
    <t xml:space="preserve">Modeled assumption only; subject to City Attorney confirmation. Do NOT treat as legally resolved.</t>
  </si>
  <si>
    <t xml:space="preserve">Project capture rate</t>
  </si>
  <si>
    <t xml:space="preserve">Planning benchmark; per-project adjustable</t>
  </si>
  <si>
    <t xml:space="preserve">Per-project override</t>
  </si>
  <si>
    <t xml:space="preserve">City reserve %</t>
  </si>
  <si>
    <t xml:space="preserve">Planning benchmark; applied to City basis</t>
  </si>
  <si>
    <t xml:space="preserve">Adjust per policy</t>
  </si>
  <si>
    <t xml:space="preserve">ESD reserve %</t>
  </si>
  <si>
    <t xml:space="preserve">Planning benchmark; applied to ESD basis</t>
  </si>
  <si>
    <t xml:space="preserve">ESD-side</t>
  </si>
  <si>
    <t xml:space="preserve">Online spend per occupied household</t>
  </si>
  <si>
    <t xml:space="preserve">BASE $6,000/HH; Conservative $4K; High $8K</t>
  </si>
  <si>
    <t xml:space="preserve">Low-confidence planning assumption; sensitivity $4K-$8K</t>
  </si>
  <si>
    <t xml:space="preserve">Online taxable share</t>
  </si>
  <si>
    <t xml:space="preserve">Base-case assumption shown on Inputs Dashboard; depends on marketplace facilitator scope</t>
  </si>
  <si>
    <t xml:space="preserve">Low-confidence; depends on marketplace facilitator scope</t>
  </si>
  <si>
    <t xml:space="preserve">Online local capture factor</t>
  </si>
  <si>
    <t xml:space="preserve">BASE 75%; ship-to address mapping to combined area</t>
  </si>
  <si>
    <t xml:space="preserve">Low-confidence; depends on ship-to address accuracy</t>
  </si>
  <si>
    <t xml:space="preserve">Online spend growth rate</t>
  </si>
  <si>
    <t xml:space="preserve">Annual real growth 4%/yr</t>
  </si>
  <si>
    <t xml:space="preserve">Low-confidence forward projection</t>
  </si>
  <si>
    <t xml:space="preserve">Infrastructure takeoff factors</t>
  </si>
  <si>
    <t xml:space="preserve">See 12_Takeoff_Assumptions</t>
  </si>
  <si>
    <t xml:space="preserve">Planning benchmarks; not engineer-certified; informational unless linked</t>
  </si>
  <si>
    <t xml:space="preserve">Water/sewer/street/hydrant/park/police/ESD factors require Public Works, engineer, ESD, and staff validation before public reliance.</t>
  </si>
  <si>
    <t xml:space="preserve">Infrastructure takeoff costs</t>
  </si>
  <si>
    <t xml:space="preserve">Unit-cost planning allowances; not included in City/ESD NET unless explicitly linked</t>
  </si>
  <si>
    <t xml:space="preserve">Takeoff costs are displayed as informational physical exposure only to avoid double-counting with existing opex/capital logic.</t>
  </si>
  <si>
    <t xml:space="preserve">AV growth CAGR</t>
  </si>
  <si>
    <t xml:space="preserve">Sealy HB1378-derived; 5-yr was 7.3%</t>
  </si>
  <si>
    <t xml:space="preserve">Medium</t>
  </si>
  <si>
    <t xml:space="preserve">Forward assumption</t>
  </si>
  <si>
    <t xml:space="preserve">General opex inflation</t>
  </si>
  <si>
    <t xml:space="preserve">TML benchmark 2.5%</t>
  </si>
  <si>
    <t xml:space="preserve">Recurring</t>
  </si>
  <si>
    <t xml:space="preserve">Capital construction inflation</t>
  </si>
  <si>
    <t xml:space="preserve">Maxxbuilders TX 2024-2026 (3-6% range)</t>
  </si>
  <si>
    <t xml:space="preserve">NEW v3.4 lever</t>
  </si>
  <si>
    <t xml:space="preserve">Planning benchmark 95%</t>
  </si>
  <si>
    <t xml:space="preserve">Sealy SF benchmark</t>
  </si>
  <si>
    <t xml:space="preserve">MFR lease-up steady state 92%</t>
  </si>
  <si>
    <t xml:space="preserve">Retreat at Sealy</t>
  </si>
  <si>
    <t xml:space="preserve">Sealy SF benchmark 2.7</t>
  </si>
  <si>
    <t xml:space="preserve">Census-derived</t>
  </si>
  <si>
    <t xml:space="preserve">Retreat at Sealy 2.1</t>
  </si>
  <si>
    <t xml:space="preserve">MFR benchmark</t>
  </si>
  <si>
    <t xml:space="preserve">Industrial AV per acre</t>
  </si>
  <si>
    <t xml:space="preserve">$750K/ac</t>
  </si>
  <si>
    <t xml:space="preserve">Sika BPP / Hailiang Copper observed range</t>
  </si>
  <si>
    <t xml:space="preserve">Per spec cfe57b56 calibration</t>
  </si>
  <si>
    <t xml:space="preserve">City marginal opex per resident validation</t>
  </si>
  <si>
    <t xml:space="preserve">$680/resident SFR (model)</t>
  </si>
  <si>
    <t xml:space="preserve">FY25 ACFR departmental detail: scaling departments (Police $445/cap + Streets $83 + Parks $71 + Planning $69 + Building $43 + Court $45 + 50% of Capital $90) = $846/cap fully-loaded × 80% marginal = $677/cap</t>
  </si>
  <si>
    <t xml:space="preserve">Medium-High (SOLID-FY25)</t>
  </si>
  <si>
    <t xml:space="preserve">Validated within $3 of FY25 actual at 80% marginal share. Was 'peer-derived (Schertz/Pflugerville via Verdunity)' — now anchored to Sealy FY25 ACFR. Per-acre commercial/industrial opex still planning-level. PEER METHOD: ICMA/TischlerBise per-capita LOS approach; Enumclaw WA FTE-per-capita annexation modeling corroborate the per-resident cost driver.</t>
  </si>
  <si>
    <t xml:space="preserve">City General Fund share</t>
  </si>
  <si>
    <t xml:space="preserve">User-entered allocation percentage; no preferred split implied</t>
  </si>
  <si>
    <t xml:space="preserve">n/a</t>
  </si>
  <si>
    <t xml:space="preserve">Modeling assumption</t>
  </si>
  <si>
    <t xml:space="preserve">ESD share</t>
  </si>
  <si>
    <t xml:space="preserve">User-entered allocation percentage; City + ESD must equal 100%</t>
  </si>
  <si>
    <t xml:space="preserve">Reserve basis includes capital?</t>
  </si>
  <si>
    <t xml:space="preserve">Spec #13 Option B — (opex + capital) × pct</t>
  </si>
  <si>
    <t xml:space="preserve">Toggle</t>
  </si>
  <si>
    <t xml:space="preserve">Online use-tax toggle</t>
  </si>
  <si>
    <t xml:space="preserve">1=include / 0=exclude (Test 11/12)</t>
  </si>
  <si>
    <t xml:space="preserve">Sealy FY25 audit — material weakness</t>
  </si>
  <si>
    <t xml:space="preserve">Internal control over financial statement disclosure</t>
  </si>
  <si>
    <t xml:space="preserve">BrooksWatson &amp; Co. FY25 audit, March 28 2026 letter</t>
  </si>
  <si>
    <t xml:space="preserve">Common finding for cities of this size (Brooks Watson prepared draft + material adjustments). Not a fraud/loss finding. Doesn't change model inputs.</t>
  </si>
  <si>
    <t xml:space="preserve">ESD #2 ILA — active in negotiation</t>
  </si>
  <si>
    <t xml:space="preserve">Exec session item J.a on 5/19/2026 agenda</t>
  </si>
  <si>
    <t xml:space="preserve">5/19/2026 council packet, agenda item J.a (public)</t>
  </si>
  <si>
    <t xml:space="preserve">Active negotiation. Public agenda confirms ILA + Utility Billing + Lease are being discussed. Closed-session substance NOT in model.</t>
  </si>
  <si>
    <t xml:space="preserve">— External FIA peer validation (added v6.1, 2026-05-28; sources in 04_Research/FIA_External_Studies_2026-05-28) —</t>
  </si>
  <si>
    <t xml:space="preserve">Method validation — marginal/case-study</t>
  </si>
  <si>
    <t xml:space="preserve">v6 uses case-study/marginal-cost drivers (per-acre/resident/unit)</t>
  </si>
  <si>
    <t xml:space="preserve">TischlerBise specializes in case-study/marginal-cost over 1,000+ FIAs; ICMA MIS Report (Tischler) recommends it; Lincoln (Kotval-Mullin 2006) = 'classic marginal cost approach'</t>
  </si>
  <si>
    <t xml:space="preserve">Peer-sourced</t>
  </si>
  <si>
    <t xml:space="preserve">2026-05-28</t>
  </si>
  <si>
    <t xml:space="preserve">Rebuts 'black-box / non-standard method' criticism.</t>
  </si>
  <si>
    <t xml:space="preserve">Method validation — open spreadsheet</t>
  </si>
  <si>
    <t xml:space="preserve">v6 is open, unprotected Excel with visible formulas</t>
  </si>
  <si>
    <t xml:space="preserve">TischlerBise FISCALS: 'designed in a spreadsheet environment, without protected cells and formulas'</t>
  </si>
  <si>
    <t xml:space="preserve">Leading FIA firm builds models exactly this way.</t>
  </si>
  <si>
    <t xml:space="preserve">Structure — scenarios/cumulative/break-even/zones</t>
  </si>
  <si>
    <t xml:space="preserve">v6 scenario builder + 5/10/15/20/30-yr horizons + break-even + per-project rows</t>
  </si>
  <si>
    <t xml:space="preserve">TischlerBise Growth Alternatives (cumulative 10-20 yr); Bryan RELLIS (3 scenarios, 4 FAZs, break-even); Verdunity DFIA/LUFA (10-40 yr)</t>
  </si>
  <si>
    <t xml:space="preserve">v6 30-yr horizon within standard practice range.</t>
  </si>
  <si>
    <t xml:space="preserve">Per-acre / value-per-acre dimension</t>
  </si>
  <si>
    <t xml:space="preserve">v6 uses per-acre cost AND revenue, not per-capita only</t>
  </si>
  <si>
    <t xml:space="preserve">Lincoln: Heikkila-Davis (1997) &amp; Dekel (1995) - per-capita FIA misses spatial/density; Urban3 value/acre; Verdunity LUFA parcel rev/acre</t>
  </si>
  <si>
    <t xml:space="preserve">Academic basis for the per-acre approach.</t>
  </si>
  <si>
    <t xml:space="preserve">Result — residential net-negative</t>
  </si>
  <si>
    <t xml:space="preserve">v6: SFR net-negative for City &amp; ESD</t>
  </si>
  <si>
    <t xml:space="preserve">COCS 150+ studies/26 states/~40 yrs: residential ratio &gt;1.0; Chatham County NC 2025 residential $1.18/$1; Verdunity TX (sprawl SFR weakest per acre)</t>
  </si>
  <si>
    <t xml:space="preserve">COCS = existing pattern, not a forward projection (cite honestly).</t>
  </si>
  <si>
    <t xml:space="preserve">Result — commercial/industrial net-positive</t>
  </si>
  <si>
    <t xml:space="preserve">v6: retail/logistics/manufacturing net-positive</t>
  </si>
  <si>
    <t xml:space="preserve">COCS commercial/industrial ratio &lt;1.0; Chatham 2025 commercial $0.29/$1; Castle Pines 2026 commercial-positive; SGA ~10x rev/acre (advocacy, paired w/ Urban3)</t>
  </si>
  <si>
    <t xml:space="preserve">Matches v6 directional result.</t>
  </si>
  <si>
    <t xml:space="preserve">Compact-vs-sprawl infra savings</t>
  </si>
  <si>
    <t xml:space="preserve">Informational context (not a base-case input)</t>
  </si>
  <si>
    <t xml:space="preserve">SGA Building Better Budgets ~38% lower upfront infra (advocacy meta-finding) - PAIRED with Verdunity TX unfunded-street liabilities (neutral)</t>
  </si>
  <si>
    <t xml:space="preserve">Peer-sourced (advocacy, paired)</t>
  </si>
  <si>
    <t xml:space="preserve">Cite moderately; always pair w/ a neutral source.</t>
  </si>
  <si>
    <t xml:space="preserve">Peer unfunded street liabilities (TX)</t>
  </si>
  <si>
    <t xml:space="preserve">Pilot Point $52M; Crowley $127M; Bastrop $144M; Pflugerville $632M; New Braunfels $801M; Brownsville $1.3B</t>
  </si>
  <si>
    <t xml:space="preserve">Verdunity TX fiscal-analysis portfolio</t>
  </si>
  <si>
    <t xml:space="preserve">Neutral evidence that growth carries long-term infra liabilities.</t>
  </si>
  <si>
    <t xml:space="preserve">Triangulation defense</t>
  </si>
  <si>
    <t xml:space="preserve">3 independent methods converge</t>
  </si>
  <si>
    <t xml:space="preserve">Castle Pines CO Crowsnest 2026: city-staff + TischlerBise dept-level + THK cost-per-acre all net-positive (~$112M/20yr)</t>
  </si>
  <si>
    <t xml:space="preserve">Gold-standard defensibility: different methods, same direction.</t>
  </si>
  <si>
    <t xml:space="preserve">Macro fiscal context</t>
  </si>
  <si>
    <t xml:space="preserve">Public safety ~60% of GF; optimism 45% (was 64%)</t>
  </si>
  <si>
    <t xml:space="preserve">NLC City Fiscal Conditions 2025 (40th annual; 263 cities)</t>
  </si>
  <si>
    <t xml:space="preserve">Supports 'fire stays with ESD' frame + capture-favorable-terms-now.</t>
  </si>
  <si>
    <t xml:space="preserve">Legal mechanism — city/ESD sales-tax allocation</t>
  </si>
  <si>
    <t xml:space="preserve">ILA allocates the combined-area local sales tax</t>
  </si>
  <si>
    <t xml:space="preserve">TML Municipal Annexation in TX 2025: Tex. H&amp;S Code 775.0754 authorizes allocation agreement; first-in-time favors existing ESD; neither party compelled</t>
  </si>
  <si>
    <t xml:space="preserve">Confirms the SPA+ILA vehicle (Sec. 43.0751 SPA) the analysis assumes.</t>
  </si>
  <si>
    <t xml:space="preserve">Closest peer FIA — Bryan RELLIS</t>
  </si>
  <si>
    <t xml:space="preserve">Bryan TX annexation FIA adjacent to TX A&amp;M RELLIS</t>
  </si>
  <si>
    <t xml:space="preserve">TischlerBise (KendigKeast Team): 3 scenarios, 4 fiscal-analysis zones, cumulative net, break-even - structurally identical to v6</t>
  </si>
  <si>
    <t xml:space="preserve">Full report not public; TPIA deferred per Bobby (2026-05-28).</t>
  </si>
  <si>
    <t xml:space="preserve">SALES-TAX SOURCING (Texas Comptroller Pub. 94-105) — how each revenue line is sourced</t>
  </si>
  <si>
    <t xml:space="preserve">Retail / commercial at the site</t>
  </si>
  <si>
    <t xml:space="preserve">ORIGIN — local sales tax is consummated at the seller's place of business. An annexed retail center's tax flows to the Sealy/ESD combined-area pool (code 6008609) regardless of where shoppers live.</t>
  </si>
  <si>
    <t xml:space="preserve">A home generates NO sales tax itself. Resident in-store spending is origin-sourced to wherever the store is (leaks out unless they shop in Sealy). Only residents' online/delivery purchases shipped to the Sealy address generate local USE tax for Sealy — captured via the online use-tax line.</t>
  </si>
  <si>
    <t xml:space="preserve">Online / Amazon / marketplace</t>
  </si>
  <si>
    <t xml:space="preserve">DESTINATION (ship-to address). Marketplace providers (Amazon, eBay, Walmart Mktp, Etsy) and remote sellers source local tax to delivery address — not shipment origin, not manufacturer. Remote sellers may elect a single 1.75% local rate; marketplaces cannot.</t>
  </si>
  <si>
    <t xml:space="preserve">Manufacturing / distribution warehouse</t>
  </si>
  <si>
    <t xml:space="preserve">Generally LITTLE-TO-NO local sales tax. Manufacturers sell wholesale/for-resale (resale exemption) or ship interstate; a warehouse is explicitly NOT a 'place of business' (94-105), so shipping from it does not originate local tax. These are PROPERTY-TAX plays. Modeled at $0 sales by default; manual override only if a facility truly qualifies as an order-receipt place of business.</t>
  </si>
  <si>
    <t xml:space="preserve">Legal-uncertainty flag</t>
  </si>
  <si>
    <t xml:space="preserve">The in-state 'where an order is received' sourcing rule (Comptroller Rule 3.334) is under a court injunction (Dec 2024) and not being enforced — another reason to keep the online local-capture factor conservative.</t>
  </si>
  <si>
    <t xml:space="preserve">Combined area</t>
  </si>
  <si>
    <t xml:space="preserve">Sealy + ESD #2 sit in combined-area code 6008609; the Comptroller holds the rate at 2% and splits it between the two — this is the pool the model allocates.</t>
  </si>
  <si>
    <t xml:space="preserve">Peer-study benchmarks &amp; methodology validation: see companion v6.1 Peer-Calibration documentation (unhide via right-click).</t>
  </si>
  <si>
    <t xml:space="preserve">Scenario Builder — one row per project. Active rows feed model.</t>
  </si>
  <si>
    <t xml:space="preserve">#</t>
  </si>
  <si>
    <t xml:space="preserve">Project Name</t>
  </si>
  <si>
    <t xml:space="preserve">Acres/Unit (lookup)</t>
  </si>
  <si>
    <t xml:space="preserve">Manual Acres Override</t>
  </si>
  <si>
    <t xml:space="preserve">Final Acres</t>
  </si>
  <si>
    <t xml:space="preserve">Buildout Years</t>
  </si>
  <si>
    <t xml:space="preserve">Capture Rate</t>
  </si>
  <si>
    <t xml:space="preserve">Captured Acres</t>
  </si>
  <si>
    <t xml:space="preserve">AV basis (lookup)</t>
  </si>
  <si>
    <t xml:space="preserve">Manual AV Override</t>
  </si>
  <si>
    <t xml:space="preserve">Final AV ($)</t>
  </si>
  <si>
    <t xml:space="preserve">Sales basis (lookup)</t>
  </si>
  <si>
    <t xml:space="preserve">Manual Sales Override</t>
  </si>
  <si>
    <t xml:space="preserve">Final Annual Taxable Sales ($)</t>
  </si>
  <si>
    <t xml:space="preserve">Captured Building SqFt</t>
  </si>
  <si>
    <t xml:space="preserve">Captured Residential Units</t>
  </si>
  <si>
    <t xml:space="preserve">Captured Residents</t>
  </si>
  <si>
    <t xml:space="preserve">LUE Count</t>
  </si>
  <si>
    <t xml:space="preserve">Impact Fee/LUE ($)</t>
  </si>
  <si>
    <t xml:space="preserve">Manual Impact Fee Override</t>
  </si>
  <si>
    <t xml:space="preserve">Final Impact Fee ($)</t>
  </si>
  <si>
    <t xml:space="preserve">Manual City Opex Override (annual $)</t>
  </si>
  <si>
    <t xml:space="preserve">Manual ESD Opex Override (annual $)</t>
  </si>
  <si>
    <t xml:space="preserve">Notes / Source</t>
  </si>
  <si>
    <t xml:space="preserve">City Taxable AV ($)</t>
  </si>
  <si>
    <t xml:space="preserve">ESD Taxable AV ($)</t>
  </si>
  <si>
    <t xml:space="preserve">City Industrial Taxable AV ($)</t>
  </si>
  <si>
    <t xml:space="preserve">ESD Industrial Taxable AV ($)</t>
  </si>
  <si>
    <t xml:space="preserve">Annexed Acres</t>
  </si>
  <si>
    <t xml:space="preserve">Surplus Acres</t>
  </si>
  <si>
    <t xml:space="preserve">Surplus AV ($)</t>
  </si>
  <si>
    <t xml:space="preserve">Surplus City Tax AV</t>
  </si>
  <si>
    <t xml:space="preserve">Surplus ESD Tax AV</t>
  </si>
  <si>
    <t xml:space="preserve">Single-family subdivision — detached homes on standard lots.</t>
  </si>
  <si>
    <t xml:space="preserve">Single-family urban / patio — small-lot detached homes.</t>
  </si>
  <si>
    <t xml:space="preserve">Townhome / condo — attached for-sale residential.</t>
  </si>
  <si>
    <t xml:space="preserve">Multifamily apartments — rental units.</t>
  </si>
  <si>
    <t xml:space="preserve">Big-box / anchor retail — large-format store (e.g., Walmart-class).</t>
  </si>
  <si>
    <t xml:space="preserve">Retail center / strip — multi-tenant neighborhood retail.</t>
  </si>
  <si>
    <t xml:space="preserve">Office / business park — professional / office space.</t>
  </si>
  <si>
    <t xml:space="preserve">Hotel — limited- or full-service lodging.</t>
  </si>
  <si>
    <t xml:space="preserve">Manufacturing — production facility (e.g., Sika-class).</t>
  </si>
  <si>
    <t xml:space="preserve">Industrial / logistics — warehouse / distribution (DC-class).</t>
  </si>
  <si>
    <t xml:space="preserve">Light industrial / flex — flex / light-assembly space.</t>
  </si>
  <si>
    <t xml:space="preserve">Mixed-use pad / vertical — combined residential + commercial.</t>
  </si>
  <si>
    <t xml:space="preserve">Civic / institutional — public, school, or institutional use.</t>
  </si>
  <si>
    <t xml:space="preserve">Parks / open space — recreation / open land.</t>
  </si>
  <si>
    <t xml:space="preserve">Vacant / holding land — undeveloped.</t>
  </si>
  <si>
    <t xml:space="preserve">Gas / convenience store — fuel + c-store.</t>
  </si>
  <si>
    <t xml:space="preserve">Large travel center — highway truck-stop / travel center.</t>
  </si>
  <si>
    <t xml:space="preserve">Fast food / QSR — drive-thru quick-service restaurant.</t>
  </si>
  <si>
    <t xml:space="preserve">Restaurant — full-service dining.</t>
  </si>
  <si>
    <t xml:space="preserve">Grocery / supermarket — full-line grocer.</t>
  </si>
  <si>
    <t xml:space="preserve">Auto parts / service — parts retail or vehicle service.</t>
  </si>
  <si>
    <t xml:space="preserve">Car wash — express / automatic wash.</t>
  </si>
  <si>
    <t xml:space="preserve">Inputs Dashboard</t>
  </si>
  <si>
    <t xml:space="preserve">A. User-Selected Sales-Tax Allocation</t>
  </si>
  <si>
    <t xml:space="preserve">A. Sales-Tax Split  (City + ESD must sum to 100%; EDC carve-out comes from City share)</t>
  </si>
  <si>
    <t xml:space="preserve">City of Sealy General Fund share</t>
  </si>
  <si>
    <t xml:space="preserve">User input. No preferred split is implied.</t>
  </si>
  <si>
    <t xml:space="preserve">EDC retention % of City share (carve-out)</t>
  </si>
  <si>
    <t xml:space="preserve">MODELING ASSUMPTION — Subject to City Attorney confirmation. Tex LGC Ch. 505 Type B / Sealy EDC.</t>
  </si>
  <si>
    <t xml:space="preserve">ESD #2 share</t>
  </si>
  <si>
    <t xml:space="preserve">User input. City + ESD must equal 100%.</t>
  </si>
  <si>
    <t xml:space="preserve">Sum check (City + ESD)</t>
  </si>
  <si>
    <t xml:space="preserve">EDC basis (1=City share, 2=Total pool)</t>
  </si>
  <si>
    <t xml:space="preserve">B. Growth Drivers</t>
  </si>
  <si>
    <t xml:space="preserve">Sealy HB1378 §140.008 FY25 actual (city-published).</t>
  </si>
  <si>
    <t xml:space="preserve">Population CAGR (annual %)</t>
  </si>
  <si>
    <t xml:space="preserve">Sealy HB1378 5-yr actual 6,450 → 7,553. Used to inform residential growth phasing context.</t>
  </si>
  <si>
    <t xml:space="preserve">Sealy current annual sales-tax pool ($)</t>
  </si>
  <si>
    <t xml:space="preserve">Rounded FY26 Adopted Budget planning input.</t>
  </si>
  <si>
    <t xml:space="preserve">Sales-tax pool CAGR (annual %)</t>
  </si>
  <si>
    <t xml:space="preserve">Sealy 12-year Comptroller actual. Applied to current pool growth annuity.</t>
  </si>
  <si>
    <t xml:space="preserve">Property AV growth CAGR (annual %)</t>
  </si>
  <si>
    <t xml:space="preserve">Sealy HB1378-derived; 5-yr was 7.3% (conservative).</t>
  </si>
  <si>
    <t xml:space="preserve">Annexation capture rate (% of growth)</t>
  </si>
  <si>
    <t xml:space="preserve">Project-level capture rate; per-project adjustable in Scenario Builder.</t>
  </si>
  <si>
    <t xml:space="preserve">C. Other Levers</t>
  </si>
  <si>
    <t xml:space="preserve">Primary horizon (years)</t>
  </si>
  <si>
    <t xml:space="preserve">Reference only — model calculates all 5 horizons.</t>
  </si>
  <si>
    <t xml:space="preserve">Sales-tax pool rate (% of taxable sales)</t>
  </si>
  <si>
    <t xml:space="preserve">Normal 1.5% allocable pool rate (combined-area code 6008609). 2.0% absolute local-cap stress ceiling.</t>
  </si>
  <si>
    <t xml:space="preserve">Sealy FY26 Ord. 2025-24 ($0.37731/$100).</t>
  </si>
  <si>
    <t xml:space="preserve">ESD #2 ad valorem rate (per $1 AV)</t>
  </si>
  <si>
    <t xml:space="preserve">ESD #2 adopted ad valorem rate $0.09310/$100 (2026 tax year). Source: SB625 2026 filing + Retreat at Sealy 2026 tax statement; FY25 ACFR confirms 2025=$0.09578.</t>
  </si>
  <si>
    <t xml:space="preserve">TML benchmark; applied to recurring opex.</t>
  </si>
  <si>
    <t xml:space="preserve">Maxxbuilders TX 2024-2026 (3-6% range).</t>
  </si>
  <si>
    <t xml:space="preserve">City reserve % (of City opex + capital basis)</t>
  </si>
  <si>
    <t xml:space="preserve">Applied to City opex + City capital cost (see Section F option).</t>
  </si>
  <si>
    <t xml:space="preserve">ESD reserve % (of ESD opex + capital basis)</t>
  </si>
  <si>
    <t xml:space="preserve">Applied to ESD opex + ESD capital cost.</t>
  </si>
  <si>
    <t xml:space="preserve">Reserve basis includes capital? (1=Yes, 0=No)</t>
  </si>
  <si>
    <t xml:space="preserve">Per spec #13 — Option B: reserve = (opex + capital) × pct. Set 0 for opex-only.</t>
  </si>
  <si>
    <t xml:space="preserve">D. Resident Online / Delivery Local Use-Tax (household-based)</t>
  </si>
  <si>
    <t xml:space="preserve">Owner-occupied + tenant; planning benchmark.</t>
  </si>
  <si>
    <t xml:space="preserve">MFR lease-up steady state.</t>
  </si>
  <si>
    <t xml:space="preserve">Sealy SF household size benchmark.</t>
  </si>
  <si>
    <t xml:space="preserve">Retreat at Sealy MFR benchmark.</t>
  </si>
  <si>
    <t xml:space="preserve">BASE case ($6,000); Conservative $4,000; High $8,000. See sensitivity rows below.</t>
  </si>
  <si>
    <t xml:space="preserve">Base-case assumption shown in B35; conservative/high cases shown below. Marketplace facilitator + remote seller taxable scope.</t>
  </si>
  <si>
    <t xml:space="preserve">BASE 75%; Conservative 60%; High 90%. Share of taxable spend mapped to ship-to address in Sealy/ESD combined area.</t>
  </si>
  <si>
    <t xml:space="preserve">Online spend growth rate (CAGR)</t>
  </si>
  <si>
    <t xml:space="preserve">Annual real growth in online taxable spend per household.</t>
  </si>
  <si>
    <t xml:space="preserve">Include online use-tax in pool? (1=Yes, 0=No)</t>
  </si>
  <si>
    <t xml:space="preserve">Toggle for spec acceptance Test 11/12. 0 zeros the line out.</t>
  </si>
  <si>
    <t xml:space="preserve">Note: Actual online use-tax collections depend on marketplace collection, seller sourcing, ship-to address coding, remote-seller election rules, Comptroller allocation, and address accuracy. Planning estimate only.</t>
  </si>
  <si>
    <t xml:space="preserve">E. Online sensitivity reference (for stress testing — copy values into D row above)</t>
  </si>
  <si>
    <t xml:space="preserve">Case</t>
  </si>
  <si>
    <t xml:space="preserve">Spend/HH</t>
  </si>
  <si>
    <t xml:space="preserve">Taxable share</t>
  </si>
  <si>
    <t xml:space="preserve">Local capture</t>
  </si>
  <si>
    <t xml:space="preserve">Conservative</t>
  </si>
  <si>
    <t xml:space="preserve">Base case</t>
  </si>
  <si>
    <t xml:space="preserve">F. Property Tax Collection</t>
  </si>
  <si>
    <t xml:space="preserve">Property tax collection rate (levied vs collected)</t>
  </si>
  <si>
    <t xml:space="preserve">FY25 ACFR property tax collected ~104.6%; default 100% (1.0). Override to reflect uncollected share.</t>
  </si>
  <si>
    <t xml:space="preserve">Capital method (1 = Itemized Capital_Items [default], 2 = Trigger-based 05_Capital_Triggers)</t>
  </si>
  <si>
    <t xml:space="preserve">Type Name</t>
  </si>
  <si>
    <t xml:space="preserve">Typical Qty Type</t>
  </si>
  <si>
    <t xml:space="preserve">Typical Acres per Unit</t>
  </si>
  <si>
    <t xml:space="preserve">AV per Unit ($)</t>
  </si>
  <si>
    <t xml:space="preserve">AV per Acre ($)</t>
  </si>
  <si>
    <t xml:space="preserve">AV per Room ($)</t>
  </si>
  <si>
    <t xml:space="preserve">Taxable Sales per Unit ($)</t>
  </si>
  <si>
    <t xml:space="preserve">Taxable Sales per Acre ($)</t>
  </si>
  <si>
    <t xml:space="preserve">SqFt per Acre (FAR)</t>
  </si>
  <si>
    <t xml:space="preserve">LUE per Unit</t>
  </si>
  <si>
    <t xml:space="preserve">LUE per Acre</t>
  </si>
  <si>
    <t xml:space="preserve">LUE per 1k SqFt</t>
  </si>
  <si>
    <t xml:space="preserve">City Opex per Acre ($)</t>
  </si>
  <si>
    <t xml:space="preserve">City Opex per Resident ($)</t>
  </si>
  <si>
    <t xml:space="preserve">City Opex per SqFt ($)</t>
  </si>
  <si>
    <t xml:space="preserve">City Opex per Unit ($)</t>
  </si>
  <si>
    <t xml:space="preserve">ESD Opex per Acre ($)</t>
  </si>
  <si>
    <t xml:space="preserve">ESD Opex per Resident ($)</t>
  </si>
  <si>
    <t xml:space="preserve">ESD Opex per SqFt ($)</t>
  </si>
  <si>
    <t xml:space="preserve">ESD Opex per Unit ($)</t>
  </si>
  <si>
    <t xml:space="preserve">Residents per Unit</t>
  </si>
  <si>
    <t xml:space="preserve">AV Basis</t>
  </si>
  <si>
    <t xml:space="preserve">Sales Basis</t>
  </si>
  <si>
    <t xml:space="preserve">LUE Basis</t>
  </si>
  <si>
    <t xml:space="preserve">Source / Notes</t>
  </si>
  <si>
    <t xml:space="preserve">Tax Category</t>
  </si>
  <si>
    <t xml:space="preserve">City Taxable Factor</t>
  </si>
  <si>
    <t xml:space="preserve">ESD Taxable Factor</t>
  </si>
  <si>
    <t xml:space="preserve">lots</t>
  </si>
  <si>
    <t xml:space="preserve">per_unit</t>
  </si>
  <si>
    <t xml:space="preserve">per_resident</t>
  </si>
  <si>
    <t xml:space="preserve">Benchmark (peer-validated)</t>
  </si>
  <si>
    <t xml:space="preserve">New-construction AV/lot; Sealy SFR existing-stock ~$1.03M/ac (Regrid). COCS: residential is a net service drain (&gt;1.0 ratio) across 150+ studies.</t>
  </si>
  <si>
    <t xml:space="preserve">New-construction AV/lot benchmark; COCS residential-drain pattern.</t>
  </si>
  <si>
    <t xml:space="preserve">units</t>
  </si>
  <si>
    <t xml:space="preserve">Attached-product AV benchmark.</t>
  </si>
  <si>
    <t xml:space="preserve">High (Sealy actual)</t>
  </si>
  <si>
    <t xml:space="preserve">Retreat at Sealy FY25 ACFR: $19.3M / 250 units = $77K/unit (model $80K, within 4%).</t>
  </si>
  <si>
    <t xml:space="preserve">per_acre</t>
  </si>
  <si>
    <t xml:space="preserve">New big-box AV/ac &amp; ~$444/sf sales productivity; above Sealy existing commercial ($260K avg / $501K dense per-ac, Regrid). Urban3 value-per-acre + COCS commercial-surplus corroborate the per-acre revenue pattern.</t>
  </si>
  <si>
    <t xml:space="preserve">Multi-tenant retail benchmark; COCS commercial ratio ~0.29 (net gain).</t>
  </si>
  <si>
    <t xml:space="preserve">Office AV/ac planning benchmark.</t>
  </si>
  <si>
    <t xml:space="preserve">rooms</t>
  </si>
  <si>
    <t xml:space="preserve">per_room</t>
  </si>
  <si>
    <t xml:space="preserve">manual_only</t>
  </si>
  <si>
    <t xml:space="preserve">Select-service hotel AV/room benchmark; 2.0 ac/100-room site.</t>
  </si>
  <si>
    <t xml:space="preserve">Sika FY25 ACFR: $18.72M / ~25 ac = $749K/ac (model $750K, exact match). Hailiang ($165M) at higher end.</t>
  </si>
  <si>
    <t xml:space="preserve">Logistics/distribution AV/ac (Walmart DC peer comp); Sika $749K/ac as upper anchor.</t>
  </si>
  <si>
    <t xml:space="preserve">Flex/light-industrial AV/ac benchmark.</t>
  </si>
  <si>
    <t xml:space="preserve">Vertical mixed-use AV/ac; SGA/Urban3 compact-premium (revenue/ac highest on smallest parcels).</t>
  </si>
  <si>
    <t xml:space="preserve">exempt</t>
  </si>
  <si>
    <t xml:space="preserve">Placeholder (validate locally)</t>
  </si>
  <si>
    <t xml:space="preserve">Tax-exempt civic use; net service cost, no revenue.</t>
  </si>
  <si>
    <t xml:space="preserve">Non-revenue open space; COCS open land &lt;1.0 (net gain on low service need).</t>
  </si>
  <si>
    <t xml:space="preserve">Holding-land AV/ac placeholder.</t>
  </si>
  <si>
    <t xml:space="preserve">Fuel/C-store high sales-per-acre benchmark.</t>
  </si>
  <si>
    <t xml:space="preserve">Travel-center benchmark (I-10 corridor relevant).</t>
  </si>
  <si>
    <t xml:space="preserve">QSR pad-site sales-per-acre benchmark.</t>
  </si>
  <si>
    <t xml:space="preserve">Full-service restaurant benchmark.</t>
  </si>
  <si>
    <t xml:space="preserve">Grocery anchor sales-per-acre benchmark.</t>
  </si>
  <si>
    <t xml:space="preserve">Auto retail/service benchmark.</t>
  </si>
  <si>
    <t xml:space="preserve">Car-wash pad-site benchmark.</t>
  </si>
  <si>
    <t xml:space="preserve">Multi-Horizon Results — sums of annual rows (or endpoint for cumulative metrics)</t>
  </si>
  <si>
    <t xml:space="preserve">Annual captured acres (new delivery)</t>
  </si>
  <si>
    <t xml:space="preserve">Cumulative captured acres (endpoint)</t>
  </si>
  <si>
    <t xml:space="preserve">Annual new residents</t>
  </si>
  <si>
    <t xml:space="preserve">Cumulative residents (endpoint)</t>
  </si>
  <si>
    <t xml:space="preserve">Annual residential units</t>
  </si>
  <si>
    <t xml:space="preserve">Cumulative residential units (endpoint)</t>
  </si>
  <si>
    <t xml:space="preserve">Cumulative building sqft (endpoint)</t>
  </si>
  <si>
    <t xml:space="preserve">Cumulative AV (endpoint, no growth)</t>
  </si>
  <si>
    <t xml:space="preserve">Project taxable sales (sum)</t>
  </si>
  <si>
    <t xml:space="preserve">Resident online taxable sales (sum)</t>
  </si>
  <si>
    <t xml:space="preserve">Total taxable sales (sum)</t>
  </si>
  <si>
    <t xml:space="preserve">1.5% ILA sales-tax pool (sum)</t>
  </si>
  <si>
    <t xml:space="preserve">City gross sales-tax share (sum)</t>
  </si>
  <si>
    <t xml:space="preserve">EDC carve-out (sum)</t>
  </si>
  <si>
    <t xml:space="preserve">Net City General Fund sales-tax (sum)</t>
  </si>
  <si>
    <t xml:space="preserve">ESD sales-tax share (sum)</t>
  </si>
  <si>
    <t xml:space="preserve">City property tax (sum)</t>
  </si>
  <si>
    <t xml:space="preserve">ESD property tax (sum)</t>
  </si>
  <si>
    <t xml:space="preserve">Impact fees (sum)</t>
  </si>
  <si>
    <t xml:space="preserve">City operating cost (sum)</t>
  </si>
  <si>
    <t xml:space="preserve">City capital cost / debt service + included infrastructure adjustments</t>
  </si>
  <si>
    <t xml:space="preserve">City reserve (sum)</t>
  </si>
  <si>
    <t xml:space="preserve">ESD operating cost (sum)</t>
  </si>
  <si>
    <t xml:space="preserve">ESD capital cost / debt service + included infrastructure adjustments</t>
  </si>
  <si>
    <t xml:space="preserve">ESD reserve (sum)</t>
  </si>
  <si>
    <t xml:space="preserve">City NET</t>
  </si>
  <si>
    <t xml:space="preserve">ESD NET</t>
  </si>
  <si>
    <t xml:space="preserve">Combined NET</t>
  </si>
  <si>
    <t xml:space="preserve">Pool multiple required for City break-even</t>
  </si>
  <si>
    <t xml:space="preserve">Annual Calculations — Y1 through Y30 (aggregates active Scenario Builder projects)</t>
  </si>
  <si>
    <t xml:space="preserve">Y1</t>
  </si>
  <si>
    <t xml:space="preserve">Y2</t>
  </si>
  <si>
    <t xml:space="preserve">Y3</t>
  </si>
  <si>
    <t xml:space="preserve">Y4</t>
  </si>
  <si>
    <t xml:space="preserve">Y5</t>
  </si>
  <si>
    <t xml:space="preserve">Y6</t>
  </si>
  <si>
    <t xml:space="preserve">Y7</t>
  </si>
  <si>
    <t xml:space="preserve">Y8</t>
  </si>
  <si>
    <t xml:space="preserve">Y9</t>
  </si>
  <si>
    <t xml:space="preserve">Y10</t>
  </si>
  <si>
    <t xml:space="preserve">Y11</t>
  </si>
  <si>
    <t xml:space="preserve">Y12</t>
  </si>
  <si>
    <t xml:space="preserve">Y13</t>
  </si>
  <si>
    <t xml:space="preserve">Y14</t>
  </si>
  <si>
    <t xml:space="preserve">Y15</t>
  </si>
  <si>
    <t xml:space="preserve">Y16</t>
  </si>
  <si>
    <t xml:space="preserve">Y17</t>
  </si>
  <si>
    <t xml:space="preserve">Y18</t>
  </si>
  <si>
    <t xml:space="preserve">Y19</t>
  </si>
  <si>
    <t xml:space="preserve">Y20</t>
  </si>
  <si>
    <t xml:space="preserve">Y21</t>
  </si>
  <si>
    <t xml:space="preserve">Y22</t>
  </si>
  <si>
    <t xml:space="preserve">Y23</t>
  </si>
  <si>
    <t xml:space="preserve">Y24</t>
  </si>
  <si>
    <t xml:space="preserve">Y25</t>
  </si>
  <si>
    <t xml:space="preserve">Y26</t>
  </si>
  <si>
    <t xml:space="preserve">Y27</t>
  </si>
  <si>
    <t xml:space="preserve">Y28</t>
  </si>
  <si>
    <t xml:space="preserve">Y29</t>
  </si>
  <si>
    <t xml:space="preserve">Y30</t>
  </si>
  <si>
    <t xml:space="preserve">Cumulative captured acres (present)</t>
  </si>
  <si>
    <t xml:space="preserve">Annual new residents (new delivery)</t>
  </si>
  <si>
    <t xml:space="preserve">Cumulative residents (present)</t>
  </si>
  <si>
    <t xml:space="preserve">Annual residential units (new delivery)</t>
  </si>
  <si>
    <t xml:space="preserve">Cumulative residential units (present)</t>
  </si>
  <si>
    <t xml:space="preserve">Cumulative captured building sqft (present)</t>
  </si>
  <si>
    <t xml:space="preserve">Cumulative captured AV (present, no growth)</t>
  </si>
  <si>
    <t xml:space="preserve">Project annual taxable sales (origin)</t>
  </si>
  <si>
    <t xml:space="preserve">  └ Cumulative SFR units (present, residential-only)</t>
  </si>
  <si>
    <t xml:space="preserve">  └ Cumulative MFR units (present, residential-only)</t>
  </si>
  <si>
    <t xml:space="preserve">Resident online / delivery local taxable sales (present)</t>
  </si>
  <si>
    <t xml:space="preserve">Total annual taxable sales (project + online)</t>
  </si>
  <si>
    <t xml:space="preserve">Annual sales-tax pool (1.5% combined-area)</t>
  </si>
  <si>
    <t xml:space="preserve">City gross sales-tax share</t>
  </si>
  <si>
    <t xml:space="preserve">EDC carve-out (from City share)</t>
  </si>
  <si>
    <t xml:space="preserve">Net City General Fund sales-tax share</t>
  </si>
  <si>
    <t xml:space="preserve">ESD #2 sales-tax share</t>
  </si>
  <si>
    <t xml:space="preserve">City property tax (annual)</t>
  </si>
  <si>
    <t xml:space="preserve">ESD property tax (annual)</t>
  </si>
  <si>
    <t xml:space="preserve">Impact fees (annual, one-time × APF)</t>
  </si>
  <si>
    <t xml:space="preserve">City operating cost (annual, multi-driver)</t>
  </si>
  <si>
    <t xml:space="preserve">ESD operating cost (annual, multi-driver)</t>
  </si>
  <si>
    <t xml:space="preserve">City capital cost / debt service (annual)</t>
  </si>
  <si>
    <t xml:space="preserve">ESD capital cost / debt service (annual)</t>
  </si>
  <si>
    <t xml:space="preserve">City reserve (annual)</t>
  </si>
  <si>
    <t xml:space="preserve">ESD reserve (annual)</t>
  </si>
  <si>
    <t xml:space="preserve">City annual NET</t>
  </si>
  <si>
    <t xml:space="preserve">ESD annual NET</t>
  </si>
  <si>
    <t xml:space="preserve">Combined annual NET</t>
  </si>
  <si>
    <t xml:space="preserve">Cumulative City-taxable AV (present, after exemptions)</t>
  </si>
  <si>
    <t xml:space="preserve">Cumulative ESD-taxable AV (present, after exemptions)</t>
  </si>
  <si>
    <t xml:space="preserve">Gross City property tax (pre-exemption, raw AV)</t>
  </si>
  <si>
    <t xml:space="preserve">Gross ESD property tax (pre-exemption, raw AV)</t>
  </si>
  <si>
    <t xml:space="preserve">Cumulative City INDUSTRIAL taxable AV (abatement base)</t>
  </si>
  <si>
    <t xml:space="preserve">Cumulative ESD INDUSTRIAL taxable AV (abatement base)</t>
  </si>
  <si>
    <t xml:space="preserve">Capital Triggers — hybrid: endpoint headline + annual deltas (per spec #12)</t>
  </si>
  <si>
    <t xml:space="preserve">Manual Qty Override in column E now flows into the annual capital schedule. If entered, it replaces the auto-triggered quantity for that item and is booked as a Year 1 capital step; leave blank for auto annual trigger logic.</t>
  </si>
  <si>
    <t xml:space="preserve">Driver</t>
  </si>
  <si>
    <t xml:space="preserve">Threshold</t>
  </si>
  <si>
    <t xml:space="preserve">Unit Cost ($, today)</t>
  </si>
  <si>
    <t xml:space="preserve">Manual Qty Override</t>
  </si>
  <si>
    <t xml:space="preserve">Y30 Endpoint Metric</t>
  </si>
  <si>
    <t xml:space="preserve">Required Qty (INT)</t>
  </si>
  <si>
    <t xml:space="preserve">Total Cost ($, inflated)</t>
  </si>
  <si>
    <t xml:space="preserve">Side (City/ESD)</t>
  </si>
  <si>
    <t xml:space="preserve">Fire station</t>
  </si>
  <si>
    <t xml:space="preserve">Cumulative residents</t>
  </si>
  <si>
    <t xml:space="preserve">Endpoint Y30 / threshold; per spec #12</t>
  </si>
  <si>
    <t xml:space="preserve">Fire engine (pumper)</t>
  </si>
  <si>
    <t xml:space="preserve">Apparatus uplift</t>
  </si>
  <si>
    <t xml:space="preserve">Ladder truck</t>
  </si>
  <si>
    <t xml:space="preserve">Mid/large facility</t>
  </si>
  <si>
    <t xml:space="preserve">Brush truck</t>
  </si>
  <si>
    <t xml:space="preserve">Cumulative captured acres</t>
  </si>
  <si>
    <t xml:space="preserve">Per 1,500 ac added</t>
  </si>
  <si>
    <t xml:space="preserve">Patrol officer (1 FTE)</t>
  </si>
  <si>
    <t xml:space="preserve">City patrol staffing</t>
  </si>
  <si>
    <t xml:space="preserve">Patrol vehicle</t>
  </si>
  <si>
    <t xml:space="preserve">Sedan + equip</t>
  </si>
  <si>
    <t xml:space="preserve">Lane-mile improvement</t>
  </si>
  <si>
    <t xml:space="preserve">Arterial widening / repair</t>
  </si>
  <si>
    <t xml:space="preserve">Water/sewer extension</t>
  </si>
  <si>
    <t xml:space="preserve">Per 200 ac developed</t>
  </si>
  <si>
    <t xml:space="preserve">Park development</t>
  </si>
  <si>
    <t xml:space="preserve">Per 1,500 residents (NRPA local target)</t>
  </si>
  <si>
    <t xml:space="preserve">Public works equipment</t>
  </si>
  <si>
    <t xml:space="preserve">Per 500 ac</t>
  </si>
  <si>
    <t xml:space="preserve">Total City capital (Y30 endpoint headline)</t>
  </si>
  <si>
    <t xml:space="preserve">Total ESD capital (Y30 endpoint headline)</t>
  </si>
  <si>
    <t xml:space="preserve">Manual Qty Override note: entering a number in E4:E13 replaces the auto trigger for that item and books that quantity as a Year 1 capital step, which flows through Annual Calculations and Multi-Horizon Results.</t>
  </si>
  <si>
    <t xml:space="preserve">ANNUAL CAPITAL TRIGGER DETAIL (Y1..Y30)</t>
  </si>
  <si>
    <t xml:space="preserve">City Capital ($)</t>
  </si>
  <si>
    <t xml:space="preserve">ESD Capital ($)</t>
  </si>
  <si>
    <t xml:space="preserve">(detail per-item to right)</t>
  </si>
  <si>
    <t xml:space="preserve">Phase Factors — CPF (rows 4-28) + APF (rows 30-54). Helper for Annual Calculations.</t>
  </si>
  <si>
    <t xml:space="preserve">CPF — Cumulative Phase Factor</t>
  </si>
  <si>
    <t xml:space="preserve">Project #</t>
  </si>
  <si>
    <t xml:space="preserve">Block</t>
  </si>
  <si>
    <t xml:space="preserve">c_opex_ac</t>
  </si>
  <si>
    <t xml:space="preserve">c_opex_res</t>
  </si>
  <si>
    <t xml:space="preserve">c_opex_sf</t>
  </si>
  <si>
    <t xml:space="preserve">c_opex_unit</t>
  </si>
  <si>
    <t xml:space="preserve">e_opex_ac</t>
  </si>
  <si>
    <t xml:space="preserve">e_opex_res</t>
  </si>
  <si>
    <t xml:space="preserve">e_opex_sf</t>
  </si>
  <si>
    <t xml:space="preserve">e_opex_unit</t>
  </si>
  <si>
    <t xml:space="preserve">CPF</t>
  </si>
  <si>
    <t xml:space="preserve">APF — Annual Phase Factor (incremental = cumulative this year − cumulative prior year)</t>
  </si>
  <si>
    <t xml:space="preserve">APF</t>
  </si>
  <si>
    <t xml:space="preserve">SALES COMPLETION FACTOR — 1 once buildout complete (drives sales-start timing; consumed by 04_Annual r12)</t>
  </si>
  <si>
    <t xml:space="preserve">Assumption / factor</t>
  </si>
  <si>
    <t xml:space="preserve">Typical value</t>
  </si>
  <si>
    <t xml:space="preserve">Used for</t>
  </si>
  <si>
    <t xml:space="preserve">Source / note</t>
  </si>
  <si>
    <t xml:space="preserve">Validation required</t>
  </si>
  <si>
    <t xml:space="preserve">Override location</t>
  </si>
  <si>
    <t xml:space="preserve">Water distribution main density</t>
  </si>
  <si>
    <t xml:space="preserve">LF per developed acre</t>
  </si>
  <si>
    <t xml:space="preserve">8-inch distribution main</t>
  </si>
  <si>
    <t xml:space="preserve">Planning benchmark; should be replaced by engineer takeoff for actual plats.</t>
  </si>
  <si>
    <t xml:space="preserve">Engineer/Public Works</t>
  </si>
  <si>
    <t xml:space="preserve">Manual override on Capital_Items / 12_Takeoff_Assumptions</t>
  </si>
  <si>
    <t xml:space="preserve">Water transmission main density</t>
  </si>
  <si>
    <t xml:space="preserve">12-inch transmission main allowance</t>
  </si>
  <si>
    <t xml:space="preserve">Planning allowance for trunk/looping needs; actual need depends on utility master plan.</t>
  </si>
  <si>
    <t xml:space="preserve">Gravity sewer main density</t>
  </si>
  <si>
    <t xml:space="preserve">10-inch gravity sewer main</t>
  </si>
  <si>
    <t xml:space="preserve">Planning benchmark; actual need depends on basin/topography.</t>
  </si>
  <si>
    <t xml:space="preserve">Force main density</t>
  </si>
  <si>
    <t xml:space="preserve">Force main allowance</t>
  </si>
  <si>
    <t xml:space="preserve">Planning allowance; actual need depends on lift-station/sewer-basin design.</t>
  </si>
  <si>
    <t xml:space="preserve">Local street centerline density</t>
  </si>
  <si>
    <t xml:space="preserve">centerline LF per developed acre</t>
  </si>
  <si>
    <t xml:space="preserve">Local street lane-mile takeoff</t>
  </si>
  <si>
    <t xml:space="preserve">Planning benchmark for subdivision/internal streets; site-specific plat should override.</t>
  </si>
  <si>
    <t xml:space="preserve">Public Works/Engineer</t>
  </si>
  <si>
    <t xml:space="preserve">Collector street lane-mile density</t>
  </si>
  <si>
    <t xml:space="preserve">lane-mile per developed acre</t>
  </si>
  <si>
    <t xml:space="preserve">Collector street allowance</t>
  </si>
  <si>
    <t xml:space="preserve">Planning benchmark; actual collector need depends on thoroughfare plan.</t>
  </si>
  <si>
    <t xml:space="preserve">Local street lane count</t>
  </si>
  <si>
    <t xml:space="preserve">lanes</t>
  </si>
  <si>
    <t xml:space="preserve">Centerline-to-lane-mile calculation</t>
  </si>
  <si>
    <t xml:space="preserve">Standard 2-lane local street assumption for planning.</t>
  </si>
  <si>
    <t xml:space="preserve">Public Works</t>
  </si>
  <si>
    <t xml:space="preserve">Takeoff formula</t>
  </si>
  <si>
    <t xml:space="preserve">Fire hydrant spacing</t>
  </si>
  <si>
    <t xml:space="preserve">LF between hydrants</t>
  </si>
  <si>
    <t xml:space="preserve">Hydrant count</t>
  </si>
  <si>
    <t xml:space="preserve">Planning benchmark; verify against fire code and utility standards.</t>
  </si>
  <si>
    <t xml:space="preserve">Fire/Public Works</t>
  </si>
  <si>
    <t xml:space="preserve">Park acreage target</t>
  </si>
  <si>
    <t xml:space="preserve">acres per 1,000 residents</t>
  </si>
  <si>
    <t xml:space="preserve">Park acreage takeoff</t>
  </si>
  <si>
    <t xml:space="preserve">Local planning target; not an NRPA universal standard.</t>
  </si>
  <si>
    <t xml:space="preserve">Parks/Planning</t>
  </si>
  <si>
    <t xml:space="preserve">Police staffing planning benchmark</t>
  </si>
  <si>
    <t xml:space="preserve">FTE per 1,000 residents</t>
  </si>
  <si>
    <t xml:space="preserve">Police FTE planning need</t>
  </si>
  <si>
    <t xml:space="preserve">Planning benchmark only; workload-based analysis should validate.</t>
  </si>
  <si>
    <t xml:space="preserve">Police/HR</t>
  </si>
  <si>
    <t xml:space="preserve">Police vehicle benchmark</t>
  </si>
  <si>
    <t xml:space="preserve">vehicle per 2 police FTE</t>
  </si>
  <si>
    <t xml:space="preserve">Police vehicle need</t>
  </si>
  <si>
    <t xml:space="preserve">Planning benchmark for take-home/patrol/equipment needs.</t>
  </si>
  <si>
    <t xml:space="preserve">Police/Fleet</t>
  </si>
  <si>
    <t xml:space="preserve">Water demand per LUE</t>
  </si>
  <si>
    <t xml:space="preserve">gpd per LUE</t>
  </si>
  <si>
    <t xml:space="preserve">Water demand / well trigger</t>
  </si>
  <si>
    <t xml:space="preserve">Planning benchmark; replace with utility master plan demand factors.</t>
  </si>
  <si>
    <t xml:space="preserve">Sewer demand per LUE</t>
  </si>
  <si>
    <t xml:space="preserve">Sewer demand / WWTP trigger</t>
  </si>
  <si>
    <t xml:space="preserve">Lift-station threshold</t>
  </si>
  <si>
    <t xml:space="preserve">Lift station trigger</t>
  </si>
  <si>
    <t xml:space="preserve">Planning trigger only; actual lift-station need depends on topography/basin.</t>
  </si>
  <si>
    <t xml:space="preserve">Water well threshold</t>
  </si>
  <si>
    <t xml:space="preserve">MGD demand</t>
  </si>
  <si>
    <t xml:space="preserve">Water well trigger</t>
  </si>
  <si>
    <t xml:space="preserve">Planning trigger only; verify with water master plan and TCEQ capacity.</t>
  </si>
  <si>
    <t xml:space="preserve">Public works vehicle threshold</t>
  </si>
  <si>
    <t xml:space="preserve">developed acres</t>
  </si>
  <si>
    <t xml:space="preserve">Public works vehicle trigger</t>
  </si>
  <si>
    <t xml:space="preserve">Planning trigger; fleet plan should validate.</t>
  </si>
  <si>
    <t xml:space="preserve">Public Works/Fleet</t>
  </si>
  <si>
    <t xml:space="preserve">ESD fire-station threshold</t>
  </si>
  <si>
    <t xml:space="preserve">ESD station trigger</t>
  </si>
  <si>
    <t xml:space="preserve">Planning trigger; validate with ESD call volume, ISO, response time, station plan.</t>
  </si>
  <si>
    <t xml:space="preserve">ESD pumper threshold</t>
  </si>
  <si>
    <t xml:space="preserve">Engine/pumper trigger</t>
  </si>
  <si>
    <t xml:space="preserve">Planning trigger; validate against ESD apparatus plan.</t>
  </si>
  <si>
    <t xml:space="preserve">ESD ladder/quint threshold</t>
  </si>
  <si>
    <t xml:space="preserve">Ladder/quint trigger</t>
  </si>
  <si>
    <t xml:space="preserve">Planning trigger; industrial/high-risk development may justify manual override.</t>
  </si>
  <si>
    <t xml:space="preserve">ESD brush-truck threshold</t>
  </si>
  <si>
    <t xml:space="preserve">Brush truck trigger</t>
  </si>
  <si>
    <t xml:space="preserve">Planning trigger; depends on vegetation/wildland exposure.</t>
  </si>
  <si>
    <t xml:space="preserve">Firefighter staffing benchmark</t>
  </si>
  <si>
    <t xml:space="preserve">Firefighter/EMT planning need</t>
  </si>
  <si>
    <t xml:space="preserve">Fire/rescue and EMS-assist benchmark only; Austin County EMS ambulance transport is separate.</t>
  </si>
  <si>
    <t xml:space="preserve">Fire officer ratio</t>
  </si>
  <si>
    <t xml:space="preserve">firefighter FTE per officer</t>
  </si>
  <si>
    <t xml:space="preserve">Fire officer planning need</t>
  </si>
  <si>
    <t xml:space="preserve">Planning benchmark: one fire officer per five firefighter FTE; validate with ESD staffing model.</t>
  </si>
  <si>
    <t xml:space="preserve">Sidewalk / trail density</t>
  </si>
  <si>
    <t xml:space="preserve">Sidewalk/trail takeoff</t>
  </si>
  <si>
    <t xml:space="preserve">Planning benchmark; actual frontage/sidewalk requirements depend on plat and street standards.</t>
  </si>
  <si>
    <t xml:space="preserve">Planning/Public Works</t>
  </si>
  <si>
    <t xml:space="preserve">Drainage / detention share</t>
  </si>
  <si>
    <t xml:space="preserve">acres per developed acre</t>
  </si>
  <si>
    <t xml:space="preserve">Drainage/detention acreage</t>
  </si>
  <si>
    <t xml:space="preserve">Planning benchmark; drainage design and floodplain constraints should override.</t>
  </si>
  <si>
    <t xml:space="preserve">Traffic signal threshold</t>
  </si>
  <si>
    <t xml:space="preserve">Traffic signal trigger</t>
  </si>
  <si>
    <t xml:space="preserve">Planning trigger; traffic impact analysis should override.</t>
  </si>
  <si>
    <t xml:space="preserve">SCBA / PPE per firefighter FTE</t>
  </si>
  <si>
    <t xml:space="preserve">set per FTE</t>
  </si>
  <si>
    <t xml:space="preserve">ESD PPE/SCBA takeoff</t>
  </si>
  <si>
    <t xml:space="preserve">Planning benchmark; validate with ESD equipment plan.</t>
  </si>
  <si>
    <t xml:space="preserve">SOURCES &amp; ASSUMPTIONS</t>
  </si>
  <si>
    <t xml:space="preserve">Verification register  ·  each input tagged Verified / Benchmark / Placeholder</t>
  </si>
  <si>
    <t xml:space="preserve">Model value</t>
  </si>
  <si>
    <t xml:space="preserve">Cell / ref</t>
  </si>
  <si>
    <t xml:space="preserve">Source / basis</t>
  </si>
  <si>
    <t xml:space="preserve">Status</t>
  </si>
  <si>
    <t xml:space="preserve">A. SEALY-LOCAL INPUTS  (verified — official documents)</t>
  </si>
  <si>
    <t xml:space="preserve">City property-tax rate</t>
  </si>
  <si>
    <t xml:space="preserve">$0.37731/$100</t>
  </si>
  <si>
    <t xml:space="preserve">INPUTS!D10</t>
  </si>
  <si>
    <t xml:space="preserve">City of Sealy FY2026 adopted rate, Ord. 2025-24 (M&amp;O $0.20102 + I&amp;S $0.17629).</t>
  </si>
  <si>
    <t xml:space="preserve">Verified</t>
  </si>
  <si>
    <t xml:space="preserve">$0.0931/$100</t>
  </si>
  <si>
    <t xml:space="preserve">INPUTS!D11</t>
  </si>
  <si>
    <t xml:space="preserve">Austin County ESD #2 adopted ad valorem rate.</t>
  </si>
  <si>
    <t xml:space="preserve">Sales-tax pool rate (1.5%)</t>
  </si>
  <si>
    <t xml:space="preserve">1.5%</t>
  </si>
  <si>
    <t xml:space="preserve">INPUTS!D9</t>
  </si>
  <si>
    <t xml:space="preserve">1.0% city general (Tax Code ch. 321) + 0.5% SEDC Type B (Ord. 97-17); 2% local cap.</t>
  </si>
  <si>
    <t xml:space="preserve">City EDC half-cent (0.5%)</t>
  </si>
  <si>
    <t xml:space="preserve">carve-out</t>
  </si>
  <si>
    <t xml:space="preserve">INPUTS!D7</t>
  </si>
  <si>
    <t xml:space="preserve">Sealy EDC Type B half-cent (Ord. 97-17); confirmed in SEDC FY budgets.</t>
  </si>
  <si>
    <t xml:space="preserve">$3,700,000</t>
  </si>
  <si>
    <t xml:space="preserve">INPUTS!D15</t>
  </si>
  <si>
    <t xml:space="preserve">City of Sealy FY2026 Adopted Budget + 12-yr Comptroller actuals.</t>
  </si>
  <si>
    <t xml:space="preserve">Sealy population</t>
  </si>
  <si>
    <t xml:space="preserve">7,937</t>
  </si>
  <si>
    <t xml:space="preserve">INPUTS!D13</t>
  </si>
  <si>
    <t xml:space="preserve">U.S. Census QuickFacts, Sealy city TX, V2025 (Jul 1 2025).</t>
  </si>
  <si>
    <t xml:space="preserve">Water + sewer impact fee / LUE</t>
  </si>
  <si>
    <t xml:space="preserve">INPUTS!D50</t>
  </si>
  <si>
    <t xml:space="preserve">City of Sealy adopted schedule ($3,381 water + $3,784 sewer; 2018 Strand study).</t>
  </si>
  <si>
    <t xml:space="preserve">Property-tax collection rate</t>
  </si>
  <si>
    <t xml:space="preserve">100% levy</t>
  </si>
  <si>
    <t xml:space="preserve">INPUTS!D24</t>
  </si>
  <si>
    <t xml:space="preserve">City ACFR (full-levy/accrual); 95% cash sensitivity available.</t>
  </si>
  <si>
    <t xml:space="preserve">Documented</t>
  </si>
  <si>
    <t xml:space="preserve">Manufacturing AV/acre</t>
  </si>
  <si>
    <t xml:space="preserve">$750,000</t>
  </si>
  <si>
    <t xml:space="preserve">02_Type!E12</t>
  </si>
  <si>
    <t xml:space="preserve">Sika FY25 ACFR: $18.72M / ~25 ac = $749K/ac (exact match).</t>
  </si>
  <si>
    <t xml:space="preserve">Multifamily AV/unit</t>
  </si>
  <si>
    <t xml:space="preserve">$80,000</t>
  </si>
  <si>
    <t xml:space="preserve">02_Type!D7</t>
  </si>
  <si>
    <t xml:space="preserve">Retreat at Sealy FY25 ACFR: $19.3M / 250 units = $77K/unit (within 4%).</t>
  </si>
  <si>
    <t xml:space="preserve">City opex / resident</t>
  </si>
  <si>
    <t xml:space="preserve">$680</t>
  </si>
  <si>
    <t xml:space="preserve">02_Type!N</t>
  </si>
  <si>
    <t xml:space="preserve">FY25 ACFR scaling-dept buildup = $677/cap at 80% marginal.</t>
  </si>
  <si>
    <t xml:space="preserve">B. METHODOLOGY  (the model mirrors leading-firm practice)</t>
  </si>
  <si>
    <t xml:space="preserve">Multi-scenario / cumulative net / break-even / sub-area</t>
  </si>
  <si>
    <t xml:space="preserve">model design</t>
  </si>
  <si>
    <t xml:space="preserve">Scenarios, RESULTS</t>
  </si>
  <si>
    <t xml:space="preserve">TischlerBise (1,000+ FIAs) — City of Bryan, TX RELLIS annexation FIA uses the same structure. tischlerbise.com</t>
  </si>
  <si>
    <t xml:space="preserve">Methodology</t>
  </si>
  <si>
    <t xml:space="preserve">Marginal-cost / case-study method</t>
  </si>
  <si>
    <t xml:space="preserve">engine</t>
  </si>
  <si>
    <t xml:space="preserve">TischlerBise marginal-cost (vs avg cost-per-capita) for "more realistic results."</t>
  </si>
  <si>
    <t xml:space="preserve">Open spreadsheet, unprotected formulas</t>
  </si>
  <si>
    <t xml:space="preserve">workbook design</t>
  </si>
  <si>
    <t xml:space="preserve">all sheets</t>
  </si>
  <si>
    <t xml:space="preserve">TischlerBise FISCALS: "designed in a spreadsheet environment, without protected cells and formulas."</t>
  </si>
  <si>
    <t xml:space="preserve">Full life-cycle cost; 10-40 yr horizon</t>
  </si>
  <si>
    <t xml:space="preserve">30-yr model</t>
  </si>
  <si>
    <t xml:space="preserve">Verdunity DFIA + LUFA + Multi-Year Budgeting. verdunity.com</t>
  </si>
  <si>
    <t xml:space="preserve">C. RESULTS VALIDATION  (independent empirical corroboration)</t>
  </si>
  <si>
    <t xml:space="preserve">Residential = per-acre drain; commercial/industrial = gain</t>
  </si>
  <si>
    <t xml:space="preserve">directional result</t>
  </si>
  <si>
    <t xml:space="preserve">Cost of Community Services: 150+ governments, 26 states, ~40 yrs — residential &gt;1.0 (drain), com/ind &amp; open &lt;1.0 (gain). AFT / WeConservePA.</t>
  </si>
  <si>
    <t xml:space="preserve">Empirical</t>
  </si>
  <si>
    <t xml:space="preserve">Compact commercial &gt;&gt; large-lot residential per acre</t>
  </si>
  <si>
    <t xml:space="preserve">per-acre revenue</t>
  </si>
  <si>
    <t xml:space="preserve">02_Type</t>
  </si>
  <si>
    <t xml:space="preserve">Urban3 / Minicozzi (Asheville): big-box Walmart ~$6,500/ac vs downtown ~$634,000/ac (~10x).</t>
  </si>
  <si>
    <t xml:space="preserve">Low-density residential per-acre deficit</t>
  </si>
  <si>
    <t xml:space="preserve">SFR negative</t>
  </si>
  <si>
    <t xml:space="preserve">Peer TX FIAs (low density / acre): College Station -$2,800, Fate -$5,449, Fort Worth -$2,754.</t>
  </si>
  <si>
    <t xml:space="preserve">Peer benchmark</t>
  </si>
  <si>
    <t xml:space="preserve">Parcel-level revenue / cost per acre</t>
  </si>
  <si>
    <t xml:space="preserve">model approach</t>
  </si>
  <si>
    <t xml:space="preserve">City of Bryan Land Use Fiscal Analysis (2024) — assessed value &amp; net revenue per acre at parcel level.</t>
  </si>
  <si>
    <t xml:space="preserve">Peer study</t>
  </si>
  <si>
    <t xml:space="preserve">D. CAPITAL / INFRASTRUCTURE FACTORS  (benchmark — validate with City Engineer)</t>
  </si>
  <si>
    <t xml:space="preserve">Water line unit cost</t>
  </si>
  <si>
    <t xml:space="preserve">~$200 / LF</t>
  </si>
  <si>
    <t xml:space="preserve">Capital_Items!M</t>
  </si>
  <si>
    <t xml:space="preserve">Peer TX FIA; 2% annual maintenance; 25-yr life. (Model uses size-differentiated costs.)</t>
  </si>
  <si>
    <t xml:space="preserve">Benchmark</t>
  </si>
  <si>
    <t xml:space="preserve">Sewer line unit cost</t>
  </si>
  <si>
    <t xml:space="preserve">~$150 / LF</t>
  </si>
  <si>
    <t xml:space="preserve">Peer TX FIA assumption.</t>
  </si>
  <si>
    <t xml:space="preserve">Street replacement</t>
  </si>
  <si>
    <t xml:space="preserve">~$750,000 / lane-mile</t>
  </si>
  <si>
    <t xml:space="preserve">Capital_Items</t>
  </si>
  <si>
    <t xml:space="preserve">Peer TX FIA; 25-yr life.</t>
  </si>
  <si>
    <t xml:space="preserve">see Capital_Items</t>
  </si>
  <si>
    <t xml:space="preserve">Capital_Items!E,AH</t>
  </si>
  <si>
    <t xml:space="preserve">"Low confidence" planning benchmarks pending Public Works / Engineer validation (noted per item).</t>
  </si>
  <si>
    <t xml:space="preserve">Placeholder</t>
  </si>
  <si>
    <t xml:space="preserve">ESD fire service basis</t>
  </si>
  <si>
    <t xml:space="preserve">35 paid FF</t>
  </si>
  <si>
    <t xml:space="preserve">Austin County ESD #2 July-2025 budget: 35 paid + 5 volunteer firefighters; 57 responses (46 in-city).</t>
  </si>
  <si>
    <t xml:space="preserve">Verified (ESD)</t>
  </si>
  <si>
    <t xml:space="preserve">E. PEER CITIES  (context)</t>
  </si>
  <si>
    <t xml:space="preserve">Peer tax rates / EDC / growth</t>
  </si>
  <si>
    <t xml:space="preserve">context</t>
  </si>
  <si>
    <t xml:space="preserve">04_Research</t>
  </si>
  <si>
    <t xml:space="preserve">Georgetown $0.3647, Buda $0.3576, New Braunfels $0.4089, Seguin $0.5125 — Sealy lowest. EDC: most 0.5%, Seguin 0.25%.</t>
  </si>
  <si>
    <t xml:space="preserve">Context</t>
  </si>
  <si>
    <t xml:space="preserve">Residential land gross-up (net-to-gross)</t>
  </si>
  <si>
    <t xml:space="preserve">~50% (1.5x)</t>
  </si>
  <si>
    <t xml:space="preserve">Typical Inputs!E</t>
  </si>
  <si>
    <t xml:space="preserve">Sealy ground-truth: Westward Pointe / BSR newer subdivisions ~342 platted lots on ~130 gross acres (Regrid parcels) = ~0.24-ac lots, ~66% net-to-gross, ~2.6 homes/gross-acre. Corroborated by APA land-budget norms (streets ~22%, detention ~7%, open space ~10%). Applies to infrastructure sizing only.</t>
  </si>
  <si>
    <t xml:space="preserve">Verified (Sealy parcels)</t>
  </si>
  <si>
    <t xml:space="preserve">Change Log — v7.7 Corrected</t>
  </si>
  <si>
    <t xml:space="preserve">Built from v7.6 (slim). Original workbooks unchanged. Implements the v7.5_Corrected validation report.</t>
  </si>
  <si>
    <t xml:space="preserve">v8.1</t>
  </si>
  <si>
    <t xml:space="preserve">2026-06-02</t>
  </si>
  <si>
    <t xml:space="preserve">Peer-calibration documentation pass (no coefficient VALUES changed).</t>
  </si>
  <si>
    <t xml:space="preserve">Upgraded 02_Type_Assumptions confidence labels + citations: Manufacturing &amp; MFR = High (anchored to Sika &amp; Retreat FY25 ACFR actuals); revenue types = Benchmark, cited to Urban3 value-per-acre, COCS (150+ studies), peer TX FIAs (College Station/Fate/Fort Worth) and Sealy Regrid AV/acre. Model was already Sealy-anchored, so peer evidence confirms ranges rather than changing numbers.</t>
  </si>
  <si>
    <t xml:space="preserve">ESD side firmed with ESD #2 July-2025 budget.</t>
  </si>
  <si>
    <t xml:space="preserve">ESD #2: 35 paid firefighters + 5 volunteers + 3 admin; 57 responses (46 in-city); equipment unit costs (Motorola radios, thermal cameras, SCBA, station alerting, PPE). Used as ESD operational basis / confidence support.</t>
  </si>
  <si>
    <t xml:space="preserve">Why</t>
  </si>
  <si>
    <t xml:space="preserve">Capital unit costs validated vs peer FIA.</t>
  </si>
  <si>
    <t xml:space="preserve">Peer TX fiscal analyses use ~$200/LF water line, ~$150/LF sewer, ~$750K/lane-mile street, 2% annual maintenance, 25-yr life — consistent with the model size-differentiated unit costs.</t>
  </si>
  <si>
    <t xml:space="preserve">The sales-at-completion edit had overwritten rows 33-54 with completion flags, materially overstating annual metrics.</t>
  </si>
  <si>
    <t xml:space="preserve">09_Phase_Factors</t>
  </si>
  <si>
    <t xml:space="preserve">rows 55-57</t>
  </si>
  <si>
    <t xml:space="preserve">Cleared orphaned completion-flag rows.</t>
  </si>
  <si>
    <t xml:space="preserve">Leftover from the overwritten block.</t>
  </si>
  <si>
    <t xml:space="preserve">A59:AG84</t>
  </si>
  <si>
    <t xml:space="preserve">Added a separate, labeled SALES COMPLETION FACTOR block (rows 60-84): =IF(year&gt;=Start+Buildout,1,0).</t>
  </si>
  <si>
    <t xml:space="preserve">Keeps the sales-at-completion feature without colliding with the APF block.</t>
  </si>
  <si>
    <t xml:space="preserve">04_Annual_Calculations</t>
  </si>
  <si>
    <t xml:space="preserve">B12:AE12</t>
  </si>
  <si>
    <t xml:space="preserve">Re-pointed project taxable-sales phase range from 33:57 to the relocated completion block 60:84.</t>
  </si>
  <si>
    <t xml:space="preserve">Project sales correctly turn on at buildout completion; annual acres/units/residents (rows 4/6/8) and impact fees (row 24) stay on the corrected APF range 30:54.</t>
  </si>
  <si>
    <t xml:space="preserve">02_Type_Assumptions</t>
  </si>
  <si>
    <t xml:space="preserve">A1</t>
  </si>
  <si>
    <t xml:space="preserve">Made the title dynamic: ="Type Assumptions — "&amp;COUNTA(A4:A25)&amp;" development types" (now 22).</t>
  </si>
  <si>
    <t xml:space="preserve">Title previously hard-coded "15 development types."</t>
  </si>
  <si>
    <t xml:space="preserve">R29:S31</t>
  </si>
  <si>
    <t xml:space="preserve">Custom rows 29-31 set to Include in net? = No and payer = TBD.</t>
  </si>
  <si>
    <t xml:space="preserve">Safer default — custom rows should not affect net until defined.</t>
  </si>
  <si>
    <t xml:space="preserve">R4:R28</t>
  </si>
  <si>
    <t xml:space="preserve">Added cell notes: item is currently included in net and needs confirmation of scope/cost/payer.</t>
  </si>
  <si>
    <t xml:space="preserve">Transparency for review.</t>
  </si>
  <si>
    <t xml:space="preserve">D48</t>
  </si>
  <si>
    <t xml:space="preserve">Added a warning note that a nonzero industrial abatement requires project-specific timing.</t>
  </si>
  <si>
    <t xml:space="preserve">Generic application can misstate a real, parcel-specific abatement.</t>
  </si>
  <si>
    <t xml:space="preserve">C43:F43, row 44+</t>
  </si>
  <si>
    <t xml:space="preserve">Removed 168 stray =Capital_Items! references below the EDC section.</t>
  </si>
  <si>
    <t xml:space="preserve">Leftover artifacts from the v7.6 sheet slim-down.</t>
  </si>
  <si>
    <t xml:space="preserve">(new) Sources_Assumptions</t>
  </si>
  <si>
    <t xml:space="preserve">—</t>
  </si>
  <si>
    <t xml:space="preserve">Added assumption-sourcing sheet with verified/unverified flags.</t>
  </si>
  <si>
    <t xml:space="preserve">Validation report requirement.</t>
  </si>
  <si>
    <t xml:space="preserve">(new) Change_Log</t>
  </si>
  <si>
    <t xml:space="preserve">Added this change log.</t>
  </si>
  <si>
    <t xml:space="preserve">(new) Validation_Output</t>
  </si>
  <si>
    <t xml:space="preserve">Added QA checks + 6 test-bundle results at 5/10/30 years.</t>
  </si>
  <si>
    <t xml:space="preserve">13</t>
  </si>
  <si>
    <t xml:space="preserve">rows 55-58, cols AH-AO</t>
  </si>
  <si>
    <t xml:space="preserve">Cleared 258 leftover sales-completion cells outside the intended blocks (unused; zero NET impact).</t>
  </si>
  <si>
    <t xml:space="preserve">Post-delivery review (ChatGPT #1).</t>
  </si>
  <si>
    <t xml:space="preserve">14</t>
  </si>
  <si>
    <t xml:space="preserve">SOURCES / 12_Takeoff</t>
  </si>
  <si>
    <t xml:space="preserve">B30, A69, H2:H17</t>
  </si>
  <si>
    <t xml:space="preserve">Repointed text references away from sheets removed in the slim-down (11_Infrastructure_Takeoff-&gt;12_Takeoff_Assumptions; 13_Peer_Benchmarks-&gt;companion docs); clarified 'Takeoff sheet'.</t>
  </si>
  <si>
    <t xml:space="preserve">ChatGPT #6.</t>
  </si>
  <si>
    <t xml:space="preserve">15</t>
  </si>
  <si>
    <t xml:space="preserve">Scenarios</t>
  </si>
  <si>
    <t xml:space="preserve">A3:A27</t>
  </si>
  <si>
    <t xml:space="preserve">Renumbered scenario index 1-25 (was 1-12 then repeated 12 then 23-25). Does not drive formulas.</t>
  </si>
  <si>
    <t xml:space="preserve">ChatGPT #7.</t>
  </si>
  <si>
    <t xml:space="preserve">16</t>
  </si>
  <si>
    <t xml:space="preserve">Sources_Assumptions</t>
  </si>
  <si>
    <t xml:space="preserve">population/pool rows</t>
  </si>
  <si>
    <t xml:space="preserve">Labeled current population &amp; current sales-tax pool as CONTEXT ONLY (no calc references them).</t>
  </si>
  <si>
    <t xml:space="preserve">ChatGPT #8.</t>
  </si>
  <si>
    <t xml:space="preserve">17</t>
  </si>
  <si>
    <t xml:space="preserve">Validation_Output</t>
  </si>
  <si>
    <t xml:space="preserve">Capital guard</t>
  </si>
  <si>
    <t xml:space="preserve">Added a guard that warns if trigger capital and itemized Capital_Items both feed NET (currently triggers=0, so no active double-count).</t>
  </si>
  <si>
    <t xml:space="preserve">ChatGPT #2.</t>
  </si>
  <si>
    <t xml:space="preserve">18 (note)</t>
  </si>
  <si>
    <t xml:space="preserve">L4:L31 / horizon impacts</t>
  </si>
  <si>
    <t xml:space="preserve">DESIGN NOTE: itemized capital quantity is sized off the 10-yr auto-qty column for all horizons; 5/15/20/30-yr debt service use that same quantity. Pre-existing design choice - confirm if horizon-specific sizing is wanted.</t>
  </si>
  <si>
    <t xml:space="preserve">ChatGPT #3 (no change made).</t>
  </si>
  <si>
    <t xml:space="preserve">19 (note)</t>
  </si>
  <si>
    <t xml:space="preserve">03_Multi_Horizon_Results</t>
  </si>
  <si>
    <t xml:space="preserve">B32:F32</t>
  </si>
  <si>
    <t xml:space="preserve">DESIGN NOTE: the break-even sales-tax multiple uses a simplified denominator that does not apply the City share / EDC toggle. Secondary display metric only - actual City sales tax is computed in 04_Annual r18:r20.</t>
  </si>
  <si>
    <t xml:space="preserve">ChatGPT #4 (no change made).</t>
  </si>
  <si>
    <t xml:space="preserve">20 (note)</t>
  </si>
  <si>
    <t xml:space="preserve">manual overrides O / R</t>
  </si>
  <si>
    <t xml:space="preserve">DESIGN NOTE: manual AV override is taken directly (no capture-rate); manual sales override is multiplied by capture rate. Enter values consistently. Confirm intended semantics.</t>
  </si>
  <si>
    <t xml:space="preserve">ChatGPT #5 (no change made).</t>
  </si>
  <si>
    <t xml:space="preserve">00_Inputs_Dashboard / 03_Multi</t>
  </si>
  <si>
    <t xml:space="preserve">B56; r24:F24, r27:F27</t>
  </si>
  <si>
    <t xml:space="preserve">Added capital-method toggle (1=Itemized default, 2=Trigger). 03_Multi City/ESD capital uses ONE system, not the sum — prevents double-count (item B).</t>
  </si>
  <si>
    <t xml:space="preserve">Audit 2026-06-01</t>
  </si>
  <si>
    <t xml:space="preserve">A2</t>
  </si>
  <si>
    <t xml:space="preserve">AI4:AM31; X:AB &amp; AC:AG debt branches</t>
  </si>
  <si>
    <t xml:space="preserve">Added per-horizon annual debt-service helpers (DS @5/10/15/20/30-yr qty) and repointed debt-service branches so each horizon's debt is sized to that horizon's quantity, not always the 10-yr (item C).</t>
  </si>
  <si>
    <t xml:space="preserve">A3</t>
  </si>
  <si>
    <t xml:space="preserve">Break-even now divides by City sales-tax share net of EDC (r18), using the same City share + EDC allocation as 04_Annual r18-20 (was pool*(1-EDC%), ignoring City share) (item D).</t>
  </si>
  <si>
    <t xml:space="preserve">A4</t>
  </si>
  <si>
    <t xml:space="preserve">J66:J75</t>
  </si>
  <si>
    <t xml:space="preserve">Linked to Scenarios!I15:I24 (were blank) — scenarios 13-22 now show Final Acres (item F).</t>
  </si>
  <si>
    <t xml:space="preserve">A5</t>
  </si>
  <si>
    <t xml:space="preserve">AC3:AC24</t>
  </si>
  <si>
    <t xml:space="preserve">Rewrote scenario notes to match each row's type (fixed mismatched notes on rows 5-8) (item G).</t>
  </si>
  <si>
    <t xml:space="preserve">A6</t>
  </si>
  <si>
    <t xml:space="preserve">A14:G21, A23</t>
  </si>
  <si>
    <t xml:space="preserve">Labeled bundle/sensitivity outputs as dated STATIC snapshots; replaced with the 7-scenario test matrix (items H, K).</t>
  </si>
  <si>
    <t xml:space="preserve">A7</t>
  </si>
  <si>
    <t xml:space="preserve">population row</t>
  </si>
  <si>
    <t xml:space="preserve">Population labeled City-published 7,553; noted Census QuickFacts 2024 ACS 5-yr = 7,053; context-only (item E).</t>
  </si>
  <si>
    <t xml:space="preserve">Added Typical Inputs presentation page.</t>
  </si>
  <si>
    <t xml:space="preserve">Single page: editable split + scenario levers (type/active/quantity/lot size) drive the engine; live Results + Capital summaries below. Advanced Inputs now holds the deeper assumptions; engine reads Advanced (unchanged) which references Typical.</t>
  </si>
  <si>
    <t xml:space="preserve">Standardized visible tab names.</t>
  </si>
  <si>
    <t xml:space="preserve">Cover / Typical Inputs / Advanced Inputs / Results / Capital Items / Sources &amp; Assumptions. All ~5,800 formula refs, the Results chart, and print areas rewritten in lockstep; 0 errors.</t>
  </si>
  <si>
    <t xml:space="preserve">Reserve basis set to opex-only.</t>
  </si>
  <si>
    <t xml:space="preserve">INPUTS reserve toggle aligned to the formula (opex-only) per Council direction — simpler and more defensible. No change to computed reserve.</t>
  </si>
  <si>
    <t xml:space="preserve">Added residential land-budget gross-up.</t>
  </si>
  <si>
    <t xml:space="preserve">Subdivision gross-up % sizes infrastructure off GROSS subdivision acres (streets/detention/open space) while value &amp; tax stay per-home. Default 50% from Sealy Westward Pointe/BSR (~342 lots / 130 ac). Set to 0% to revert to net-lot-only.</t>
  </si>
  <si>
    <t xml:space="preserve">Cleanup.</t>
  </si>
  <si>
    <t xml:space="preserve">City/ESD split left blank (negotiation lever); Active?/Type dropdowns extended to all 22 scenario rows; cover navigation hyperlinks removed (were pointing to a temp filename); version labels removed from cover/footers (file name now carries the edition).</t>
  </si>
  <si>
    <t xml:space="preserve">Validation Output</t>
  </si>
  <si>
    <t xml:space="preserve">QA checks recalculated in LibreOffice (full recalc on load). Scenario-specific results are live on Results.</t>
  </si>
  <si>
    <t xml:space="preserve">A. QA CHECKS</t>
  </si>
  <si>
    <t xml:space="preserve">Check</t>
  </si>
  <si>
    <t xml:space="preserve">Result</t>
  </si>
  <si>
    <t xml:space="preserve">Detail</t>
  </si>
  <si>
    <t xml:space="preserve">No formula errors</t>
  </si>
  <si>
    <t xml:space="preserve">PASS</t>
  </si>
  <si>
    <t xml:space="preserve">0 error cells across all sheets (no REF, VALUE, DIV0, NAME, or NA errors)</t>
  </si>
  <si>
    <t xml:space="preserve">All 22 development types recognized</t>
  </si>
  <si>
    <t xml:space="preserve">INPUTS rows 54-75 = 22 types; 02_Type_Assumptions A4:A25 = 22; title dynamic</t>
  </si>
  <si>
    <t xml:space="preserve">APF block restored (annual phase factors)</t>
  </si>
  <si>
    <t xml:space="preserve">09_Phase_Factors D30:AG54 = incremental; impact fees &amp; annual metrics no longer overstated</t>
  </si>
  <si>
    <t xml:space="preserve">Completion flags relocated</t>
  </si>
  <si>
    <t xml:space="preserve">09_Phase_Factors rows 60-84; consumed only by 04_Annual r12 (project sales)</t>
  </si>
  <si>
    <t xml:space="preserve">Capital custom rows excluded by default</t>
  </si>
  <si>
    <t xml:space="preserve">Capital_Items rows 29-31 Include in net? = No</t>
  </si>
  <si>
    <t xml:space="preserve">Sales-at-completion works</t>
  </si>
  <si>
    <t xml:space="preserve">Default scenario: project sales = $0 during buildout, then turn on at completion</t>
  </si>
  <si>
    <t xml:space="preserve">Versioned build (originals preserved)</t>
  </si>
  <si>
    <t xml:space="preserve">Each revision saved to a new file; prior versions retained.</t>
  </si>
  <si>
    <t xml:space="preserve">B. CAPITAL DOUBLE-COUNT GUARD (live)</t>
  </si>
  <si>
    <t xml:space="preserve">D. CAPITAL DOUBLE-COUNT GUARD</t>
  </si>
  <si>
    <t xml:space="preserve">Guard status</t>
  </si>
</sst>
</file>

<file path=xl/styles.xml><?xml version="1.0" encoding="utf-8"?>
<styleSheet xmlns="http://schemas.openxmlformats.org/spreadsheetml/2006/main">
  <numFmts count="23">
    <numFmt numFmtId="164" formatCode="General"/>
    <numFmt numFmtId="165" formatCode="\$#,##0.0,,\M"/>
    <numFmt numFmtId="166" formatCode="0.0%"/>
    <numFmt numFmtId="167" formatCode="#,##0.0"/>
    <numFmt numFmtId="168" formatCode="0%"/>
    <numFmt numFmtId="169" formatCode="0,##0"/>
    <numFmt numFmtId="170" formatCode="0.00%"/>
    <numFmt numFmtId="171" formatCode="0.0000000"/>
    <numFmt numFmtId="172" formatCode="#,##0"/>
    <numFmt numFmtId="173" formatCode="\$#,##0"/>
    <numFmt numFmtId="174" formatCode="0"/>
    <numFmt numFmtId="175" formatCode="0.0"/>
    <numFmt numFmtId="176" formatCode="\$#,##0_);[RED]&quot;($&quot;#,##0\)"/>
    <numFmt numFmtId="177" formatCode="#,##0.00"/>
    <numFmt numFmtId="178" formatCode="d\-mmm"/>
    <numFmt numFmtId="179" formatCode="#,##0.####;\-#,##0.####;;@"/>
    <numFmt numFmtId="180" formatCode="0.00"/>
    <numFmt numFmtId="181" formatCode="\$#,##0;&quot;-$&quot;#,##0;;@"/>
    <numFmt numFmtId="182" formatCode="0.0%;\-0.0%;;@"/>
    <numFmt numFmtId="183" formatCode="\$#,##0;&quot;($&quot;#,##0\);\-"/>
    <numFmt numFmtId="184" formatCode="\$#,##0;&quot;($&quot;#,##0\);\–"/>
    <numFmt numFmtId="185" formatCode="0.000"/>
    <numFmt numFmtId="186" formatCode="0.0000"/>
  </numFmts>
  <fonts count="53">
    <font>
      <sz val="10"/>
      <name val="Arial"/>
      <family val="2"/>
      <charset val="1"/>
    </font>
    <font>
      <sz val="10"/>
      <name val="Arial"/>
      <family val="0"/>
    </font>
    <font>
      <sz val="10"/>
      <name val="Arial"/>
      <family val="0"/>
    </font>
    <font>
      <sz val="10"/>
      <name val="Arial"/>
      <family val="0"/>
    </font>
    <font>
      <b val="true"/>
      <sz val="20"/>
      <color rgb="FFFFFFFF"/>
      <name val="Segoe UI"/>
      <family val="0"/>
      <charset val="1"/>
    </font>
    <font>
      <sz val="12"/>
      <color rgb="FFCBD2D7"/>
      <name val="Segoe UI"/>
      <family val="0"/>
      <charset val="1"/>
    </font>
    <font>
      <i val="true"/>
      <sz val="9"/>
      <color rgb="FF9AA2A8"/>
      <name val="Segoe UI"/>
      <family val="0"/>
      <charset val="1"/>
    </font>
    <font>
      <b val="true"/>
      <sz val="10"/>
      <color rgb="FF1F6F6B"/>
      <name val="Segoe UI"/>
      <family val="0"/>
      <charset val="1"/>
    </font>
    <font>
      <b val="true"/>
      <sz val="26"/>
      <color rgb="FF1F6F6B"/>
      <name val="Segoe UI"/>
      <family val="0"/>
      <charset val="1"/>
    </font>
    <font>
      <b val="true"/>
      <sz val="13"/>
      <color rgb="FF12161A"/>
      <name val="Segoe UI"/>
      <family val="0"/>
      <charset val="1"/>
    </font>
    <font>
      <sz val="10.5"/>
      <color rgb="FF3D444B"/>
      <name val="Segoe UI"/>
      <family val="0"/>
      <charset val="1"/>
    </font>
    <font>
      <b val="true"/>
      <sz val="11"/>
      <color rgb="FF1F6F6B"/>
      <name val="Segoe UI"/>
      <family val="0"/>
      <charset val="1"/>
    </font>
    <font>
      <sz val="11"/>
      <color rgb="FF262B30"/>
      <name val="Segoe UI"/>
      <family val="0"/>
      <charset val="1"/>
    </font>
    <font>
      <b val="true"/>
      <sz val="11"/>
      <color rgb="FF262B30"/>
      <name val="Segoe UI"/>
      <family val="0"/>
      <charset val="1"/>
    </font>
    <font>
      <i val="true"/>
      <sz val="10"/>
      <color rgb="FFCBD2D7"/>
      <name val="Segoe UI"/>
      <family val="0"/>
      <charset val="1"/>
    </font>
    <font>
      <b val="true"/>
      <sz val="12"/>
      <color rgb="FFFFFFFF"/>
      <name val="Segoe UI"/>
      <family val="0"/>
      <charset val="1"/>
    </font>
    <font>
      <b val="true"/>
      <sz val="12"/>
      <color rgb="FF12161A"/>
      <name val="Segoe UI"/>
      <family val="0"/>
      <charset val="1"/>
    </font>
    <font>
      <b val="true"/>
      <sz val="10"/>
      <color rgb="FF3D444B"/>
      <name val="Segoe UI"/>
      <family val="0"/>
      <charset val="1"/>
    </font>
    <font>
      <i val="true"/>
      <sz val="9"/>
      <color rgb="FF8A9099"/>
      <name val="Segoe UI"/>
      <family val="0"/>
      <charset val="1"/>
    </font>
    <font>
      <b val="true"/>
      <sz val="9.5"/>
      <color rgb="FFFFFFFF"/>
      <name val="Segoe UI"/>
      <family val="0"/>
      <charset val="1"/>
    </font>
    <font>
      <sz val="10"/>
      <color rgb="FF262B30"/>
      <name val="Segoe UI"/>
      <family val="0"/>
      <charset val="1"/>
    </font>
    <font>
      <sz val="10"/>
      <color rgb="FF8A9099"/>
      <name val="Segoe UI"/>
      <family val="0"/>
      <charset val="1"/>
    </font>
    <font>
      <i val="true"/>
      <sz val="8.5"/>
      <color rgb="FF8A9099"/>
      <name val="Segoe UI"/>
      <family val="0"/>
      <charset val="1"/>
    </font>
    <font>
      <b val="true"/>
      <sz val="10"/>
      <color rgb="FF12161A"/>
      <name val="Segoe UI"/>
      <family val="0"/>
      <charset val="1"/>
    </font>
    <font>
      <sz val="10.5"/>
      <color rgb="FF262B30"/>
      <name val="Segoe UI"/>
      <family val="0"/>
      <charset val="1"/>
    </font>
    <font>
      <b val="true"/>
      <sz val="11"/>
      <color rgb="FF12161A"/>
      <name val="Segoe UI"/>
      <family val="0"/>
      <charset val="1"/>
    </font>
    <font>
      <b val="true"/>
      <sz val="18"/>
      <color rgb="FFFFFFFF"/>
      <name val="Segoe UI"/>
      <family val="0"/>
      <charset val="1"/>
    </font>
    <font>
      <sz val="9.5"/>
      <color rgb="FFCBD2D7"/>
      <name val="Segoe UI"/>
      <family val="0"/>
      <charset val="1"/>
    </font>
    <font>
      <b val="true"/>
      <sz val="10"/>
      <color rgb="FFFFFFFF"/>
      <name val="Segoe UI"/>
      <family val="0"/>
      <charset val="1"/>
    </font>
    <font>
      <b val="true"/>
      <sz val="10"/>
      <color rgb="FF262B30"/>
      <name val="Segoe UI"/>
      <family val="0"/>
      <charset val="1"/>
    </font>
    <font>
      <sz val="10"/>
      <name val="Arial"/>
      <family val="2"/>
    </font>
    <font>
      <b val="true"/>
      <sz val="9"/>
      <color rgb="FF262B30"/>
      <name val="Segoe UI"/>
      <family val="0"/>
      <charset val="1"/>
    </font>
    <font>
      <sz val="9"/>
      <color rgb="FF262B30"/>
      <name val="Segoe UI"/>
      <family val="0"/>
      <charset val="1"/>
    </font>
    <font>
      <b val="true"/>
      <sz val="18"/>
      <color rgb="FF000000"/>
      <name val="Calibri"/>
      <family val="2"/>
    </font>
    <font>
      <sz val="10"/>
      <color rgb="FF000000"/>
      <name val="Calibri"/>
      <family val="2"/>
    </font>
    <font>
      <sz val="11"/>
      <color theme="1"/>
      <name val="Calibri"/>
      <family val="0"/>
      <charset val="1"/>
    </font>
    <font>
      <b val="true"/>
      <sz val="14"/>
      <color rgb="FF1C1F23"/>
      <name val="Segoe UI"/>
      <family val="0"/>
      <charset val="1"/>
    </font>
    <font>
      <sz val="10"/>
      <color rgb="FF2A2E33"/>
      <name val="Segoe UI"/>
      <family val="0"/>
      <charset val="1"/>
    </font>
    <font>
      <b val="true"/>
      <sz val="10"/>
      <color rgb="FF1C1F23"/>
      <name val="Segoe UI"/>
      <family val="0"/>
      <charset val="1"/>
    </font>
    <font>
      <sz val="11"/>
      <color rgb="FF2A2E33"/>
      <name val="Segoe UI"/>
      <family val="0"/>
      <charset val="1"/>
    </font>
    <font>
      <b val="true"/>
      <sz val="11"/>
      <color rgb="FF1C1F23"/>
      <name val="Segoe UI"/>
      <family val="0"/>
      <charset val="1"/>
    </font>
    <font>
      <b val="true"/>
      <sz val="10"/>
      <color rgb="FF2A2E33"/>
      <name val="Segoe UI"/>
      <family val="0"/>
      <charset val="1"/>
    </font>
    <font>
      <sz val="9"/>
      <color rgb="FF2A2E33"/>
      <name val="Segoe UI"/>
      <family val="0"/>
      <charset val="1"/>
    </font>
    <font>
      <i val="true"/>
      <sz val="9"/>
      <color rgb="FF777777"/>
      <name val="Segoe UI"/>
      <family val="0"/>
      <charset val="1"/>
    </font>
    <font>
      <sz val="9"/>
      <color rgb="FF595959"/>
      <name val="Segoe UI"/>
      <family val="0"/>
      <charset val="1"/>
    </font>
    <font>
      <b val="true"/>
      <sz val="10"/>
      <color rgb="FF1F3864"/>
      <name val="Segoe UI"/>
      <family val="0"/>
      <charset val="1"/>
    </font>
    <font>
      <b val="true"/>
      <sz val="11"/>
      <color rgb="FF1F3864"/>
      <name val="Segoe UI"/>
      <family val="0"/>
      <charset val="1"/>
    </font>
    <font>
      <b val="true"/>
      <sz val="9"/>
      <color rgb="FF1F6F6B"/>
      <name val="Segoe UI"/>
      <family val="0"/>
      <charset val="1"/>
    </font>
    <font>
      <b val="true"/>
      <sz val="9"/>
      <color rgb="FF3D444B"/>
      <name val="Segoe UI"/>
      <family val="0"/>
      <charset val="1"/>
    </font>
    <font>
      <b val="true"/>
      <sz val="9"/>
      <color rgb="FF8A6D1F"/>
      <name val="Segoe UI"/>
      <family val="0"/>
      <charset val="1"/>
    </font>
    <font>
      <b val="true"/>
      <sz val="9"/>
      <color rgb="FF9A4A2F"/>
      <name val="Segoe UI"/>
      <family val="0"/>
      <charset val="1"/>
    </font>
    <font>
      <b val="true"/>
      <sz val="9"/>
      <color rgb="FF6B7177"/>
      <name val="Segoe UI"/>
      <family val="0"/>
      <charset val="1"/>
    </font>
    <font>
      <i val="true"/>
      <sz val="9"/>
      <color rgb="FF6C7278"/>
      <name val="Segoe UI"/>
      <family val="0"/>
      <charset val="1"/>
    </font>
  </fonts>
  <fills count="12">
    <fill>
      <patternFill patternType="none"/>
    </fill>
    <fill>
      <patternFill patternType="gray125"/>
    </fill>
    <fill>
      <patternFill patternType="solid">
        <fgColor rgb="FF262B30"/>
        <bgColor rgb="FF2A2E33"/>
      </patternFill>
    </fill>
    <fill>
      <patternFill patternType="solid">
        <fgColor rgb="FFDDEBEA"/>
        <bgColor rgb="FFDDEBF7"/>
      </patternFill>
    </fill>
    <fill>
      <patternFill patternType="solid">
        <fgColor rgb="FFF0F3F5"/>
        <bgColor rgb="FFEFF4F4"/>
      </patternFill>
    </fill>
    <fill>
      <patternFill patternType="solid">
        <fgColor rgb="FF3D444B"/>
        <bgColor rgb="FF1F3864"/>
      </patternFill>
    </fill>
    <fill>
      <patternFill patternType="solid">
        <fgColor rgb="FFFFFF00"/>
        <bgColor rgb="FFE4E1DB"/>
      </patternFill>
    </fill>
    <fill>
      <patternFill patternType="solid">
        <fgColor rgb="FFFFFFFF"/>
        <bgColor rgb="FFF5F7F9"/>
      </patternFill>
    </fill>
    <fill>
      <patternFill patternType="solid">
        <fgColor rgb="FFF4F6F7"/>
        <bgColor rgb="FFF5F7F9"/>
      </patternFill>
    </fill>
    <fill>
      <patternFill patternType="solid">
        <fgColor rgb="FFE7ECEF"/>
        <bgColor rgb="FFE7F0E8"/>
      </patternFill>
    </fill>
    <fill>
      <patternFill patternType="solid">
        <fgColor rgb="FFEFF4F4"/>
        <bgColor rgb="FFF0F3F5"/>
      </patternFill>
    </fill>
    <fill>
      <patternFill patternType="solid">
        <fgColor rgb="FFF5F7F9"/>
        <bgColor rgb="FFF4F6F7"/>
      </patternFill>
    </fill>
  </fills>
  <borders count="13">
    <border diagonalUp="false" diagonalDown="false">
      <left/>
      <right/>
      <top/>
      <bottom/>
      <diagonal/>
    </border>
    <border diagonalUp="false" diagonalDown="false">
      <left style="thin">
        <color rgb="FFD6D9DD"/>
      </left>
      <right style="thin">
        <color rgb="FFD6D9DD"/>
      </right>
      <top style="thin">
        <color rgb="FFD6D9DD"/>
      </top>
      <bottom style="thin">
        <color rgb="FFD6D9DD"/>
      </bottom>
      <diagonal/>
    </border>
    <border diagonalUp="false" diagonalDown="false">
      <left/>
      <right/>
      <top/>
      <bottom style="thin">
        <color rgb="FFD6D9DD"/>
      </bottom>
      <diagonal/>
    </border>
    <border diagonalUp="false" diagonalDown="false">
      <left/>
      <right/>
      <top/>
      <bottom style="medium">
        <color rgb="FF262B30"/>
      </bottom>
      <diagonal/>
    </border>
    <border diagonalUp="false" diagonalDown="false">
      <left/>
      <right/>
      <top style="medium">
        <color rgb="FF262B30"/>
      </top>
      <bottom/>
      <diagonal/>
    </border>
    <border diagonalUp="false" diagonalDown="false">
      <left/>
      <right/>
      <top/>
      <bottom style="medium">
        <color rgb="FF1C1F23"/>
      </bottom>
      <diagonal/>
    </border>
    <border diagonalUp="false" diagonalDown="false">
      <left/>
      <right/>
      <top/>
      <bottom style="thin">
        <color rgb="FF2A2E33"/>
      </bottom>
      <diagonal/>
    </border>
    <border diagonalUp="false" diagonalDown="false">
      <left/>
      <right/>
      <top/>
      <bottom style="medium">
        <color rgb="FF2A2E33"/>
      </bottom>
      <diagonal/>
    </border>
    <border diagonalUp="false" diagonalDown="false">
      <left/>
      <right/>
      <top/>
      <bottom style="thin">
        <color rgb="FFE4E1DB"/>
      </bottom>
      <diagonal/>
    </border>
    <border diagonalUp="false" diagonalDown="false">
      <left style="thin">
        <color rgb="FFBBBBBB"/>
      </left>
      <right style="thin">
        <color rgb="FFBBBBBB"/>
      </right>
      <top style="thin">
        <color rgb="FFBBBBBB"/>
      </top>
      <bottom style="medium">
        <color rgb="FF1C1F23"/>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right/>
      <top style="thin">
        <color rgb="FF2A2E33"/>
      </top>
      <bottom style="thin">
        <color rgb="FFD6D9DD"/>
      </bottom>
      <diagonal/>
    </border>
    <border diagonalUp="false" diagonalDown="false">
      <left/>
      <right/>
      <top/>
      <bottom style="thin">
        <color rgb="FFCDD3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3" borderId="0" xfId="0" applyFont="true" applyBorder="true" applyAlignment="true" applyProtection="false">
      <alignment horizontal="left" vertical="bottom" textRotation="0" wrapText="false" indent="0" shrinkToFit="false"/>
      <protection locked="true" hidden="false"/>
    </xf>
    <xf numFmtId="165" fontId="8" fillId="3" borderId="0" xfId="0" applyFont="true" applyBorder="true" applyAlignment="true" applyProtection="false">
      <alignment horizontal="left" vertical="top"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bottom" textRotation="0" wrapText="false" indent="0" shrinkToFit="false"/>
      <protection locked="true" hidden="false"/>
    </xf>
    <xf numFmtId="164" fontId="15" fillId="5" borderId="0" xfId="0" applyFont="true" applyBorder="true" applyAlignment="true" applyProtection="false">
      <alignment horizontal="general" vertical="center" textRotation="0" wrapText="false" indent="1"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16" fillId="6"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left" vertical="center" textRotation="0" wrapText="false" indent="1" shrinkToFit="false"/>
      <protection locked="true" hidden="false"/>
    </xf>
    <xf numFmtId="164" fontId="19" fillId="2" borderId="0" xfId="0" applyFont="true" applyBorder="false" applyAlignment="true" applyProtection="false">
      <alignment horizontal="center" vertical="center" textRotation="0" wrapText="true" indent="0" shrinkToFit="false"/>
      <protection locked="true" hidden="false"/>
    </xf>
    <xf numFmtId="164" fontId="20" fillId="7" borderId="2" xfId="0" applyFont="true" applyBorder="true" applyAlignment="true" applyProtection="false">
      <alignment horizontal="general" vertical="bottom" textRotation="0" wrapText="false" indent="1" shrinkToFit="false"/>
      <protection locked="true" hidden="false"/>
    </xf>
    <xf numFmtId="164" fontId="20" fillId="7" borderId="2" xfId="0" applyFont="true" applyBorder="true" applyAlignment="true" applyProtection="false">
      <alignment horizontal="center" vertical="bottom" textRotation="0" wrapText="false" indent="0" shrinkToFit="false"/>
      <protection locked="true" hidden="false"/>
    </xf>
    <xf numFmtId="167" fontId="21" fillId="7" borderId="2" xfId="0" applyFont="true" applyBorder="true" applyAlignment="true" applyProtection="false">
      <alignment horizontal="center" vertical="bottom" textRotation="0" wrapText="false" indent="0" shrinkToFit="false"/>
      <protection locked="true" hidden="false"/>
    </xf>
    <xf numFmtId="164" fontId="20" fillId="8" borderId="2" xfId="0" applyFont="true" applyBorder="true" applyAlignment="true" applyProtection="false">
      <alignment horizontal="general" vertical="bottom" textRotation="0" wrapText="false" indent="1" shrinkToFit="false"/>
      <protection locked="true" hidden="false"/>
    </xf>
    <xf numFmtId="164" fontId="20" fillId="8" borderId="2" xfId="0" applyFont="true" applyBorder="true" applyAlignment="true" applyProtection="false">
      <alignment horizontal="center" vertical="bottom" textRotation="0" wrapText="false" indent="0" shrinkToFit="false"/>
      <protection locked="true" hidden="false"/>
    </xf>
    <xf numFmtId="167" fontId="21" fillId="8" borderId="2" xfId="0" applyFont="true" applyBorder="true" applyAlignment="true" applyProtection="false">
      <alignment horizontal="center" vertical="bottom" textRotation="0" wrapText="false" indent="0" shrinkToFit="false"/>
      <protection locked="true" hidden="false"/>
    </xf>
    <xf numFmtId="168" fontId="20" fillId="7" borderId="2" xfId="0" applyFont="true" applyBorder="true" applyAlignment="true" applyProtection="false">
      <alignment horizontal="center" vertical="bottom" textRotation="0" wrapText="false" indent="0" shrinkToFit="false"/>
      <protection locked="true" hidden="false"/>
    </xf>
    <xf numFmtId="168" fontId="20" fillId="8" borderId="2"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general" vertical="center"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23" fillId="0" borderId="3" xfId="0" applyFont="true" applyBorder="true" applyAlignment="true" applyProtection="false">
      <alignment horizontal="center" vertical="bottom" textRotation="0" wrapText="false" indent="0" shrinkToFit="false"/>
      <protection locked="true" hidden="false"/>
    </xf>
    <xf numFmtId="164" fontId="11" fillId="3" borderId="0" xfId="0" applyFont="true" applyBorder="false" applyAlignment="true" applyProtection="false">
      <alignment horizontal="left" vertical="bottom" textRotation="0" wrapText="false" indent="0" shrinkToFit="false"/>
      <protection locked="true" hidden="false"/>
    </xf>
    <xf numFmtId="169" fontId="11" fillId="3" borderId="0" xfId="0" applyFont="true" applyBorder="false" applyAlignment="true" applyProtection="false">
      <alignment horizontal="right"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9" fontId="24" fillId="0" borderId="0" xfId="0" applyFont="true" applyBorder="false" applyAlignment="true" applyProtection="false">
      <alignment horizontal="right" vertical="bottom" textRotation="0" wrapText="false" indent="0" shrinkToFit="false"/>
      <protection locked="true" hidden="false"/>
    </xf>
    <xf numFmtId="164" fontId="25" fillId="0" borderId="4" xfId="0" applyFont="true" applyBorder="true" applyAlignment="true" applyProtection="false">
      <alignment horizontal="left" vertical="bottom" textRotation="0" wrapText="false" indent="0" shrinkToFit="false"/>
      <protection locked="true" hidden="false"/>
    </xf>
    <xf numFmtId="169" fontId="25" fillId="0" borderId="4" xfId="0" applyFont="true" applyBorder="tru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9" fontId="20" fillId="0" borderId="0" xfId="0" applyFont="true" applyBorder="false" applyAlignment="true" applyProtection="false">
      <alignment horizontal="right" vertical="bottom" textRotation="0" wrapText="false" indent="0" shrinkToFit="false"/>
      <protection locked="true" hidden="false"/>
    </xf>
    <xf numFmtId="164" fontId="26" fillId="2" borderId="5" xfId="0" applyFont="true" applyBorder="true" applyAlignment="true" applyProtection="false">
      <alignment horizontal="general" vertical="center" textRotation="0" wrapText="false" indent="0" shrinkToFit="false"/>
      <protection locked="true" hidden="false"/>
    </xf>
    <xf numFmtId="164" fontId="27" fillId="2" borderId="0"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8" fillId="5" borderId="6" xfId="0" applyFont="true" applyBorder="true" applyAlignment="true" applyProtection="false">
      <alignment horizontal="left" vertical="center" textRotation="0" wrapText="false" indent="0" shrinkToFit="false"/>
      <protection locked="true" hidden="false"/>
    </xf>
    <xf numFmtId="164" fontId="28" fillId="5" borderId="6" xfId="0" applyFont="true" applyBorder="true" applyAlignment="true" applyProtection="false">
      <alignment horizontal="center" vertical="center" textRotation="0" wrapText="true" indent="0" shrinkToFit="false"/>
      <protection locked="true" hidden="false"/>
    </xf>
    <xf numFmtId="164" fontId="29" fillId="5" borderId="6" xfId="0" applyFont="true" applyBorder="true" applyAlignment="true" applyProtection="false">
      <alignment horizontal="center" vertical="center" textRotation="0" wrapText="true" indent="0" shrinkToFit="false"/>
      <protection locked="true" hidden="false"/>
    </xf>
    <xf numFmtId="164" fontId="20" fillId="5" borderId="6" xfId="0" applyFont="true" applyBorder="true" applyAlignment="true" applyProtection="false">
      <alignment horizontal="general" vertical="bottom" textRotation="0" wrapText="false" indent="0" shrinkToFit="false"/>
      <protection locked="true" hidden="false"/>
    </xf>
    <xf numFmtId="164" fontId="20" fillId="0" borderId="6" xfId="0" applyFont="true" applyBorder="true" applyAlignment="true" applyProtection="false">
      <alignment horizontal="general" vertical="bottom" textRotation="0" wrapText="false" indent="0" shrinkToFit="false"/>
      <protection locked="true" hidden="false"/>
    </xf>
    <xf numFmtId="164" fontId="25" fillId="9" borderId="7" xfId="0" applyFont="true" applyBorder="true" applyAlignment="true" applyProtection="false">
      <alignment horizontal="left" vertical="center" textRotation="0" wrapText="false" indent="0" shrinkToFit="false"/>
      <protection locked="true" hidden="false"/>
    </xf>
    <xf numFmtId="164" fontId="20" fillId="9" borderId="7"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general" vertical="bottom" textRotation="0" wrapText="false" indent="0" shrinkToFit="false"/>
      <protection locked="true" hidden="false"/>
    </xf>
    <xf numFmtId="164" fontId="20" fillId="6" borderId="0" xfId="0" applyFont="true" applyBorder="false" applyAlignment="true" applyProtection="false">
      <alignment horizontal="left" vertical="center" textRotation="0" wrapText="false" indent="0" shrinkToFit="false"/>
      <protection locked="true" hidden="false"/>
    </xf>
    <xf numFmtId="164" fontId="20" fillId="6" borderId="0" xfId="0" applyFont="true" applyBorder="false" applyAlignment="true" applyProtection="false">
      <alignment horizontal="center" vertical="center" textRotation="0" wrapText="false" indent="0" shrinkToFit="false"/>
      <protection locked="true" hidden="false"/>
    </xf>
    <xf numFmtId="166" fontId="29" fillId="6" borderId="5" xfId="0" applyFont="true" applyBorder="true" applyAlignment="true" applyProtection="true">
      <alignment horizontal="center" vertical="center" textRotation="0" wrapText="false" indent="0" shrinkToFit="false"/>
      <protection locked="false" hidden="false"/>
    </xf>
    <xf numFmtId="164" fontId="20" fillId="6" borderId="0" xfId="0" applyFont="true" applyBorder="false" applyAlignment="true" applyProtection="false">
      <alignment horizontal="general" vertical="bottom" textRotation="0" wrapText="false" indent="0" shrinkToFit="false"/>
      <protection locked="true" hidden="false"/>
    </xf>
    <xf numFmtId="168" fontId="20" fillId="6" borderId="0" xfId="0" applyFont="true" applyBorder="false" applyAlignment="true" applyProtection="false">
      <alignment horizontal="center" vertical="center" textRotation="0" wrapText="false" indent="0" shrinkToFit="false"/>
      <protection locked="true" hidden="false"/>
    </xf>
    <xf numFmtId="164" fontId="20" fillId="6" borderId="0" xfId="0" applyFont="true" applyBorder="false" applyAlignment="true" applyProtection="true">
      <alignment horizontal="center" vertical="center" textRotation="0" wrapText="false" indent="0" shrinkToFit="false"/>
      <protection locked="false" hidden="false"/>
    </xf>
    <xf numFmtId="170" fontId="20" fillId="6"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71" fontId="29" fillId="0" borderId="5" xfId="0" applyFont="true" applyBorder="true" applyAlignment="true" applyProtection="true">
      <alignment horizontal="center" vertical="center" textRotation="0" wrapText="false" indent="0" shrinkToFit="false"/>
      <protection locked="false" hidden="false"/>
    </xf>
    <xf numFmtId="172" fontId="20" fillId="0" borderId="0" xfId="0" applyFont="true" applyBorder="false" applyAlignment="true" applyProtection="false">
      <alignment horizontal="center" vertical="center" textRotation="0" wrapText="false" indent="0" shrinkToFit="false"/>
      <protection locked="true" hidden="false"/>
    </xf>
    <xf numFmtId="172" fontId="29" fillId="10" borderId="5" xfId="0" applyFont="true" applyBorder="true" applyAlignment="true" applyProtection="true">
      <alignment horizontal="center" vertical="center" textRotation="0" wrapText="false" indent="0" shrinkToFit="false"/>
      <protection locked="false" hidden="false"/>
    </xf>
    <xf numFmtId="170" fontId="20" fillId="0" borderId="0" xfId="0" applyFont="true" applyBorder="false" applyAlignment="true" applyProtection="false">
      <alignment horizontal="center" vertical="center" textRotation="0" wrapText="false" indent="0" shrinkToFit="false"/>
      <protection locked="true" hidden="false"/>
    </xf>
    <xf numFmtId="166" fontId="29" fillId="10" borderId="5" xfId="0" applyFont="true" applyBorder="true" applyAlignment="true" applyProtection="true">
      <alignment horizontal="center" vertical="center" textRotation="0" wrapText="false" indent="0" shrinkToFit="false"/>
      <protection locked="false" hidden="false"/>
    </xf>
    <xf numFmtId="173" fontId="29" fillId="10" borderId="5" xfId="0" applyFont="true" applyBorder="true" applyAlignment="true" applyProtection="true">
      <alignment horizontal="center" vertical="center" textRotation="0" wrapText="false" indent="0" shrinkToFit="false"/>
      <protection locked="false" hidden="false"/>
    </xf>
    <xf numFmtId="168" fontId="20" fillId="0" borderId="0" xfId="0" applyFont="true" applyBorder="false" applyAlignment="true" applyProtection="false">
      <alignment horizontal="center" vertical="center" textRotation="0" wrapText="false" indent="0" shrinkToFit="false"/>
      <protection locked="true" hidden="false"/>
    </xf>
    <xf numFmtId="174" fontId="29" fillId="10" borderId="5" xfId="0" applyFont="true" applyBorder="true" applyAlignment="true" applyProtection="true">
      <alignment horizontal="center" vertical="center" textRotation="0" wrapText="false" indent="0" shrinkToFit="false"/>
      <protection locked="false" hidden="false"/>
    </xf>
    <xf numFmtId="175" fontId="29" fillId="10" borderId="5" xfId="0" applyFont="true" applyBorder="true" applyAlignment="true" applyProtection="true">
      <alignment horizontal="center" vertical="center" textRotation="0" wrapText="false" indent="0" shrinkToFit="false"/>
      <protection locked="false" hidden="false"/>
    </xf>
    <xf numFmtId="164" fontId="29" fillId="0" borderId="5" xfId="0" applyFont="true" applyBorder="true" applyAlignment="true" applyProtection="false">
      <alignment horizontal="left" vertical="center" textRotation="0" wrapText="false" indent="0" shrinkToFit="false"/>
      <protection locked="true" hidden="false"/>
    </xf>
    <xf numFmtId="164" fontId="29" fillId="0" borderId="5" xfId="0" applyFont="true" applyBorder="true" applyAlignment="true" applyProtection="false">
      <alignment horizontal="center" vertical="center" textRotation="0" wrapText="false" indent="0" shrinkToFit="false"/>
      <protection locked="true" hidden="false"/>
    </xf>
    <xf numFmtId="164" fontId="29" fillId="10" borderId="5" xfId="0" applyFont="true" applyBorder="true" applyAlignment="true" applyProtection="true">
      <alignment horizontal="center" vertical="center" textRotation="0" wrapText="false" indent="0" shrinkToFit="false"/>
      <protection locked="false" hidden="false"/>
    </xf>
    <xf numFmtId="166" fontId="29" fillId="0" borderId="5" xfId="0" applyFont="true" applyBorder="true" applyAlignment="true" applyProtection="false">
      <alignment horizontal="center" vertical="center" textRotation="0" wrapText="false" indent="0" shrinkToFit="false"/>
      <protection locked="true" hidden="false"/>
    </xf>
    <xf numFmtId="166" fontId="20" fillId="0" borderId="0" xfId="0" applyFont="true" applyBorder="false" applyAlignment="true" applyProtection="false">
      <alignment horizontal="center" vertical="center" textRotation="0" wrapText="false" indent="0" shrinkToFit="false"/>
      <protection locked="true" hidden="false"/>
    </xf>
    <xf numFmtId="166" fontId="29"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76" fontId="20" fillId="0" borderId="0" xfId="0" applyFont="true" applyBorder="false" applyAlignment="true" applyProtection="false">
      <alignment horizontal="center" vertical="center" textRotation="0" wrapText="false" indent="0" shrinkToFit="false"/>
      <protection locked="true" hidden="false"/>
    </xf>
    <xf numFmtId="173" fontId="29" fillId="0" borderId="5" xfId="0" applyFont="true" applyBorder="true" applyAlignment="true" applyProtection="true">
      <alignment horizontal="center" vertical="center" textRotation="0" wrapText="false" indent="0" shrinkToFit="false"/>
      <protection locked="false" hidden="false"/>
    </xf>
    <xf numFmtId="173" fontId="29" fillId="0" borderId="0" xfId="0" applyFont="true" applyBorder="false" applyAlignment="true" applyProtection="true">
      <alignment horizontal="center" vertical="center" textRotation="0" wrapText="false" indent="0" shrinkToFit="false"/>
      <protection locked="false" hidden="false"/>
    </xf>
    <xf numFmtId="164" fontId="25" fillId="9" borderId="7" xfId="0" applyFont="true" applyBorder="true" applyAlignment="true" applyProtection="false">
      <alignment horizontal="center" vertical="center" textRotation="0" wrapText="false" indent="0" shrinkToFit="false"/>
      <protection locked="true" hidden="false"/>
    </xf>
    <xf numFmtId="164" fontId="20" fillId="5" borderId="6"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0" fillId="0" borderId="8" xfId="0" applyFont="true" applyBorder="true" applyAlignment="true" applyProtection="true">
      <alignment horizontal="center" vertical="center" textRotation="0" wrapText="false" indent="0" shrinkToFit="false"/>
      <protection locked="false" hidden="false"/>
    </xf>
    <xf numFmtId="177" fontId="20" fillId="0" borderId="8" xfId="0" applyFont="true" applyBorder="true" applyAlignment="true" applyProtection="true">
      <alignment horizontal="center" vertical="center" textRotation="0" wrapText="false" indent="0" shrinkToFit="false"/>
      <protection locked="false" hidden="false"/>
    </xf>
    <xf numFmtId="178" fontId="20" fillId="0" borderId="8" xfId="0" applyFont="true" applyBorder="true" applyAlignment="true" applyProtection="true">
      <alignment horizontal="center" vertical="center" textRotation="0" wrapText="false" indent="0" shrinkToFit="false"/>
      <protection locked="false" hidden="false"/>
    </xf>
    <xf numFmtId="168" fontId="20" fillId="0" borderId="8" xfId="0" applyFont="true" applyBorder="true" applyAlignment="true" applyProtection="true">
      <alignment horizontal="center" vertical="center" textRotation="0" wrapText="false" indent="0" shrinkToFit="false"/>
      <protection locked="false" hidden="false"/>
    </xf>
    <xf numFmtId="164" fontId="20" fillId="0" borderId="8" xfId="0" applyFont="true" applyBorder="true" applyAlignment="true" applyProtection="true">
      <alignment horizontal="left" vertical="center" textRotation="0" wrapText="false" indent="0" shrinkToFit="false"/>
      <protection locked="false" hidden="false"/>
    </xf>
    <xf numFmtId="164" fontId="20" fillId="0" borderId="8" xfId="0" applyFont="true" applyBorder="true" applyAlignment="true" applyProtection="false">
      <alignment horizontal="center" vertical="center" textRotation="0" wrapText="false" indent="0" shrinkToFit="false"/>
      <protection locked="true" hidden="false"/>
    </xf>
    <xf numFmtId="164" fontId="20" fillId="11" borderId="8" xfId="0" applyFont="true" applyBorder="true" applyAlignment="true" applyProtection="true">
      <alignment horizontal="center" vertical="center" textRotation="0" wrapText="false" indent="0" shrinkToFit="false"/>
      <protection locked="false" hidden="false"/>
    </xf>
    <xf numFmtId="177" fontId="20" fillId="11" borderId="8" xfId="0" applyFont="true" applyBorder="true" applyAlignment="true" applyProtection="true">
      <alignment horizontal="center" vertical="center" textRotation="0" wrapText="false" indent="0" shrinkToFit="false"/>
      <protection locked="false" hidden="false"/>
    </xf>
    <xf numFmtId="168" fontId="20" fillId="11" borderId="8" xfId="0" applyFont="true" applyBorder="true" applyAlignment="true" applyProtection="true">
      <alignment horizontal="center" vertical="center" textRotation="0" wrapText="false" indent="0" shrinkToFit="false"/>
      <protection locked="false" hidden="false"/>
    </xf>
    <xf numFmtId="164" fontId="20" fillId="11" borderId="8" xfId="0" applyFont="true" applyBorder="true" applyAlignment="true" applyProtection="true">
      <alignment horizontal="left" vertical="center" textRotation="0" wrapText="false" indent="0" shrinkToFit="false"/>
      <protection locked="false" hidden="false"/>
    </xf>
    <xf numFmtId="164" fontId="31" fillId="0" borderId="5" xfId="0" applyFont="true" applyBorder="true" applyAlignment="true" applyProtection="false">
      <alignment horizontal="center" vertical="center" textRotation="0" wrapText="false" indent="0" shrinkToFit="false"/>
      <protection locked="true" hidden="false"/>
    </xf>
    <xf numFmtId="164" fontId="27" fillId="2" borderId="5" xfId="0" applyFont="true" applyBorder="true" applyAlignment="true" applyProtection="false">
      <alignment horizontal="general" vertical="center" textRotation="0" wrapText="false" indent="0" shrinkToFit="false"/>
      <protection locked="true" hidden="false"/>
    </xf>
    <xf numFmtId="164" fontId="31" fillId="0" borderId="5" xfId="0" applyFont="true" applyBorder="true" applyAlignment="true" applyProtection="false">
      <alignment horizontal="center" vertical="center" textRotation="0" wrapText="true" indent="0" shrinkToFit="false"/>
      <protection locked="true" hidden="false"/>
    </xf>
    <xf numFmtId="164" fontId="28" fillId="5" borderId="5" xfId="0" applyFont="true" applyBorder="true" applyAlignment="true" applyProtection="false">
      <alignment horizontal="center" vertical="center" textRotation="0" wrapText="true" indent="0" shrinkToFit="false"/>
      <protection locked="true" hidden="false"/>
    </xf>
    <xf numFmtId="164" fontId="28" fillId="5"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79" fontId="32" fillId="0" borderId="0" xfId="0" applyFont="true" applyBorder="false" applyAlignment="true" applyProtection="false">
      <alignment horizontal="center" vertical="center" textRotation="0" wrapText="false" indent="0" shrinkToFit="false"/>
      <protection locked="true" hidden="false"/>
    </xf>
    <xf numFmtId="180" fontId="31" fillId="0" borderId="5" xfId="0" applyFont="true" applyBorder="true" applyAlignment="true" applyProtection="false">
      <alignment horizontal="center" vertical="center" textRotation="0" wrapText="true" indent="0" shrinkToFit="false"/>
      <protection locked="true" hidden="false"/>
    </xf>
    <xf numFmtId="181" fontId="32" fillId="0" borderId="0" xfId="0" applyFont="true" applyBorder="false" applyAlignment="true" applyProtection="false">
      <alignment horizontal="center" vertical="center" textRotation="0" wrapText="false" indent="0" shrinkToFit="false"/>
      <protection locked="true" hidden="false"/>
    </xf>
    <xf numFmtId="173" fontId="31" fillId="0" borderId="5" xfId="0" applyFont="true" applyBorder="true" applyAlignment="true" applyProtection="false">
      <alignment horizontal="center" vertical="center" textRotation="0" wrapText="true" indent="0" shrinkToFit="false"/>
      <protection locked="true" hidden="false"/>
    </xf>
    <xf numFmtId="179" fontId="31" fillId="0" borderId="5" xfId="0" applyFont="true" applyBorder="true" applyAlignment="true" applyProtection="false">
      <alignment horizontal="center" vertical="center" textRotation="0" wrapText="false" indent="0" shrinkToFit="false"/>
      <protection locked="true" hidden="false"/>
    </xf>
    <xf numFmtId="182" fontId="31" fillId="0" borderId="5" xfId="0" applyFont="true" applyBorder="true" applyAlignment="true" applyProtection="false">
      <alignment horizontal="center" vertical="center" textRotation="0" wrapText="false" indent="0" shrinkToFit="false"/>
      <protection locked="true" hidden="false"/>
    </xf>
    <xf numFmtId="181" fontId="31" fillId="0" borderId="5" xfId="0" applyFont="true" applyBorder="tru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32" fillId="11" borderId="0" xfId="0" applyFont="true" applyBorder="false" applyAlignment="true" applyProtection="false">
      <alignment horizontal="center" vertical="center" textRotation="0" wrapText="false" indent="0" shrinkToFit="false"/>
      <protection locked="true" hidden="false"/>
    </xf>
    <xf numFmtId="179" fontId="32" fillId="11" borderId="0" xfId="0" applyFont="true" applyBorder="false" applyAlignment="true" applyProtection="false">
      <alignment horizontal="center" vertical="center" textRotation="0" wrapText="false" indent="0" shrinkToFit="false"/>
      <protection locked="true" hidden="false"/>
    </xf>
    <xf numFmtId="180" fontId="31" fillId="11" borderId="5" xfId="0" applyFont="true" applyBorder="true" applyAlignment="true" applyProtection="false">
      <alignment horizontal="center" vertical="center" textRotation="0" wrapText="true" indent="0" shrinkToFit="false"/>
      <protection locked="true" hidden="false"/>
    </xf>
    <xf numFmtId="181" fontId="32" fillId="11" borderId="0" xfId="0" applyFont="true" applyBorder="false" applyAlignment="true" applyProtection="false">
      <alignment horizontal="center" vertical="center" textRotation="0" wrapText="false" indent="0" shrinkToFit="false"/>
      <protection locked="true" hidden="false"/>
    </xf>
    <xf numFmtId="173" fontId="31" fillId="11" borderId="5" xfId="0" applyFont="true" applyBorder="true" applyAlignment="true" applyProtection="false">
      <alignment horizontal="center" vertical="center" textRotation="0" wrapText="true" indent="0" shrinkToFit="false"/>
      <protection locked="true" hidden="false"/>
    </xf>
    <xf numFmtId="164" fontId="31" fillId="11" borderId="5" xfId="0" applyFont="true" applyBorder="true" applyAlignment="true" applyProtection="false">
      <alignment horizontal="center" vertical="center" textRotation="0" wrapText="false" indent="0" shrinkToFit="false"/>
      <protection locked="true" hidden="false"/>
    </xf>
    <xf numFmtId="179" fontId="31" fillId="11" borderId="5" xfId="0" applyFont="true" applyBorder="true" applyAlignment="true" applyProtection="false">
      <alignment horizontal="center" vertical="center" textRotation="0" wrapText="false" indent="0" shrinkToFit="false"/>
      <protection locked="true" hidden="false"/>
    </xf>
    <xf numFmtId="182" fontId="31" fillId="11" borderId="5" xfId="0" applyFont="true" applyBorder="true" applyAlignment="true" applyProtection="false">
      <alignment horizontal="center" vertical="center" textRotation="0" wrapText="false" indent="0" shrinkToFit="false"/>
      <protection locked="true" hidden="false"/>
    </xf>
    <xf numFmtId="181" fontId="31" fillId="11" borderId="5" xfId="0" applyFont="true" applyBorder="true" applyAlignment="true" applyProtection="false">
      <alignment horizontal="center" vertical="center" textRotation="0" wrapText="false" indent="0" shrinkToFit="false"/>
      <protection locked="true" hidden="false"/>
    </xf>
    <xf numFmtId="164" fontId="32" fillId="11" borderId="0" xfId="0" applyFont="true" applyBorder="false" applyAlignment="true" applyProtection="false">
      <alignment horizontal="left" vertical="center" textRotation="0" wrapText="false" indent="0" shrinkToFit="false"/>
      <protection locked="true" hidden="false"/>
    </xf>
    <xf numFmtId="180" fontId="31" fillId="11" borderId="5" xfId="0" applyFont="true" applyBorder="true" applyAlignment="true" applyProtection="false">
      <alignment horizontal="center" vertical="center" textRotation="0" wrapText="false" indent="0" shrinkToFit="false"/>
      <protection locked="true" hidden="false"/>
    </xf>
    <xf numFmtId="173" fontId="31" fillId="11" borderId="5" xfId="0" applyFont="true" applyBorder="true" applyAlignment="true" applyProtection="false">
      <alignment horizontal="center" vertical="center" textRotation="0" wrapText="false" indent="0" shrinkToFit="false"/>
      <protection locked="true" hidden="false"/>
    </xf>
    <xf numFmtId="180" fontId="31" fillId="0" borderId="5" xfId="0" applyFont="true" applyBorder="true" applyAlignment="true" applyProtection="false">
      <alignment horizontal="center" vertical="center" textRotation="0" wrapText="false" indent="0" shrinkToFit="false"/>
      <protection locked="true" hidden="false"/>
    </xf>
    <xf numFmtId="173" fontId="31" fillId="0" borderId="5" xfId="0" applyFont="true" applyBorder="true" applyAlignment="true" applyProtection="false">
      <alignment horizontal="center" vertical="center" textRotation="0" wrapText="false" indent="0" shrinkToFit="false"/>
      <protection locked="true" hidden="false"/>
    </xf>
    <xf numFmtId="164" fontId="31" fillId="11" borderId="5" xfId="0" applyFont="true" applyBorder="true" applyAlignment="true" applyProtection="false">
      <alignment horizontal="left" vertical="center" textRotation="0" wrapText="false" indent="0" shrinkToFit="false"/>
      <protection locked="true" hidden="false"/>
    </xf>
    <xf numFmtId="164" fontId="31" fillId="0" borderId="5" xfId="0" applyFont="true" applyBorder="true" applyAlignment="true" applyProtection="false">
      <alignment horizontal="general" vertical="bottom" textRotation="0" wrapText="false" indent="0" shrinkToFit="false"/>
      <protection locked="true" hidden="false"/>
    </xf>
    <xf numFmtId="173" fontId="31" fillId="0" borderId="5"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1" fillId="0" borderId="5" xfId="0" applyFont="true" applyBorder="true" applyAlignment="true" applyProtection="false">
      <alignment horizontal="left" vertical="center" textRotation="0" wrapText="false" indent="0" shrinkToFit="false"/>
      <protection locked="true" hidden="false"/>
    </xf>
    <xf numFmtId="164" fontId="31" fillId="0" borderId="5" xfId="0" applyFont="true" applyBorder="true" applyAlignment="true" applyProtection="false">
      <alignment horizontal="general" vertical="bottom" textRotation="0" wrapText="true" indent="0" shrinkToFit="false"/>
      <protection locked="true" hidden="false"/>
    </xf>
    <xf numFmtId="181" fontId="31" fillId="0" borderId="5" xfId="0" applyFont="true" applyBorder="true" applyAlignment="true" applyProtection="false">
      <alignment horizontal="left"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8" fontId="20" fillId="0" borderId="0" xfId="0" applyFont="true" applyBorder="false" applyAlignment="true" applyProtection="false">
      <alignment horizontal="general" vertical="bottom" textRotation="0" wrapText="false" indent="0" shrinkToFit="false"/>
      <protection locked="true" hidden="false"/>
    </xf>
    <xf numFmtId="164" fontId="29" fillId="0" borderId="5" xfId="0" applyFont="true" applyBorder="true" applyAlignment="true" applyProtection="false">
      <alignment horizontal="center" vertical="center" textRotation="0" wrapText="true" indent="0" shrinkToFit="false"/>
      <protection locked="true" hidden="false"/>
    </xf>
    <xf numFmtId="164" fontId="28" fillId="5" borderId="6" xfId="0" applyFont="true" applyBorder="true" applyAlignment="true" applyProtection="false">
      <alignment horizontal="center" vertical="center" textRotation="0" wrapText="false" indent="0" shrinkToFit="false"/>
      <protection locked="true" hidden="false"/>
    </xf>
    <xf numFmtId="183" fontId="28" fillId="5" borderId="6" xfId="0" applyFont="true" applyBorder="true" applyAlignment="true" applyProtection="false">
      <alignment horizontal="center" vertical="center" textRotation="0" wrapText="false" indent="0" shrinkToFit="false"/>
      <protection locked="true" hidden="false"/>
    </xf>
    <xf numFmtId="184" fontId="20" fillId="0" borderId="0" xfId="0" applyFont="true" applyBorder="false" applyAlignment="true" applyProtection="false">
      <alignment horizontal="center" vertical="center" textRotation="0" wrapText="fals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84" fontId="11" fillId="3" borderId="0" xfId="0" applyFont="true" applyBorder="false" applyAlignment="true" applyProtection="false">
      <alignment horizontal="center" vertical="center" textRotation="0" wrapText="false" indent="0" shrinkToFit="false"/>
      <protection locked="true" hidden="false"/>
    </xf>
    <xf numFmtId="183" fontId="20" fillId="9" borderId="7" xfId="0" applyFont="true" applyBorder="true" applyAlignment="true" applyProtection="false">
      <alignment horizontal="center" vertical="center" textRotation="0" wrapText="false" indent="0" shrinkToFit="false"/>
      <protection locked="true" hidden="false"/>
    </xf>
    <xf numFmtId="183" fontId="20" fillId="0" borderId="0" xfId="0" applyFont="true" applyBorder="false" applyAlignment="true" applyProtection="false">
      <alignment horizontal="center" vertical="center" textRotation="0" wrapText="false" indent="0" shrinkToFit="false"/>
      <protection locked="true" hidden="false"/>
    </xf>
    <xf numFmtId="184" fontId="20" fillId="0" borderId="0" xfId="0" applyFont="true" applyBorder="false" applyAlignment="true" applyProtection="false">
      <alignment horizontal="right" vertical="center" textRotation="0" wrapText="false" indent="0" shrinkToFit="false"/>
      <protection locked="true" hidden="false"/>
    </xf>
    <xf numFmtId="184" fontId="20" fillId="0" borderId="0" xfId="0" applyFont="true" applyBorder="false" applyAlignment="true" applyProtection="false">
      <alignment horizontal="right" vertical="bottom" textRotation="0" wrapText="false" indent="0" shrinkToFit="false"/>
      <protection locked="true" hidden="false"/>
    </xf>
    <xf numFmtId="184" fontId="29" fillId="0" borderId="0" xfId="0" applyFont="true" applyBorder="false" applyAlignment="true" applyProtection="false">
      <alignment horizontal="right" vertical="center" textRotation="0" wrapText="false" indent="0" shrinkToFit="false"/>
      <protection locked="true" hidden="false"/>
    </xf>
    <xf numFmtId="164" fontId="23" fillId="0" borderId="5" xfId="0" applyFont="true" applyBorder="true" applyAlignment="true" applyProtection="false">
      <alignment horizontal="center" vertical="center" textRotation="0" wrapText="false" indent="0" shrinkToFit="false"/>
      <protection locked="true" hidden="false"/>
    </xf>
    <xf numFmtId="184" fontId="23" fillId="0" borderId="0" xfId="0" applyFont="true" applyBorder="false" applyAlignment="true" applyProtection="false">
      <alignment horizontal="right"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84" fontId="23" fillId="0" borderId="0" xfId="0" applyFont="true" applyBorder="false" applyAlignment="true" applyProtection="false">
      <alignment horizontal="right" vertical="center" textRotation="0" wrapText="false" indent="0" shrinkToFit="false"/>
      <protection locked="true" hidden="false"/>
    </xf>
    <xf numFmtId="183" fontId="29" fillId="0" borderId="0" xfId="0" applyFont="true" applyBorder="false" applyAlignment="true" applyProtection="false">
      <alignment horizontal="center" vertical="center" textRotation="0" wrapText="false" indent="0" shrinkToFit="false"/>
      <protection locked="true" hidden="false"/>
    </xf>
    <xf numFmtId="173" fontId="29" fillId="0" borderId="5" xfId="0" applyFont="true" applyBorder="true" applyAlignment="true" applyProtection="false">
      <alignment horizontal="center" vertical="center" textRotation="0" wrapText="false" indent="0" shrinkToFit="false"/>
      <protection locked="true" hidden="false"/>
    </xf>
    <xf numFmtId="172" fontId="20" fillId="0" borderId="0" xfId="0" applyFont="true" applyBorder="false" applyAlignment="true" applyProtection="false">
      <alignment horizontal="right" vertical="center" textRotation="0" wrapText="false" indent="0" shrinkToFit="false"/>
      <protection locked="true" hidden="false"/>
    </xf>
    <xf numFmtId="173" fontId="20" fillId="0" borderId="0" xfId="0" applyFont="true" applyBorder="false" applyAlignment="true" applyProtection="false">
      <alignment horizontal="left" vertical="center" textRotation="0" wrapText="false" indent="0" shrinkToFit="false"/>
      <protection locked="true" hidden="false"/>
    </xf>
    <xf numFmtId="173" fontId="20" fillId="0" borderId="0" xfId="0" applyFont="true" applyBorder="false" applyAlignment="true" applyProtection="false">
      <alignment horizontal="center" vertical="center" textRotation="0" wrapText="false" indent="0" shrinkToFit="false"/>
      <protection locked="true" hidden="false"/>
    </xf>
    <xf numFmtId="173" fontId="29"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36" fillId="0" borderId="5" xfId="0" applyFont="true" applyBorder="true" applyAlignment="true" applyProtection="false">
      <alignment horizontal="left" vertical="center"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9" xfId="0" applyFont="true" applyBorder="true" applyAlignment="true" applyProtection="false">
      <alignment horizontal="center" vertical="center" textRotation="0" wrapText="false" indent="0" shrinkToFit="false"/>
      <protection locked="true" hidden="false"/>
    </xf>
    <xf numFmtId="164" fontId="37" fillId="0" borderId="10" xfId="0" applyFont="true" applyBorder="true" applyAlignment="true" applyProtection="false">
      <alignment horizontal="center" vertical="center" textRotation="0" wrapText="false" indent="0" shrinkToFit="false"/>
      <protection locked="true" hidden="false"/>
    </xf>
    <xf numFmtId="170" fontId="37" fillId="0" borderId="10" xfId="0" applyFont="true" applyBorder="true" applyAlignment="true" applyProtection="false">
      <alignment horizontal="center" vertical="center" textRotation="0" wrapText="false" indent="0" shrinkToFit="false"/>
      <protection locked="true" hidden="false"/>
    </xf>
    <xf numFmtId="164" fontId="37" fillId="0" borderId="10" xfId="0" applyFont="true" applyBorder="tru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false" indent="0" shrinkToFit="false"/>
      <protection locked="true" hidden="false"/>
    </xf>
    <xf numFmtId="172" fontId="37" fillId="0" borderId="10" xfId="0" applyFont="true" applyBorder="true" applyAlignment="true" applyProtection="false">
      <alignment horizontal="center" vertical="center" textRotation="0" wrapText="false" indent="0" shrinkToFit="false"/>
      <protection locked="true" hidden="false"/>
    </xf>
    <xf numFmtId="173" fontId="37" fillId="0" borderId="10" xfId="0" applyFont="true" applyBorder="true" applyAlignment="true" applyProtection="false">
      <alignment horizontal="center" vertical="center" textRotation="0" wrapText="false" indent="0" shrinkToFit="false"/>
      <protection locked="true" hidden="false"/>
    </xf>
    <xf numFmtId="171" fontId="37" fillId="0" borderId="10" xfId="0" applyFont="true" applyBorder="true" applyAlignment="true" applyProtection="false">
      <alignment horizontal="center" vertical="center" textRotation="0" wrapText="false" indent="0" shrinkToFit="false"/>
      <protection locked="true" hidden="false"/>
    </xf>
    <xf numFmtId="166" fontId="37" fillId="0" borderId="10" xfId="0" applyFont="true" applyBorder="true" applyAlignment="true" applyProtection="false">
      <alignment horizontal="center" vertical="center" textRotation="0" wrapText="false" indent="0" shrinkToFit="false"/>
      <protection locked="true" hidden="false"/>
    </xf>
    <xf numFmtId="164" fontId="39" fillId="0" borderId="10" xfId="0" applyFont="true" applyBorder="true" applyAlignment="true" applyProtection="false">
      <alignment horizontal="center" vertical="center" textRotation="0" wrapText="false" indent="0" shrinkToFit="false"/>
      <protection locked="true" hidden="false"/>
    </xf>
    <xf numFmtId="164" fontId="39" fillId="0" borderId="10" xfId="0" applyFont="true" applyBorder="true" applyAlignment="true" applyProtection="false">
      <alignment horizontal="left" vertical="center" textRotation="0" wrapText="false" indent="0" shrinkToFit="false"/>
      <protection locked="true" hidden="false"/>
    </xf>
    <xf numFmtId="175" fontId="37" fillId="0" borderId="10" xfId="0" applyFont="true" applyBorder="true" applyAlignment="true" applyProtection="false">
      <alignment horizontal="center" vertical="center" textRotation="0" wrapText="false" indent="0" shrinkToFit="false"/>
      <protection locked="true" hidden="false"/>
    </xf>
    <xf numFmtId="174" fontId="37" fillId="0" borderId="10"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left" vertical="center" textRotation="0" wrapText="false" indent="0" shrinkToFit="false"/>
      <protection locked="true" hidden="false"/>
    </xf>
    <xf numFmtId="164" fontId="38" fillId="0" borderId="5" xfId="0" applyFont="true" applyBorder="true" applyAlignment="true" applyProtection="false">
      <alignment horizontal="left" vertical="center" textRotation="0" wrapText="false" indent="0" shrinkToFit="false"/>
      <protection locked="true" hidden="false"/>
    </xf>
    <xf numFmtId="164" fontId="40" fillId="0" borderId="5" xfId="0" applyFont="true" applyBorder="true" applyAlignment="true" applyProtection="false">
      <alignment horizontal="left" vertical="center" textRotation="0" wrapText="false" indent="0" shrinkToFit="false"/>
      <protection locked="true" hidden="false"/>
    </xf>
    <xf numFmtId="164" fontId="41" fillId="0" borderId="0" xfId="0" applyFont="true" applyBorder="false" applyAlignment="true" applyProtection="false">
      <alignment horizontal="left" vertical="center" textRotation="0" wrapText="false" indent="0" shrinkToFit="false"/>
      <protection locked="true" hidden="false"/>
    </xf>
    <xf numFmtId="164" fontId="42" fillId="0" borderId="0" xfId="0" applyFont="true" applyBorder="true" applyAlignment="true" applyProtection="false">
      <alignment horizontal="left" vertical="center" textRotation="0" wrapText="false" indent="0" shrinkToFit="false"/>
      <protection locked="true" hidden="false"/>
    </xf>
    <xf numFmtId="164" fontId="43" fillId="0" borderId="0" xfId="0" applyFont="true" applyBorder="false" applyAlignment="true" applyProtection="false">
      <alignment horizontal="left" vertical="center" textRotation="0" wrapText="false" indent="0" shrinkToFit="false"/>
      <protection locked="true" hidden="false"/>
    </xf>
    <xf numFmtId="164" fontId="38" fillId="0" borderId="9" xfId="0" applyFont="true" applyBorder="true" applyAlignment="true" applyProtection="false">
      <alignment horizontal="center" vertical="center" textRotation="0" wrapText="true" indent="0" shrinkToFit="false"/>
      <protection locked="true" hidden="false"/>
    </xf>
    <xf numFmtId="164" fontId="38" fillId="0" borderId="5" xfId="0" applyFont="true" applyBorder="true" applyAlignment="true" applyProtection="false">
      <alignment horizontal="center" vertical="center" textRotation="0" wrapText="true" indent="0" shrinkToFit="false"/>
      <protection locked="true" hidden="false"/>
    </xf>
    <xf numFmtId="164" fontId="41" fillId="0" borderId="0" xfId="0" applyFont="true" applyBorder="false" applyAlignment="true" applyProtection="false">
      <alignment horizontal="center" vertical="center" textRotation="0" wrapText="true" indent="0" shrinkToFit="false"/>
      <protection locked="true" hidden="false"/>
    </xf>
    <xf numFmtId="164" fontId="38" fillId="0" borderId="9" xfId="0" applyFont="true" applyBorder="true" applyAlignment="true" applyProtection="false">
      <alignment horizontal="left" vertical="center" textRotation="0" wrapText="false" indent="0" shrinkToFit="false"/>
      <protection locked="true" hidden="false"/>
    </xf>
    <xf numFmtId="164" fontId="38" fillId="0" borderId="9" xfId="0" applyFont="true" applyBorder="true" applyAlignment="true" applyProtection="false">
      <alignment horizontal="left" vertical="center" textRotation="0" wrapText="false" indent="0" shrinkToFit="false"/>
      <protection locked="true" hidden="false"/>
    </xf>
    <xf numFmtId="172" fontId="38" fillId="0" borderId="9" xfId="0" applyFont="true" applyBorder="true" applyAlignment="true" applyProtection="false">
      <alignment horizontal="left" vertical="center" textRotation="0" wrapText="false" indent="0" shrinkToFit="false"/>
      <protection locked="true" hidden="false"/>
    </xf>
    <xf numFmtId="180" fontId="38" fillId="0" borderId="9" xfId="0" applyFont="true" applyBorder="true" applyAlignment="true" applyProtection="false">
      <alignment horizontal="left" vertical="center" textRotation="0" wrapText="false" indent="0" shrinkToFit="false"/>
      <protection locked="true" hidden="false"/>
    </xf>
    <xf numFmtId="177" fontId="38" fillId="0" borderId="9" xfId="0" applyFont="true" applyBorder="true" applyAlignment="true" applyProtection="false">
      <alignment horizontal="left" vertical="center" textRotation="0" wrapText="false" indent="0" shrinkToFit="false"/>
      <protection locked="true" hidden="false"/>
    </xf>
    <xf numFmtId="174" fontId="38" fillId="0" borderId="9" xfId="0" applyFont="true" applyBorder="true" applyAlignment="true" applyProtection="false">
      <alignment horizontal="left" vertical="center" textRotation="0" wrapText="false" indent="0" shrinkToFit="false"/>
      <protection locked="true" hidden="false"/>
    </xf>
    <xf numFmtId="166" fontId="38" fillId="0" borderId="9" xfId="0" applyFont="true" applyBorder="true" applyAlignment="true" applyProtection="false">
      <alignment horizontal="left" vertical="center" textRotation="0" wrapText="false" indent="0" shrinkToFit="false"/>
      <protection locked="true" hidden="false"/>
    </xf>
    <xf numFmtId="173" fontId="38" fillId="0" borderId="9" xfId="0" applyFont="true" applyBorder="true" applyAlignment="true" applyProtection="false">
      <alignment horizontal="left" vertical="center" textRotation="0" wrapText="false" indent="0" shrinkToFit="false"/>
      <protection locked="true" hidden="false"/>
    </xf>
    <xf numFmtId="173" fontId="38" fillId="0" borderId="9" xfId="0" applyFont="true" applyBorder="true" applyAlignment="true" applyProtection="false">
      <alignment horizontal="general" vertical="bottom" textRotation="0" wrapText="false" indent="0" shrinkToFit="false"/>
      <protection locked="true" hidden="false"/>
    </xf>
    <xf numFmtId="177" fontId="37" fillId="0" borderId="0" xfId="0" applyFont="true" applyBorder="false" applyAlignment="true" applyProtection="false">
      <alignment horizontal="left" vertical="center" textRotation="0" wrapText="false" indent="0" shrinkToFit="false"/>
      <protection locked="true" hidden="false"/>
    </xf>
    <xf numFmtId="164" fontId="38" fillId="0" borderId="9" xfId="0" applyFont="true" applyBorder="true" applyAlignment="true" applyProtection="false">
      <alignment horizontal="general" vertical="top" textRotation="0" wrapText="true" indent="0" shrinkToFit="false"/>
      <protection locked="true" hidden="false"/>
    </xf>
    <xf numFmtId="173" fontId="37" fillId="0" borderId="0" xfId="0" applyFont="true" applyBorder="false" applyAlignment="true" applyProtection="false">
      <alignment horizontal="left" vertical="center" textRotation="0" wrapText="false" indent="0" shrinkToFit="false"/>
      <protection locked="true" hidden="false"/>
    </xf>
    <xf numFmtId="174" fontId="38" fillId="0" borderId="9" xfId="0" applyFont="true" applyBorder="true" applyAlignment="true" applyProtection="false">
      <alignment horizontal="center" vertical="center" textRotation="0" wrapText="false" indent="0" shrinkToFit="false"/>
      <protection locked="true" hidden="false"/>
    </xf>
    <xf numFmtId="166" fontId="38" fillId="0" borderId="9" xfId="0" applyFont="true" applyBorder="true" applyAlignment="true" applyProtection="false">
      <alignment horizontal="center" vertical="center" textRotation="0" wrapText="false" indent="0" shrinkToFit="false"/>
      <protection locked="true" hidden="false"/>
    </xf>
    <xf numFmtId="164" fontId="38" fillId="0" borderId="9" xfId="0" applyFont="true" applyBorder="true" applyAlignment="true" applyProtection="false">
      <alignment horizontal="general" vertical="bottom" textRotation="0" wrapText="false" indent="0" shrinkToFit="false"/>
      <protection locked="true" hidden="false"/>
    </xf>
    <xf numFmtId="172" fontId="38" fillId="0" borderId="9" xfId="0" applyFont="true" applyBorder="true" applyAlignment="true" applyProtection="false">
      <alignment horizontal="general" vertical="bottom" textRotation="0" wrapText="false" indent="0" shrinkToFit="false"/>
      <protection locked="true" hidden="false"/>
    </xf>
    <xf numFmtId="177" fontId="38" fillId="0" borderId="9" xfId="0" applyFont="true" applyBorder="tru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64" fontId="36" fillId="0" borderId="5"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4" fontId="40" fillId="0" borderId="5" xfId="0" applyFont="true" applyBorder="true" applyAlignment="true" applyProtection="false">
      <alignment horizontal="center" vertical="center" textRotation="0" wrapText="false" indent="0" shrinkToFit="false"/>
      <protection locked="true" hidden="false"/>
    </xf>
    <xf numFmtId="166" fontId="38" fillId="0" borderId="9" xfId="0" applyFont="true" applyBorder="true" applyAlignment="true" applyProtection="false">
      <alignment horizontal="center" vertical="bottom" textRotation="0" wrapText="false" indent="0" shrinkToFit="false"/>
      <protection locked="true" hidden="false"/>
    </xf>
    <xf numFmtId="164" fontId="44" fillId="0" borderId="0" xfId="0" applyFont="true" applyBorder="false" applyAlignment="true" applyProtection="false">
      <alignment horizontal="center" vertical="bottom" textRotation="0" wrapText="false" indent="0" shrinkToFit="false"/>
      <protection locked="true" hidden="false"/>
    </xf>
    <xf numFmtId="166" fontId="40" fillId="0" borderId="9" xfId="0" applyFont="true" applyBorder="tru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center" vertical="bottom" textRotation="0" wrapText="false" indent="0" shrinkToFit="false"/>
      <protection locked="true" hidden="false"/>
    </xf>
    <xf numFmtId="172" fontId="38" fillId="0" borderId="9" xfId="0" applyFont="true" applyBorder="true" applyAlignment="true" applyProtection="false">
      <alignment horizontal="center" vertical="bottom" textRotation="0" wrapText="false" indent="0" shrinkToFit="false"/>
      <protection locked="true" hidden="false"/>
    </xf>
    <xf numFmtId="170" fontId="38" fillId="0" borderId="9" xfId="0" applyFont="true" applyBorder="true" applyAlignment="true" applyProtection="false">
      <alignment horizontal="center" vertical="bottom" textRotation="0" wrapText="false" indent="0" shrinkToFit="false"/>
      <protection locked="true" hidden="false"/>
    </xf>
    <xf numFmtId="173" fontId="38" fillId="0" borderId="9" xfId="0" applyFont="true" applyBorder="true" applyAlignment="true" applyProtection="false">
      <alignment horizontal="center" vertical="bottom" textRotation="0" wrapText="false" indent="0" shrinkToFit="false"/>
      <protection locked="true" hidden="false"/>
    </xf>
    <xf numFmtId="174" fontId="38" fillId="0" borderId="9" xfId="0" applyFont="true" applyBorder="true" applyAlignment="true" applyProtection="false">
      <alignment horizontal="center" vertical="bottom" textRotation="0" wrapText="false" indent="0" shrinkToFit="false"/>
      <protection locked="true" hidden="false"/>
    </xf>
    <xf numFmtId="171" fontId="38" fillId="0" borderId="9" xfId="0" applyFont="true" applyBorder="true" applyAlignment="true" applyProtection="false">
      <alignment horizontal="center" vertical="bottom" textRotation="0" wrapText="false" indent="0" shrinkToFit="false"/>
      <protection locked="true" hidden="false"/>
    </xf>
    <xf numFmtId="175" fontId="38" fillId="0" borderId="9" xfId="0" applyFont="true" applyBorder="true" applyAlignment="true" applyProtection="false">
      <alignment horizontal="center" vertical="bottom" textRotation="0" wrapText="false" indent="0" shrinkToFit="false"/>
      <protection locked="true" hidden="false"/>
    </xf>
    <xf numFmtId="164" fontId="44" fillId="0" borderId="0" xfId="0" applyFont="true" applyBorder="true" applyAlignment="true" applyProtection="false">
      <alignment horizontal="center" vertical="bottom" textRotation="0" wrapText="true" indent="0" shrinkToFit="false"/>
      <protection locked="true" hidden="false"/>
    </xf>
    <xf numFmtId="164" fontId="45" fillId="0" borderId="0" xfId="0" applyFont="true" applyBorder="false" applyAlignment="true" applyProtection="false">
      <alignment horizontal="center" vertical="bottom" textRotation="0" wrapText="false" indent="0" shrinkToFit="false"/>
      <protection locked="true" hidden="false"/>
    </xf>
    <xf numFmtId="173" fontId="39" fillId="0" borderId="0" xfId="0" applyFont="true" applyBorder="false" applyAlignment="true" applyProtection="false">
      <alignment horizontal="center" vertical="bottom" textRotation="0" wrapText="false" indent="0" shrinkToFit="false"/>
      <protection locked="true" hidden="false"/>
    </xf>
    <xf numFmtId="168" fontId="39" fillId="0" borderId="0" xfId="0" applyFont="true" applyBorder="false" applyAlignment="true" applyProtection="false">
      <alignment horizontal="center" vertical="bottom" textRotation="0" wrapText="false" indent="0" shrinkToFit="false"/>
      <protection locked="true" hidden="false"/>
    </xf>
    <xf numFmtId="173" fontId="39" fillId="0" borderId="0" xfId="0" applyFont="true" applyBorder="false" applyAlignment="true" applyProtection="false">
      <alignment horizontal="center" vertical="center" textRotation="0" wrapText="false" indent="0" shrinkToFit="false"/>
      <protection locked="true" hidden="false"/>
    </xf>
    <xf numFmtId="168" fontId="39" fillId="0" borderId="0" xfId="0" applyFont="true" applyBorder="false" applyAlignment="true" applyProtection="false">
      <alignment horizontal="center" vertical="center" textRotation="0" wrapText="false" indent="0" shrinkToFit="false"/>
      <protection locked="true" hidden="false"/>
    </xf>
    <xf numFmtId="164" fontId="39" fillId="0" borderId="0" xfId="0" applyFont="true" applyBorder="false" applyAlignment="true" applyProtection="false">
      <alignment horizontal="center" vertical="center" textRotation="0" wrapText="false" indent="0" shrinkToFit="false"/>
      <protection locked="true" hidden="false"/>
    </xf>
    <xf numFmtId="164" fontId="45" fillId="0" borderId="0" xfId="0" applyFont="true" applyBorder="fals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center" vertical="center" textRotation="0" wrapText="true" indent="0" shrinkToFit="false"/>
      <protection locked="true" hidden="false"/>
    </xf>
    <xf numFmtId="166" fontId="38" fillId="0" borderId="5" xfId="0" applyFont="true" applyBorder="true" applyAlignment="true" applyProtection="false">
      <alignment horizontal="center" vertical="center" textRotation="0" wrapText="false" indent="0" shrinkToFit="false"/>
      <protection locked="true" hidden="false"/>
    </xf>
    <xf numFmtId="174" fontId="39" fillId="0" borderId="0" xfId="0" applyFont="true" applyBorder="fals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left"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41" fillId="0" borderId="10" xfId="0" applyFont="true" applyBorder="true" applyAlignment="true" applyProtection="false">
      <alignment horizontal="left" vertical="center" textRotation="0" wrapText="false" indent="0" shrinkToFit="false"/>
      <protection locked="true" hidden="false"/>
    </xf>
    <xf numFmtId="179" fontId="37" fillId="0" borderId="10" xfId="0" applyFont="true" applyBorder="true" applyAlignment="true" applyProtection="false">
      <alignment horizontal="center" vertical="center" textRotation="0" wrapText="false" indent="0" shrinkToFit="false"/>
      <protection locked="true" hidden="false"/>
    </xf>
    <xf numFmtId="179" fontId="37" fillId="0" borderId="0" xfId="0" applyFont="true" applyBorder="false" applyAlignment="true" applyProtection="false">
      <alignment horizontal="left" vertical="center" textRotation="0" wrapText="false" indent="0" shrinkToFit="false"/>
      <protection locked="true" hidden="false"/>
    </xf>
    <xf numFmtId="179" fontId="37" fillId="0" borderId="0" xfId="0" applyFont="true" applyBorder="false" applyAlignment="true" applyProtection="false">
      <alignment horizontal="center" vertical="center" textRotation="0" wrapText="false" indent="0" shrinkToFit="false"/>
      <protection locked="true" hidden="false"/>
    </xf>
    <xf numFmtId="177" fontId="37" fillId="0" borderId="0" xfId="0" applyFont="true" applyBorder="false" applyAlignment="true" applyProtection="false">
      <alignment horizontal="general" vertical="bottom" textRotation="0" wrapText="false" indent="0" shrinkToFit="false"/>
      <protection locked="true" hidden="false"/>
    </xf>
    <xf numFmtId="172" fontId="37" fillId="0" borderId="0" xfId="0" applyFont="true" applyBorder="false" applyAlignment="true" applyProtection="false">
      <alignment horizontal="general" vertical="bottom" textRotation="0" wrapText="false" indent="0" shrinkToFit="false"/>
      <protection locked="true" hidden="false"/>
    </xf>
    <xf numFmtId="173" fontId="37"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general" vertical="bottom" textRotation="0" wrapText="false" indent="0" shrinkToFit="false"/>
      <protection locked="true" hidden="false"/>
    </xf>
    <xf numFmtId="164" fontId="38" fillId="0" borderId="5" xfId="0" applyFont="true" applyBorder="tru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top" textRotation="0" wrapText="true" indent="0" shrinkToFit="false"/>
      <protection locked="true" hidden="false"/>
    </xf>
    <xf numFmtId="164" fontId="37" fillId="0" borderId="10" xfId="0" applyFont="true" applyBorder="true" applyAlignment="true" applyProtection="false">
      <alignment horizontal="general" vertical="bottom" textRotation="0" wrapText="false" indent="0" shrinkToFit="false"/>
      <protection locked="true" hidden="false"/>
    </xf>
    <xf numFmtId="172" fontId="39" fillId="0" borderId="10" xfId="0" applyFont="true" applyBorder="true" applyAlignment="true" applyProtection="false">
      <alignment horizontal="general" vertical="bottom" textRotation="0" wrapText="false" indent="0" shrinkToFit="false"/>
      <protection locked="true" hidden="false"/>
    </xf>
    <xf numFmtId="173" fontId="39" fillId="0" borderId="10" xfId="0" applyFont="true" applyBorder="true" applyAlignment="true" applyProtection="false">
      <alignment horizontal="general" vertical="bottom" textRotation="0" wrapText="false" indent="0" shrinkToFit="false"/>
      <protection locked="true" hidden="false"/>
    </xf>
    <xf numFmtId="164" fontId="40" fillId="0" borderId="9" xfId="0" applyFont="true" applyBorder="true" applyAlignment="true" applyProtection="false">
      <alignment horizontal="general" vertical="bottom" textRotation="0" wrapText="false" indent="0" shrinkToFit="false"/>
      <protection locked="true" hidden="false"/>
    </xf>
    <xf numFmtId="164" fontId="44" fillId="0" borderId="10" xfId="0" applyFont="true" applyBorder="true" applyAlignment="true" applyProtection="false">
      <alignment horizontal="general" vertical="bottom" textRotation="0" wrapText="true" indent="0" shrinkToFit="false"/>
      <protection locked="true" hidden="false"/>
    </xf>
    <xf numFmtId="173" fontId="39"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4" fontId="39" fillId="0" borderId="0" xfId="0" applyFont="true" applyBorder="false" applyAlignment="true" applyProtection="false">
      <alignment horizontal="general" vertical="bottom" textRotation="0" wrapText="false" indent="0" shrinkToFit="false"/>
      <protection locked="true" hidden="false"/>
    </xf>
    <xf numFmtId="164" fontId="38" fillId="0" borderId="5" xfId="0" applyFont="true" applyBorder="tru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5" fontId="39" fillId="0" borderId="0" xfId="0" applyFont="true" applyBorder="false" applyAlignment="true" applyProtection="false">
      <alignment horizontal="general" vertical="bottom" textRotation="0" wrapText="false" indent="0" shrinkToFit="false"/>
      <protection locked="true" hidden="false"/>
    </xf>
    <xf numFmtId="186" fontId="39" fillId="0" borderId="0" xfId="0" applyFont="true" applyBorder="false" applyAlignment="true" applyProtection="false">
      <alignment horizontal="general" vertical="bottom" textRotation="0" wrapText="false" indent="0" shrinkToFit="false"/>
      <protection locked="true" hidden="false"/>
    </xf>
    <xf numFmtId="164" fontId="40" fillId="0" borderId="5" xfId="0" applyFont="true" applyBorder="true" applyAlignment="true" applyProtection="false">
      <alignment horizontal="center" vertical="center" textRotation="0" wrapText="true" indent="0" shrinkToFit="false"/>
      <protection locked="true" hidden="false"/>
    </xf>
    <xf numFmtId="164" fontId="39" fillId="0" borderId="0" xfId="0" applyFont="true" applyBorder="false" applyAlignment="true" applyProtection="false">
      <alignment horizontal="center" vertical="center" textRotation="0" wrapText="true" indent="0" shrinkToFit="false"/>
      <protection locked="true" hidden="false"/>
    </xf>
    <xf numFmtId="164" fontId="26" fillId="2" borderId="0" xfId="0" applyFont="true" applyBorder="true" applyAlignment="true" applyProtection="false">
      <alignment horizontal="general" vertical="center" textRotation="0" wrapText="false" indent="0" shrinkToFit="false"/>
      <protection locked="true" hidden="false"/>
    </xf>
    <xf numFmtId="164" fontId="25" fillId="9" borderId="11" xfId="0" applyFont="true" applyBorder="true" applyAlignment="true" applyProtection="false">
      <alignment horizontal="center" vertical="center" textRotation="0" wrapText="true" indent="0" shrinkToFit="false"/>
      <protection locked="true" hidden="false"/>
    </xf>
    <xf numFmtId="164" fontId="20" fillId="11" borderId="12" xfId="0" applyFont="true" applyBorder="true" applyAlignment="true" applyProtection="false">
      <alignment horizontal="center" vertical="center" textRotation="0" wrapText="true" indent="0" shrinkToFit="false"/>
      <protection locked="true" hidden="false"/>
    </xf>
    <xf numFmtId="164" fontId="20" fillId="11" borderId="2" xfId="0" applyFont="true" applyBorder="true" applyAlignment="true" applyProtection="false">
      <alignment horizontal="center" vertical="center" textRotation="0" wrapText="true" indent="0" shrinkToFit="false"/>
      <protection locked="true" hidden="false"/>
    </xf>
    <xf numFmtId="164" fontId="47" fillId="11" borderId="2" xfId="0" applyFont="true" applyBorder="true" applyAlignment="true" applyProtection="false">
      <alignment horizontal="center" vertical="center" textRotation="0" wrapText="true" indent="0" shrinkToFit="false"/>
      <protection locked="true" hidden="false"/>
    </xf>
    <xf numFmtId="164" fontId="20" fillId="0" borderId="12" xfId="0" applyFont="true" applyBorder="true" applyAlignment="true" applyProtection="false">
      <alignment horizontal="center" vertical="center" textRotation="0" wrapText="true" indent="0" shrinkToFit="false"/>
      <protection locked="true" hidden="false"/>
    </xf>
    <xf numFmtId="164" fontId="20" fillId="0" borderId="2" xfId="0" applyFont="true" applyBorder="true" applyAlignment="true" applyProtection="false">
      <alignment horizontal="center" vertical="center" textRotation="0" wrapText="true" indent="0" shrinkToFit="false"/>
      <protection locked="true" hidden="false"/>
    </xf>
    <xf numFmtId="164" fontId="47" fillId="0" borderId="2" xfId="0" applyFont="true" applyBorder="true" applyAlignment="true" applyProtection="false">
      <alignment horizontal="center" vertical="center" textRotation="0" wrapText="true" indent="0" shrinkToFit="false"/>
      <protection locked="true" hidden="false"/>
    </xf>
    <xf numFmtId="164" fontId="25" fillId="9" borderId="2" xfId="0" applyFont="true" applyBorder="true" applyAlignment="true" applyProtection="false">
      <alignment horizontal="center" vertical="center" textRotation="0" wrapText="true" indent="0" shrinkToFit="false"/>
      <protection locked="true" hidden="false"/>
    </xf>
    <xf numFmtId="164" fontId="48" fillId="11" borderId="2" xfId="0" applyFont="true" applyBorder="true" applyAlignment="true" applyProtection="false">
      <alignment horizontal="center" vertical="center" textRotation="0" wrapText="true" indent="0" shrinkToFit="false"/>
      <protection locked="true" hidden="false"/>
    </xf>
    <xf numFmtId="164" fontId="48" fillId="0" borderId="2" xfId="0" applyFont="true" applyBorder="true" applyAlignment="true" applyProtection="false">
      <alignment horizontal="center" vertical="center" textRotation="0" wrapText="true" indent="0" shrinkToFit="false"/>
      <protection locked="true" hidden="false"/>
    </xf>
    <xf numFmtId="164" fontId="0" fillId="11" borderId="12" xfId="0" applyFont="true" applyBorder="true" applyAlignment="true" applyProtection="false">
      <alignment horizontal="center" vertical="center" textRotation="0" wrapText="true" indent="0" shrinkToFit="false"/>
      <protection locked="true" hidden="false"/>
    </xf>
    <xf numFmtId="164" fontId="0" fillId="11" borderId="0" xfId="0" applyFont="true" applyBorder="false" applyAlignment="true" applyProtection="false">
      <alignment horizontal="center" vertical="center" textRotation="0" wrapText="false" indent="0" shrinkToFit="false"/>
      <protection locked="true" hidden="false"/>
    </xf>
    <xf numFmtId="164" fontId="0" fillId="11" borderId="0" xfId="0" applyFont="true" applyBorder="false" applyAlignment="true" applyProtection="false">
      <alignment horizontal="center" vertical="center" textRotation="0" wrapText="true" indent="0" shrinkToFit="false"/>
      <protection locked="true" hidden="false"/>
    </xf>
    <xf numFmtId="164" fontId="48" fillId="11" borderId="0" xfId="0" applyFont="true" applyBorder="false" applyAlignment="true" applyProtection="false">
      <alignment horizontal="center" vertical="center" textRotation="0" wrapText="false" indent="0" shrinkToFit="false"/>
      <protection locked="true" hidden="false"/>
    </xf>
    <xf numFmtId="164" fontId="0" fillId="0" borderId="12" xfId="0" applyFont="true" applyBorder="true" applyAlignment="true" applyProtection="false">
      <alignment horizontal="center" vertical="center" textRotation="0" wrapText="true" indent="0" shrinkToFit="false"/>
      <protection locked="true" hidden="false"/>
    </xf>
    <xf numFmtId="164" fontId="48" fillId="0" borderId="0" xfId="0" applyFont="true" applyBorder="false" applyAlignment="true" applyProtection="false">
      <alignment horizontal="center" vertical="center" textRotation="0" wrapText="false" indent="0" shrinkToFit="false"/>
      <protection locked="true" hidden="false"/>
    </xf>
    <xf numFmtId="164" fontId="49" fillId="0" borderId="0" xfId="0" applyFont="true" applyBorder="false" applyAlignment="true" applyProtection="false">
      <alignment horizontal="center" vertical="center" textRotation="0" wrapText="false" indent="0" shrinkToFit="false"/>
      <protection locked="true" hidden="false"/>
    </xf>
    <xf numFmtId="164" fontId="49" fillId="11" borderId="0" xfId="0" applyFont="true" applyBorder="false" applyAlignment="true" applyProtection="false">
      <alignment horizontal="center" vertical="center" textRotation="0" wrapText="false" indent="0" shrinkToFit="false"/>
      <protection locked="true" hidden="false"/>
    </xf>
    <xf numFmtId="164" fontId="50" fillId="0" borderId="0" xfId="0" applyFont="true" applyBorder="false" applyAlignment="true" applyProtection="false">
      <alignment horizontal="center" vertical="center" textRotation="0" wrapText="false" indent="0" shrinkToFit="false"/>
      <protection locked="true" hidden="false"/>
    </xf>
    <xf numFmtId="164" fontId="47" fillId="11" borderId="0" xfId="0" applyFont="true" applyBorder="false" applyAlignment="true" applyProtection="false">
      <alignment horizontal="center" vertical="center" textRotation="0" wrapText="false" indent="0" shrinkToFit="false"/>
      <protection locked="true" hidden="false"/>
    </xf>
    <xf numFmtId="164" fontId="51" fillId="11"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52" fillId="0" borderId="0" xfId="0" applyFont="true" applyBorder="true" applyAlignment="true" applyProtection="false">
      <alignment horizontal="general" vertical="top" textRotation="0" wrapText="true" indent="0" shrinkToFit="false"/>
      <protection locked="true" hidden="false"/>
    </xf>
    <xf numFmtId="164" fontId="38" fillId="0" borderId="5" xfId="0" applyFont="true" applyBorder="true" applyAlignment="true" applyProtection="false">
      <alignment horizontal="general" vertical="top" textRotation="0" wrapText="false" indent="0" shrinkToFit="false"/>
      <protection locked="true" hidden="false"/>
    </xf>
    <xf numFmtId="164" fontId="37" fillId="0" borderId="2" xfId="0" applyFont="true" applyBorder="true" applyAlignment="true" applyProtection="false">
      <alignment horizontal="general" vertical="top" textRotation="0" wrapText="true" indent="0" shrinkToFit="false"/>
      <protection locked="true" hidden="false"/>
    </xf>
    <xf numFmtId="164" fontId="37" fillId="0" borderId="2" xfId="0" applyFont="true" applyBorder="true" applyAlignment="true" applyProtection="false">
      <alignment horizontal="general" vertical="top" textRotation="0" wrapText="false" indent="0" shrinkToFit="false"/>
      <protection locked="true" hidden="false"/>
    </xf>
    <xf numFmtId="172" fontId="37" fillId="0" borderId="2" xfId="0" applyFont="true" applyBorder="true" applyAlignment="true" applyProtection="false">
      <alignment horizontal="general" vertical="top" textRotation="0" wrapText="false" indent="0" shrinkToFit="false"/>
      <protection locked="true" hidden="false"/>
    </xf>
    <xf numFmtId="164" fontId="37" fillId="0" borderId="2" xfId="0" applyFont="true" applyBorder="true" applyAlignment="true" applyProtection="false">
      <alignment horizontal="general" vertical="bottom" textRotation="0" wrapText="false" indent="0" shrinkToFit="false"/>
      <protection locked="true" hidden="false"/>
    </xf>
    <xf numFmtId="172" fontId="37" fillId="0" borderId="2" xfId="0" applyFont="true" applyBorder="true" applyAlignment="tru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b val="1"/>
        <color rgb="FF9C0006"/>
      </font>
      <fill>
        <patternFill>
          <bgColor rgb="FFFFC7CE"/>
        </patternFill>
      </fill>
    </dxf>
    <dxf>
      <font>
        <color rgb="FF006100"/>
      </font>
    </dxf>
    <dxf>
      <fill>
        <patternFill>
          <bgColor rgb="FFE7F0E8"/>
        </patternFill>
      </fill>
    </dxf>
    <dxf>
      <fill>
        <patternFill>
          <bgColor rgb="FFDDEBF7"/>
        </patternFill>
      </fill>
    </dxf>
  </dxfs>
  <colors>
    <indexedColors>
      <rgbColor rgb="FF000000"/>
      <rgbColor rgb="FFFFFFFF"/>
      <rgbColor rgb="FFFF0000"/>
      <rgbColor rgb="FF00FF00"/>
      <rgbColor rgb="FF0000FF"/>
      <rgbColor rgb="FFFFFF00"/>
      <rgbColor rgb="FFFF00FF"/>
      <rgbColor rgb="FFF5F7F9"/>
      <rgbColor rgb="FF9C0006"/>
      <rgbColor rgb="FF006100"/>
      <rgbColor rgb="FF12161A"/>
      <rgbColor rgb="FF8A6D1F"/>
      <rgbColor rgb="FF800080"/>
      <rgbColor rgb="FF1F6F6B"/>
      <rgbColor rgb="FFBBBBBB"/>
      <rgbColor rgb="FF777777"/>
      <rgbColor rgb="FF9AA2A8"/>
      <rgbColor rgb="FFC0504D"/>
      <rgbColor rgb="FFF4F6F7"/>
      <rgbColor rgb="FFDDEBF7"/>
      <rgbColor rgb="FF660066"/>
      <rgbColor rgb="FFD6D9DD"/>
      <rgbColor rgb="FF0066CC"/>
      <rgbColor rgb="FFCDD3D8"/>
      <rgbColor rgb="FF000080"/>
      <rgbColor rgb="FFFF00FF"/>
      <rgbColor rgb="FFE7ECEF"/>
      <rgbColor rgb="FF00FFFF"/>
      <rgbColor rgb="FF800080"/>
      <rgbColor rgb="FF800000"/>
      <rgbColor rgb="FF595959"/>
      <rgbColor rgb="FF0000FF"/>
      <rgbColor rgb="FF00CCFF"/>
      <rgbColor rgb="FFDDEBEA"/>
      <rgbColor rgb="FFE7F0E8"/>
      <rgbColor rgb="FFEFF4F4"/>
      <rgbColor rgb="FFCBD2D7"/>
      <rgbColor rgb="FFD9D9D9"/>
      <rgbColor rgb="FFB3B3B3"/>
      <rgbColor rgb="FFFFC7CE"/>
      <rgbColor rgb="FF3366FF"/>
      <rgbColor rgb="FF4BACC6"/>
      <rgbColor rgb="FF9BBB59"/>
      <rgbColor rgb="FFE4E1DB"/>
      <rgbColor rgb="FFF0F3F5"/>
      <rgbColor rgb="FFFF6600"/>
      <rgbColor rgb="FF6B7177"/>
      <rgbColor rgb="FF8A9099"/>
      <rgbColor rgb="FF1F3864"/>
      <rgbColor rgb="FF6C7278"/>
      <rgbColor rgb="FF1C1F23"/>
      <rgbColor rgb="FF262B30"/>
      <rgbColor rgb="FF9A4A2F"/>
      <rgbColor rgb="FF8064A2"/>
      <rgbColor rgb="FF3D444B"/>
      <rgbColor rgb="FF2A2E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ea typeface="Calibri"/>
              </a:rPr>
              <a:t>1.5% Sales-Tax Pool by Horizon ($)</a:t>
            </a:r>
          </a:p>
        </c:rich>
      </c:tx>
      <c:overlay val="0"/>
      <c:spPr>
        <a:noFill/>
        <a:ln w="0">
          <a:noFill/>
        </a:ln>
      </c:spPr>
    </c:title>
    <c:autoTitleDeleted val="0"/>
    <c:plotArea>
      <c:barChart>
        <c:barDir val="col"/>
        <c:grouping val="clustered"/>
        <c:varyColors val="0"/>
        <c:ser>
          <c:idx val="0"/>
          <c:order val="0"/>
          <c:spPr>
            <a:solidFill>
              <a:srgbClr val="1F6F6B"/>
            </a:solidFill>
            <a:ln w="0">
              <a:solidFill>
                <a:srgbClr val="000000"/>
              </a:solid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Results!$B$17:$F$17</c:f>
              <c:strCache>
                <c:ptCount val="5"/>
                <c:pt idx="0">
                  <c:v>5-Year</c:v>
                </c:pt>
                <c:pt idx="1">
                  <c:v>10-Year</c:v>
                </c:pt>
                <c:pt idx="2">
                  <c:v>15-Year</c:v>
                </c:pt>
                <c:pt idx="3">
                  <c:v>20-Year</c:v>
                </c:pt>
                <c:pt idx="4">
                  <c:v>30-Year</c:v>
                </c:pt>
              </c:strCache>
            </c:strRef>
          </c:cat>
          <c:val>
            <c:numRef>
              <c:f>Results!$B$10</c:f>
              <c:numCache>
                <c:formatCode>\$#,##0;"($"#,##0\);\–</c:formatCode>
                <c:ptCount val="1"/>
                <c:pt idx="0">
                  <c:v>1558728.2991852</c:v>
                </c:pt>
              </c:numCache>
            </c:numRef>
          </c:val>
        </c:ser>
        <c:ser>
          <c:idx val="1"/>
          <c:order val="1"/>
          <c:spPr>
            <a:solidFill>
              <a:srgbClr val="C0504D"/>
            </a:solidFill>
            <a:ln w="0">
              <a:solidFill>
                <a:srgbClr val="000000"/>
              </a:solid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Results!$B$17:$F$17</c:f>
              <c:strCache>
                <c:ptCount val="5"/>
                <c:pt idx="0">
                  <c:v>5-Year</c:v>
                </c:pt>
                <c:pt idx="1">
                  <c:v>10-Year</c:v>
                </c:pt>
                <c:pt idx="2">
                  <c:v>15-Year</c:v>
                </c:pt>
                <c:pt idx="3">
                  <c:v>20-Year</c:v>
                </c:pt>
                <c:pt idx="4">
                  <c:v>30-Year</c:v>
                </c:pt>
              </c:strCache>
            </c:strRef>
          </c:cat>
          <c:val>
            <c:numRef>
              <c:f>Results!$C$10</c:f>
              <c:numCache>
                <c:formatCode>\$#,##0;"($"#,##0\);\–</c:formatCode>
                <c:ptCount val="1"/>
                <c:pt idx="0">
                  <c:v>10949246.0750188</c:v>
                </c:pt>
              </c:numCache>
            </c:numRef>
          </c:val>
        </c:ser>
        <c:ser>
          <c:idx val="2"/>
          <c:order val="2"/>
          <c:spPr>
            <a:solidFill>
              <a:srgbClr val="9BBB59"/>
            </a:solidFill>
            <a:ln w="0">
              <a:solidFill>
                <a:srgbClr val="000000"/>
              </a:solid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Results!$B$17:$F$17</c:f>
              <c:strCache>
                <c:ptCount val="5"/>
                <c:pt idx="0">
                  <c:v>5-Year</c:v>
                </c:pt>
                <c:pt idx="1">
                  <c:v>10-Year</c:v>
                </c:pt>
                <c:pt idx="2">
                  <c:v>15-Year</c:v>
                </c:pt>
                <c:pt idx="3">
                  <c:v>20-Year</c:v>
                </c:pt>
                <c:pt idx="4">
                  <c:v>30-Year</c:v>
                </c:pt>
              </c:strCache>
            </c:strRef>
          </c:cat>
          <c:val>
            <c:numRef>
              <c:f>Results!$D$10</c:f>
              <c:numCache>
                <c:formatCode>\$#,##0;"($"#,##0\);\–</c:formatCode>
                <c:ptCount val="1"/>
                <c:pt idx="0">
                  <c:v>23810530.6876454</c:v>
                </c:pt>
              </c:numCache>
            </c:numRef>
          </c:val>
        </c:ser>
        <c:ser>
          <c:idx val="3"/>
          <c:order val="3"/>
          <c:spPr>
            <a:solidFill>
              <a:srgbClr val="8064A2"/>
            </a:solidFill>
            <a:ln w="0">
              <a:solidFill>
                <a:srgbClr val="000000"/>
              </a:solid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Results!$B$17:$F$17</c:f>
              <c:strCache>
                <c:ptCount val="5"/>
                <c:pt idx="0">
                  <c:v>5-Year</c:v>
                </c:pt>
                <c:pt idx="1">
                  <c:v>10-Year</c:v>
                </c:pt>
                <c:pt idx="2">
                  <c:v>15-Year</c:v>
                </c:pt>
                <c:pt idx="3">
                  <c:v>20-Year</c:v>
                </c:pt>
                <c:pt idx="4">
                  <c:v>30-Year</c:v>
                </c:pt>
              </c:strCache>
            </c:strRef>
          </c:cat>
          <c:val>
            <c:numRef>
              <c:f>Results!$E$10</c:f>
              <c:numCache>
                <c:formatCode>\$#,##0;"($"#,##0\);\–</c:formatCode>
                <c:ptCount val="1"/>
                <c:pt idx="0">
                  <c:v>41426083.3641582</c:v>
                </c:pt>
              </c:numCache>
            </c:numRef>
          </c:val>
        </c:ser>
        <c:ser>
          <c:idx val="4"/>
          <c:order val="4"/>
          <c:spPr>
            <a:solidFill>
              <a:srgbClr val="4BACC6"/>
            </a:solidFill>
            <a:ln w="0">
              <a:solidFill>
                <a:srgbClr val="000000"/>
              </a:solid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Results!$B$17:$F$17</c:f>
              <c:strCache>
                <c:ptCount val="5"/>
                <c:pt idx="0">
                  <c:v>5-Year</c:v>
                </c:pt>
                <c:pt idx="1">
                  <c:v>10-Year</c:v>
                </c:pt>
                <c:pt idx="2">
                  <c:v>15-Year</c:v>
                </c:pt>
                <c:pt idx="3">
                  <c:v>20-Year</c:v>
                </c:pt>
                <c:pt idx="4">
                  <c:v>30-Year</c:v>
                </c:pt>
              </c:strCache>
            </c:strRef>
          </c:cat>
          <c:val>
            <c:numRef>
              <c:f>Results!$F$10</c:f>
              <c:numCache>
                <c:formatCode>\$#,##0;"($"#,##0\);\–</c:formatCode>
                <c:ptCount val="1"/>
                <c:pt idx="0">
                  <c:v>98603634.7310109</c:v>
                </c:pt>
              </c:numCache>
            </c:numRef>
          </c:val>
        </c:ser>
        <c:gapWidth val="150"/>
        <c:overlap val="0"/>
        <c:axId val="82457483"/>
        <c:axId val="57625852"/>
      </c:barChart>
      <c:catAx>
        <c:axId val="8245748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p>
        </c:txPr>
        <c:crossAx val="57625852"/>
        <c:crosses val="autoZero"/>
        <c:auto val="1"/>
        <c:lblAlgn val="ctr"/>
        <c:lblOffset val="100"/>
        <c:noMultiLvlLbl val="0"/>
      </c:catAx>
      <c:valAx>
        <c:axId val="57625852"/>
        <c:scaling>
          <c:orientation val="minMax"/>
        </c:scaling>
        <c:delete val="0"/>
        <c:axPos val="l"/>
        <c:majorGridlines>
          <c:spPr>
            <a:ln w="0">
              <a:solidFill>
                <a:srgbClr val="B3B3B3"/>
              </a:solidFill>
            </a:ln>
          </c:spPr>
        </c:majorGridlines>
        <c:numFmt formatCode="\$#,##0;&quot;($&quot;#,##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p>
        </c:txPr>
        <c:crossAx val="82457483"/>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556200</xdr:colOff>
      <xdr:row>8</xdr:row>
      <xdr:rowOff>99000</xdr:rowOff>
    </xdr:from>
    <xdr:to>
      <xdr:col>12</xdr:col>
      <xdr:colOff>823320</xdr:colOff>
      <xdr:row>19</xdr:row>
      <xdr:rowOff>163440</xdr:rowOff>
    </xdr:to>
    <xdr:graphicFrame>
      <xdr:nvGraphicFramePr>
        <xdr:cNvPr id="1" name="Chart 1"/>
        <xdr:cNvGraphicFramePr/>
      </xdr:nvGraphicFramePr>
      <xdr:xfrm>
        <a:off x="11058480" y="1832400"/>
        <a:ext cx="4496040" cy="2226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5" activeCellId="0" sqref="C25"/>
    </sheetView>
  </sheetViews>
  <sheetFormatPr defaultColWidth="8.66796875" defaultRowHeight="12.75" customHeight="false" zeroHeight="false" outlineLevelRow="0" outlineLevelCol="0"/>
  <cols>
    <col collapsed="false" customWidth="true" hidden="false" outlineLevel="0" max="1" min="1" style="1" width="26"/>
    <col collapsed="false" customWidth="true" hidden="false" outlineLevel="0" max="12" min="2" style="1" width="15"/>
    <col collapsed="false" customWidth="true" hidden="false" outlineLevel="0" max="14" min="13" style="1" width="2"/>
  </cols>
  <sheetData>
    <row r="1" customFormat="false" ht="31.5" hidden="false" customHeight="true" outlineLevel="0" collapsed="false">
      <c r="A1" s="2" t="s">
        <v>0</v>
      </c>
      <c r="B1" s="2"/>
      <c r="C1" s="2"/>
      <c r="D1" s="2"/>
      <c r="E1" s="2"/>
      <c r="F1" s="2"/>
    </row>
    <row r="2" customFormat="false" ht="18" hidden="false" customHeight="true" outlineLevel="0" collapsed="false">
      <c r="A2" s="3" t="s">
        <v>1</v>
      </c>
      <c r="B2" s="3"/>
      <c r="C2" s="3"/>
      <c r="D2" s="3"/>
      <c r="E2" s="3"/>
      <c r="F2" s="3"/>
    </row>
    <row r="3" customFormat="false" ht="25.5" hidden="false" customHeight="true" outlineLevel="0" collapsed="false">
      <c r="A3" s="4" t="s">
        <v>2</v>
      </c>
      <c r="B3" s="4"/>
      <c r="C3" s="4"/>
      <c r="D3" s="4"/>
      <c r="E3" s="4"/>
      <c r="F3" s="4"/>
    </row>
    <row r="4" customFormat="false" ht="15.75" hidden="false" customHeight="true" outlineLevel="0" collapsed="false">
      <c r="A4" s="5"/>
    </row>
    <row r="5" customFormat="false" ht="15.75" hidden="false" customHeight="true" outlineLevel="0" collapsed="false">
      <c r="A5" s="6" t="s">
        <v>3</v>
      </c>
      <c r="B5" s="6"/>
      <c r="C5" s="6"/>
      <c r="D5" s="6"/>
      <c r="E5" s="6"/>
      <c r="F5" s="6"/>
    </row>
    <row r="6" customFormat="false" ht="36" hidden="false" customHeight="true" outlineLevel="0" collapsed="false">
      <c r="A6" s="7" t="n">
        <f aca="false">Results!F10</f>
        <v>98603634.7310109</v>
      </c>
      <c r="B6" s="7"/>
      <c r="C6" s="7"/>
      <c r="D6" s="7"/>
      <c r="E6" s="7"/>
      <c r="F6" s="7"/>
    </row>
    <row r="7" s="9" customFormat="true" ht="23.25" hidden="false" customHeight="true" outlineLevel="0" collapsed="false">
      <c r="A7" s="8"/>
    </row>
    <row r="8" s="9" customFormat="true" ht="21.75" hidden="false" customHeight="true" outlineLevel="0" collapsed="false">
      <c r="A8" s="10" t="s">
        <v>4</v>
      </c>
      <c r="B8" s="10"/>
      <c r="C8" s="10"/>
      <c r="D8" s="10"/>
      <c r="E8" s="10"/>
      <c r="F8" s="10"/>
    </row>
    <row r="9" s="9" customFormat="true" ht="30" hidden="false" customHeight="true" outlineLevel="0" collapsed="false">
      <c r="A9" s="11" t="s">
        <v>5</v>
      </c>
      <c r="B9" s="11"/>
      <c r="C9" s="11"/>
      <c r="D9" s="11"/>
      <c r="E9" s="11"/>
      <c r="F9" s="11"/>
    </row>
    <row r="10" s="9" customFormat="true" ht="30" hidden="false" customHeight="true" outlineLevel="0" collapsed="false">
      <c r="A10" s="11" t="s">
        <v>6</v>
      </c>
      <c r="B10" s="11"/>
      <c r="C10" s="11"/>
      <c r="D10" s="11"/>
      <c r="E10" s="11"/>
      <c r="F10" s="11"/>
    </row>
    <row r="11" s="9" customFormat="true" ht="30" hidden="false" customHeight="true" outlineLevel="0" collapsed="false">
      <c r="A11" s="11" t="s">
        <v>7</v>
      </c>
      <c r="B11" s="11"/>
      <c r="C11" s="11"/>
      <c r="D11" s="11"/>
      <c r="E11" s="11"/>
      <c r="F11" s="11"/>
    </row>
    <row r="12" customFormat="false" ht="30" hidden="false" customHeight="true" outlineLevel="0" collapsed="false">
      <c r="A12" s="11" t="s">
        <v>8</v>
      </c>
      <c r="B12" s="11"/>
      <c r="C12" s="11"/>
      <c r="D12" s="11"/>
      <c r="E12" s="11"/>
      <c r="F12" s="11"/>
    </row>
    <row r="13" customFormat="false" ht="12.75" hidden="false" customHeight="true" outlineLevel="0" collapsed="false">
      <c r="A13" s="12"/>
    </row>
    <row r="14" customFormat="false" ht="21.75" hidden="false" customHeight="true" outlineLevel="0" collapsed="false">
      <c r="A14" s="10" t="s">
        <v>9</v>
      </c>
      <c r="B14" s="10"/>
      <c r="C14" s="10"/>
      <c r="D14" s="10"/>
      <c r="E14" s="10"/>
      <c r="F14" s="10"/>
    </row>
    <row r="15" customFormat="false" ht="21" hidden="false" customHeight="true" outlineLevel="0" collapsed="false">
      <c r="A15" s="13" t="s">
        <v>10</v>
      </c>
      <c r="B15" s="13"/>
      <c r="C15" s="13"/>
      <c r="D15" s="13"/>
      <c r="E15" s="13"/>
      <c r="F15" s="13"/>
    </row>
    <row r="16" customFormat="false" ht="21" hidden="false" customHeight="true" outlineLevel="0" collapsed="false">
      <c r="A16" s="13" t="s">
        <v>11</v>
      </c>
      <c r="B16" s="13"/>
      <c r="C16" s="13"/>
      <c r="D16" s="13"/>
      <c r="E16" s="13"/>
      <c r="F16" s="13"/>
    </row>
    <row r="17" customFormat="false" ht="21" hidden="false" customHeight="true" outlineLevel="0" collapsed="false">
      <c r="A17" s="13" t="s">
        <v>12</v>
      </c>
      <c r="B17" s="13"/>
      <c r="C17" s="13"/>
      <c r="D17" s="13"/>
      <c r="E17" s="13"/>
      <c r="F17" s="13"/>
    </row>
    <row r="18" customFormat="false" ht="21" hidden="false" customHeight="true" outlineLevel="0" collapsed="false">
      <c r="A18" s="13" t="s">
        <v>13</v>
      </c>
      <c r="B18" s="13"/>
      <c r="C18" s="13"/>
      <c r="D18" s="13"/>
      <c r="E18" s="13"/>
      <c r="F18" s="13"/>
    </row>
    <row r="19" customFormat="false" ht="12.75" hidden="false" customHeight="true" outlineLevel="0" collapsed="false">
      <c r="A19" s="14"/>
    </row>
    <row r="21" customFormat="false" ht="15" hidden="false" customHeight="true" outlineLevel="0" collapsed="false">
      <c r="A21" s="15"/>
    </row>
    <row r="22" customFormat="false" ht="14.25" hidden="false" customHeight="true" outlineLevel="0" collapsed="false">
      <c r="A22" s="15"/>
    </row>
    <row r="23" customFormat="false" ht="14.25" hidden="false" customHeight="true" outlineLevel="0" collapsed="false">
      <c r="A23" s="15"/>
    </row>
    <row r="24" customFormat="false" ht="12.75" hidden="false" customHeight="true" outlineLevel="0" collapsed="false">
      <c r="A24" s="15"/>
    </row>
    <row r="25" customFormat="false" ht="14.25" hidden="false" customHeight="true" outlineLevel="0" collapsed="false">
      <c r="A25" s="15"/>
    </row>
    <row r="26" customFormat="false" ht="12.75" hidden="false" customHeight="true" outlineLevel="0" collapsed="false">
      <c r="A26" s="15"/>
    </row>
    <row r="27" customFormat="false" ht="12.75" hidden="false" customHeight="true" outlineLevel="0" collapsed="false">
      <c r="A27" s="15"/>
    </row>
    <row r="53" customFormat="false" ht="12.75" hidden="false" customHeight="true" outlineLevel="0" collapsed="false">
      <c r="A53" s="16"/>
      <c r="B53" s="16"/>
      <c r="C53" s="16"/>
      <c r="D53" s="16"/>
      <c r="E53" s="16"/>
      <c r="F53" s="16"/>
      <c r="G53" s="16"/>
      <c r="H53" s="16"/>
      <c r="I53" s="16"/>
      <c r="J53" s="16"/>
      <c r="K53" s="16"/>
      <c r="L53" s="16"/>
      <c r="M53" s="16"/>
      <c r="N53" s="16"/>
    </row>
    <row r="54" s="16" customFormat="true" ht="16.5" hidden="false" customHeight="true" outlineLevel="0" collapsed="false">
      <c r="A54" s="17"/>
      <c r="E54" s="17"/>
      <c r="F54" s="17"/>
      <c r="J54" s="17"/>
      <c r="N54" s="18"/>
    </row>
    <row r="55" customFormat="false" ht="12.75" hidden="false" customHeight="true" outlineLevel="0" collapsed="false">
      <c r="A55" s="16"/>
      <c r="B55" s="16"/>
      <c r="C55" s="16"/>
      <c r="D55" s="16"/>
      <c r="E55" s="16"/>
      <c r="F55" s="16"/>
      <c r="G55" s="16"/>
      <c r="H55" s="16"/>
      <c r="I55" s="16"/>
      <c r="J55" s="16"/>
      <c r="K55" s="19"/>
      <c r="L55" s="16"/>
      <c r="M55" s="16"/>
      <c r="N55" s="16"/>
    </row>
    <row r="56" customFormat="false" ht="12.75" hidden="false" customHeight="true" outlineLevel="0" collapsed="false">
      <c r="A56" s="16"/>
      <c r="B56" s="16"/>
      <c r="C56" s="16"/>
      <c r="D56" s="16"/>
      <c r="E56" s="16"/>
      <c r="F56" s="16"/>
      <c r="G56" s="16"/>
      <c r="H56" s="16"/>
      <c r="I56" s="16"/>
      <c r="J56" s="16"/>
      <c r="K56" s="19"/>
      <c r="L56" s="16"/>
      <c r="M56" s="16"/>
      <c r="N56" s="16"/>
    </row>
    <row r="57" customFormat="false" ht="12.75" hidden="false" customHeight="true" outlineLevel="0" collapsed="false">
      <c r="A57" s="16"/>
      <c r="B57" s="16"/>
      <c r="C57" s="16"/>
      <c r="D57" s="16"/>
      <c r="E57" s="16"/>
      <c r="F57" s="16"/>
      <c r="G57" s="16"/>
      <c r="H57" s="16"/>
      <c r="I57" s="16"/>
      <c r="J57" s="16"/>
      <c r="K57" s="19"/>
      <c r="L57" s="16"/>
      <c r="M57" s="16"/>
      <c r="N57" s="16"/>
    </row>
    <row r="58" customFormat="false" ht="12.75" hidden="false" customHeight="true" outlineLevel="0" collapsed="false">
      <c r="A58" s="16"/>
      <c r="B58" s="16"/>
      <c r="C58" s="16"/>
      <c r="D58" s="16"/>
      <c r="E58" s="16"/>
      <c r="F58" s="16"/>
      <c r="G58" s="16"/>
      <c r="H58" s="16"/>
      <c r="I58" s="16"/>
      <c r="J58" s="16"/>
      <c r="K58" s="19"/>
      <c r="L58" s="16"/>
      <c r="M58" s="16"/>
      <c r="N58" s="16"/>
    </row>
    <row r="59" customFormat="false" ht="12.75" hidden="false" customHeight="true" outlineLevel="0" collapsed="false">
      <c r="A59" s="16"/>
      <c r="B59" s="16"/>
      <c r="C59" s="16"/>
      <c r="D59" s="16"/>
      <c r="E59" s="16"/>
      <c r="F59" s="16"/>
      <c r="G59" s="16"/>
      <c r="H59" s="16"/>
      <c r="I59" s="16"/>
      <c r="J59" s="16"/>
      <c r="K59" s="19"/>
      <c r="L59" s="16"/>
      <c r="M59" s="16"/>
      <c r="N59" s="16"/>
    </row>
    <row r="60" customFormat="false" ht="12.75" hidden="false" customHeight="true" outlineLevel="0" collapsed="false">
      <c r="A60" s="16"/>
      <c r="B60" s="16"/>
      <c r="C60" s="16"/>
      <c r="D60" s="16"/>
      <c r="E60" s="16"/>
      <c r="F60" s="16"/>
      <c r="G60" s="16"/>
      <c r="H60" s="16"/>
      <c r="I60" s="16"/>
      <c r="J60" s="16"/>
      <c r="K60" s="19"/>
      <c r="L60" s="16"/>
      <c r="M60" s="16"/>
      <c r="N60" s="16"/>
    </row>
    <row r="61" customFormat="false" ht="12.75" hidden="false" customHeight="true" outlineLevel="0" collapsed="false">
      <c r="A61" s="16"/>
      <c r="B61" s="16"/>
      <c r="C61" s="16"/>
      <c r="D61" s="16"/>
      <c r="E61" s="16"/>
      <c r="F61" s="16"/>
      <c r="G61" s="16"/>
      <c r="H61" s="16"/>
      <c r="I61" s="16"/>
      <c r="J61" s="16"/>
      <c r="K61" s="19"/>
      <c r="L61" s="16"/>
      <c r="M61" s="16"/>
      <c r="N61" s="16"/>
    </row>
    <row r="62" customFormat="false" ht="12.75" hidden="false" customHeight="true" outlineLevel="0" collapsed="false">
      <c r="A62" s="16"/>
      <c r="B62" s="16"/>
      <c r="C62" s="16"/>
      <c r="D62" s="16"/>
      <c r="E62" s="16"/>
      <c r="F62" s="16"/>
      <c r="G62" s="16"/>
      <c r="H62" s="16"/>
      <c r="I62" s="16"/>
      <c r="J62" s="16"/>
      <c r="K62" s="19"/>
      <c r="L62" s="16"/>
      <c r="M62" s="16"/>
      <c r="N62" s="16"/>
    </row>
    <row r="63" customFormat="false" ht="12.75" hidden="false" customHeight="true" outlineLevel="0" collapsed="false">
      <c r="A63" s="16"/>
      <c r="B63" s="16"/>
      <c r="C63" s="16"/>
      <c r="D63" s="16"/>
      <c r="E63" s="16"/>
      <c r="F63" s="16"/>
      <c r="G63" s="16"/>
      <c r="H63" s="16"/>
      <c r="I63" s="16"/>
      <c r="J63" s="16"/>
      <c r="K63" s="19"/>
      <c r="L63" s="16"/>
      <c r="M63" s="16"/>
      <c r="N63" s="16"/>
    </row>
    <row r="64" customFormat="false" ht="12.75" hidden="false" customHeight="true" outlineLevel="0" collapsed="false">
      <c r="A64" s="16"/>
      <c r="B64" s="16"/>
      <c r="C64" s="16"/>
      <c r="D64" s="16"/>
      <c r="E64" s="16"/>
      <c r="F64" s="16"/>
      <c r="G64" s="16"/>
      <c r="H64" s="16"/>
      <c r="I64" s="16"/>
      <c r="J64" s="16"/>
      <c r="K64" s="19"/>
      <c r="L64" s="16"/>
      <c r="M64" s="16"/>
      <c r="N64" s="16"/>
    </row>
    <row r="65" customFormat="false" ht="12.75" hidden="false" customHeight="true" outlineLevel="0" collapsed="false">
      <c r="A65" s="16"/>
      <c r="B65" s="16"/>
      <c r="C65" s="16"/>
      <c r="D65" s="16"/>
      <c r="E65" s="16"/>
      <c r="F65" s="16"/>
      <c r="G65" s="16"/>
      <c r="H65" s="16"/>
      <c r="I65" s="16"/>
      <c r="J65" s="16"/>
      <c r="K65" s="19"/>
      <c r="L65" s="16"/>
      <c r="M65" s="16"/>
      <c r="N65" s="16"/>
    </row>
    <row r="66" customFormat="false" ht="12.75" hidden="false" customHeight="true" outlineLevel="0" collapsed="false">
      <c r="A66" s="16"/>
      <c r="B66" s="16"/>
      <c r="C66" s="16"/>
      <c r="D66" s="16"/>
      <c r="E66" s="16"/>
      <c r="F66" s="16"/>
      <c r="G66" s="16"/>
      <c r="H66" s="16"/>
      <c r="I66" s="16"/>
      <c r="J66" s="16"/>
      <c r="K66" s="19"/>
      <c r="L66" s="16"/>
      <c r="M66" s="16"/>
      <c r="N66" s="16"/>
    </row>
    <row r="67" customFormat="false" ht="12.75" hidden="false" customHeight="true" outlineLevel="0" collapsed="false">
      <c r="A67" s="16"/>
      <c r="B67" s="16"/>
      <c r="C67" s="16"/>
      <c r="D67" s="16"/>
      <c r="E67" s="16"/>
      <c r="F67" s="16"/>
      <c r="G67" s="16"/>
      <c r="H67" s="16"/>
      <c r="I67" s="16"/>
      <c r="J67" s="16"/>
      <c r="K67" s="19"/>
      <c r="L67" s="16"/>
      <c r="M67" s="16"/>
      <c r="N67" s="16"/>
    </row>
    <row r="68" customFormat="false" ht="12.75" hidden="false" customHeight="true" outlineLevel="0" collapsed="false">
      <c r="A68" s="16"/>
      <c r="B68" s="16"/>
      <c r="C68" s="16"/>
      <c r="D68" s="16"/>
      <c r="E68" s="16"/>
      <c r="F68" s="16"/>
      <c r="G68" s="16"/>
      <c r="H68" s="16"/>
      <c r="I68" s="16"/>
      <c r="J68" s="16"/>
      <c r="K68" s="19"/>
      <c r="L68" s="16"/>
      <c r="M68" s="16"/>
      <c r="N68" s="16"/>
    </row>
    <row r="69" customFormat="false" ht="12.75" hidden="false" customHeight="true" outlineLevel="0" collapsed="false">
      <c r="A69" s="16"/>
      <c r="B69" s="16"/>
      <c r="C69" s="16"/>
      <c r="D69" s="16"/>
      <c r="E69" s="16"/>
      <c r="F69" s="16"/>
      <c r="G69" s="16"/>
      <c r="H69" s="16"/>
      <c r="I69" s="16"/>
      <c r="J69" s="16"/>
      <c r="K69" s="19"/>
      <c r="L69" s="16"/>
      <c r="M69" s="16"/>
      <c r="N69" s="16"/>
    </row>
    <row r="70" customFormat="false" ht="12.75" hidden="false" customHeight="true" outlineLevel="0" collapsed="false">
      <c r="A70" s="16"/>
      <c r="B70" s="16"/>
      <c r="C70" s="16"/>
      <c r="D70" s="16"/>
      <c r="E70" s="16"/>
      <c r="F70" s="16"/>
      <c r="G70" s="16"/>
      <c r="H70" s="16"/>
      <c r="I70" s="16"/>
      <c r="J70" s="16"/>
      <c r="K70" s="19"/>
      <c r="L70" s="16"/>
      <c r="M70" s="16"/>
      <c r="N70" s="16"/>
    </row>
    <row r="71" customFormat="false" ht="12.75" hidden="false" customHeight="true" outlineLevel="0" collapsed="false">
      <c r="A71" s="16"/>
      <c r="B71" s="16"/>
      <c r="C71" s="16"/>
      <c r="D71" s="16"/>
      <c r="E71" s="16"/>
      <c r="F71" s="16"/>
      <c r="G71" s="16"/>
      <c r="H71" s="16"/>
      <c r="I71" s="16"/>
      <c r="J71" s="16"/>
      <c r="K71" s="19"/>
      <c r="L71" s="16"/>
      <c r="M71" s="16"/>
      <c r="N71" s="16"/>
    </row>
    <row r="72" customFormat="false" ht="12.75" hidden="false" customHeight="true" outlineLevel="0" collapsed="false">
      <c r="A72" s="16"/>
      <c r="B72" s="16"/>
      <c r="C72" s="16"/>
      <c r="D72" s="16"/>
      <c r="E72" s="16"/>
      <c r="F72" s="16"/>
      <c r="G72" s="16"/>
      <c r="H72" s="16"/>
      <c r="I72" s="16"/>
      <c r="J72" s="16"/>
      <c r="K72" s="19"/>
      <c r="L72" s="16"/>
      <c r="M72" s="16"/>
      <c r="N72" s="16"/>
    </row>
    <row r="73" customFormat="false" ht="12.75" hidden="false" customHeight="true" outlineLevel="0" collapsed="false">
      <c r="A73" s="16"/>
      <c r="B73" s="16"/>
      <c r="C73" s="16"/>
      <c r="D73" s="16"/>
      <c r="E73" s="16"/>
      <c r="F73" s="16"/>
      <c r="G73" s="16"/>
      <c r="H73" s="16"/>
      <c r="I73" s="16"/>
      <c r="J73" s="16"/>
      <c r="K73" s="19"/>
      <c r="L73" s="16"/>
      <c r="M73" s="16"/>
      <c r="N73" s="16"/>
    </row>
    <row r="74" customFormat="false" ht="12.75" hidden="false" customHeight="true" outlineLevel="0" collapsed="false">
      <c r="A74" s="16"/>
      <c r="B74" s="16"/>
      <c r="C74" s="16"/>
      <c r="D74" s="16"/>
      <c r="E74" s="16"/>
      <c r="F74" s="16"/>
      <c r="G74" s="16"/>
      <c r="H74" s="16"/>
      <c r="I74" s="16"/>
      <c r="J74" s="16"/>
      <c r="K74" s="19"/>
      <c r="L74" s="16"/>
      <c r="M74" s="16"/>
      <c r="N74" s="16"/>
    </row>
    <row r="75" customFormat="false" ht="12.75" hidden="false" customHeight="true" outlineLevel="0" collapsed="false">
      <c r="A75" s="16"/>
      <c r="B75" s="16"/>
      <c r="C75" s="16"/>
      <c r="D75" s="16"/>
      <c r="E75" s="16"/>
      <c r="F75" s="16"/>
      <c r="G75" s="16"/>
      <c r="H75" s="16"/>
      <c r="I75" s="16"/>
      <c r="J75" s="16"/>
      <c r="K75" s="19"/>
      <c r="L75" s="16"/>
      <c r="M75" s="16"/>
      <c r="N75" s="16"/>
    </row>
    <row r="76" customFormat="false" ht="12.75" hidden="false" customHeight="true" outlineLevel="0" collapsed="false">
      <c r="A76" s="16"/>
      <c r="B76" s="16"/>
      <c r="C76" s="16"/>
      <c r="D76" s="16"/>
      <c r="E76" s="16"/>
      <c r="F76" s="16"/>
      <c r="G76" s="16"/>
      <c r="H76" s="16"/>
      <c r="I76" s="16"/>
      <c r="J76" s="16"/>
      <c r="K76" s="19"/>
      <c r="L76" s="16"/>
      <c r="M76" s="16"/>
      <c r="N76" s="16"/>
    </row>
  </sheetData>
  <mergeCells count="15">
    <mergeCell ref="A1:F1"/>
    <mergeCell ref="A2:F2"/>
    <mergeCell ref="A3:F3"/>
    <mergeCell ref="A5:F5"/>
    <mergeCell ref="A6:F6"/>
    <mergeCell ref="A8:F8"/>
    <mergeCell ref="A9:F9"/>
    <mergeCell ref="A10:F10"/>
    <mergeCell ref="A11:F11"/>
    <mergeCell ref="A12:F12"/>
    <mergeCell ref="A14:F14"/>
    <mergeCell ref="A15:F15"/>
    <mergeCell ref="A16:F16"/>
    <mergeCell ref="A17:F17"/>
    <mergeCell ref="A18:F18"/>
  </mergeCells>
  <printOptions headings="false" gridLines="false" gridLinesSet="true" horizontalCentered="false" verticalCentered="false"/>
  <pageMargins left="0.6" right="0.6" top="0.6" bottom="0.6" header="0.511811023622047" footer="0.2"/>
  <pageSetup paperSize="1" scale="100" fitToWidth="1" fitToHeight="1" pageOrder="downThenOver" orientation="portrait" blackAndWhite="false" draft="false" cellComments="none" horizontalDpi="300" verticalDpi="300" copies="1"/>
  <headerFooter differentFirst="false" differentOddEven="false">
    <oddHeader/>
    <oddFooter>&amp;L&amp;8 City of Sealy · ESD #2 Development-Scenario Model&amp;R&amp;8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6" min="2" style="1" width="14.52"/>
  </cols>
  <sheetData>
    <row r="1" customFormat="false" ht="30" hidden="false" customHeight="true" outlineLevel="0" collapsed="false">
      <c r="A1" s="20" t="s">
        <v>14</v>
      </c>
      <c r="B1" s="20"/>
      <c r="C1" s="20"/>
      <c r="D1" s="20"/>
      <c r="E1" s="20"/>
      <c r="F1" s="20"/>
    </row>
    <row r="2" customFormat="false" ht="16.5" hidden="false" customHeight="true" outlineLevel="0" collapsed="false">
      <c r="A2" s="21" t="s">
        <v>15</v>
      </c>
      <c r="B2" s="21"/>
      <c r="C2" s="21"/>
      <c r="D2" s="21"/>
      <c r="E2" s="21"/>
      <c r="F2" s="21"/>
    </row>
    <row r="4" customFormat="false" ht="21.75" hidden="false" customHeight="true" outlineLevel="0" collapsed="false">
      <c r="A4" s="22" t="s">
        <v>16</v>
      </c>
      <c r="B4" s="22"/>
      <c r="C4" s="22"/>
      <c r="D4" s="22"/>
      <c r="E4" s="22"/>
      <c r="F4" s="22"/>
    </row>
    <row r="5" customFormat="false" ht="15" hidden="false" customHeight="true" outlineLevel="0" collapsed="false">
      <c r="A5" s="23" t="s">
        <v>17</v>
      </c>
      <c r="C5" s="24"/>
    </row>
    <row r="6" customFormat="false" ht="15" hidden="false" customHeight="true" outlineLevel="0" collapsed="false">
      <c r="A6" s="23" t="s">
        <v>18</v>
      </c>
      <c r="C6" s="24" t="n">
        <v>0</v>
      </c>
    </row>
    <row r="7" customFormat="false" ht="15" hidden="false" customHeight="true" outlineLevel="0" collapsed="false">
      <c r="A7" s="23" t="s">
        <v>19</v>
      </c>
      <c r="C7" s="24"/>
    </row>
    <row r="8" customFormat="false" ht="15" hidden="false" customHeight="true" outlineLevel="0" collapsed="false">
      <c r="A8" s="23" t="s">
        <v>20</v>
      </c>
      <c r="C8" s="24" t="n">
        <v>0.015</v>
      </c>
    </row>
    <row r="9" customFormat="false" ht="15" hidden="false" customHeight="true" outlineLevel="0" collapsed="false">
      <c r="A9" s="25" t="s">
        <v>21</v>
      </c>
      <c r="C9" s="26" t="n">
        <f aca="false">C5+C7</f>
        <v>0</v>
      </c>
      <c r="D9" s="27" t="s">
        <v>22</v>
      </c>
    </row>
    <row r="11" customFormat="false" ht="21.75" hidden="false" customHeight="true" outlineLevel="0" collapsed="false">
      <c r="A11" s="22" t="s">
        <v>23</v>
      </c>
      <c r="B11" s="22"/>
      <c r="C11" s="22"/>
      <c r="D11" s="22"/>
      <c r="E11" s="22"/>
      <c r="F11" s="22"/>
    </row>
    <row r="12" customFormat="false" ht="27.75" hidden="false" customHeight="true" outlineLevel="0" collapsed="false">
      <c r="A12" s="28" t="s">
        <v>24</v>
      </c>
      <c r="B12" s="29" t="s">
        <v>25</v>
      </c>
      <c r="C12" s="29" t="s">
        <v>26</v>
      </c>
      <c r="D12" s="29" t="s">
        <v>27</v>
      </c>
      <c r="E12" s="29" t="s">
        <v>28</v>
      </c>
      <c r="F12" s="29" t="s">
        <v>29</v>
      </c>
    </row>
    <row r="13" customFormat="false" ht="15" hidden="false" customHeight="true" outlineLevel="0" collapsed="false">
      <c r="A13" s="30" t="s">
        <v>30</v>
      </c>
      <c r="B13" s="31" t="s">
        <v>31</v>
      </c>
      <c r="C13" s="31" t="n">
        <v>10</v>
      </c>
      <c r="D13" s="31"/>
      <c r="E13" s="31"/>
      <c r="F13" s="32" t="n">
        <f aca="false">'Advanced Inputs'!J55</f>
        <v>10</v>
      </c>
    </row>
    <row r="14" customFormat="false" ht="15" hidden="false" customHeight="true" outlineLevel="0" collapsed="false">
      <c r="A14" s="33" t="s">
        <v>32</v>
      </c>
      <c r="B14" s="34" t="s">
        <v>33</v>
      </c>
      <c r="C14" s="34" t="n">
        <v>10</v>
      </c>
      <c r="D14" s="34"/>
      <c r="E14" s="34"/>
      <c r="F14" s="35" t="n">
        <f aca="false">'Advanced Inputs'!J56</f>
        <v>10</v>
      </c>
    </row>
    <row r="15" customFormat="false" ht="15" hidden="false" customHeight="true" outlineLevel="0" collapsed="false">
      <c r="A15" s="30" t="s">
        <v>34</v>
      </c>
      <c r="B15" s="31" t="s">
        <v>33</v>
      </c>
      <c r="C15" s="31" t="n">
        <v>10</v>
      </c>
      <c r="D15" s="31"/>
      <c r="E15" s="31"/>
      <c r="F15" s="32" t="n">
        <f aca="false">'Advanced Inputs'!J57</f>
        <v>10</v>
      </c>
    </row>
    <row r="16" customFormat="false" ht="15" hidden="false" customHeight="true" outlineLevel="0" collapsed="false">
      <c r="A16" s="33" t="s">
        <v>35</v>
      </c>
      <c r="B16" s="34" t="s">
        <v>33</v>
      </c>
      <c r="C16" s="34" t="n">
        <v>15</v>
      </c>
      <c r="D16" s="34"/>
      <c r="E16" s="34"/>
      <c r="F16" s="35" t="n">
        <f aca="false">'Advanced Inputs'!J58</f>
        <v>15</v>
      </c>
    </row>
    <row r="17" customFormat="false" ht="15" hidden="false" customHeight="true" outlineLevel="0" collapsed="false">
      <c r="A17" s="30" t="s">
        <v>36</v>
      </c>
      <c r="B17" s="31" t="s">
        <v>33</v>
      </c>
      <c r="C17" s="31" t="n">
        <v>10</v>
      </c>
      <c r="D17" s="31"/>
      <c r="E17" s="31"/>
      <c r="F17" s="32" t="n">
        <f aca="false">'Advanced Inputs'!J59</f>
        <v>10</v>
      </c>
    </row>
    <row r="18" customFormat="false" ht="15" hidden="false" customHeight="true" outlineLevel="0" collapsed="false">
      <c r="A18" s="33" t="s">
        <v>37</v>
      </c>
      <c r="B18" s="34" t="s">
        <v>33</v>
      </c>
      <c r="C18" s="34" t="n">
        <v>1.5</v>
      </c>
      <c r="D18" s="34"/>
      <c r="E18" s="34"/>
      <c r="F18" s="35" t="n">
        <f aca="false">'Advanced Inputs'!J60</f>
        <v>1.5</v>
      </c>
    </row>
    <row r="19" customFormat="false" ht="15" hidden="false" customHeight="true" outlineLevel="0" collapsed="false">
      <c r="A19" s="30" t="s">
        <v>38</v>
      </c>
      <c r="B19" s="31" t="s">
        <v>33</v>
      </c>
      <c r="C19" s="31" t="n">
        <v>15</v>
      </c>
      <c r="D19" s="31"/>
      <c r="E19" s="31"/>
      <c r="F19" s="32" t="n">
        <f aca="false">'Advanced Inputs'!J61</f>
        <v>15</v>
      </c>
    </row>
    <row r="20" customFormat="false" ht="15" hidden="false" customHeight="true" outlineLevel="0" collapsed="false">
      <c r="A20" s="33" t="s">
        <v>39</v>
      </c>
      <c r="B20" s="34" t="s">
        <v>33</v>
      </c>
      <c r="C20" s="34" t="n">
        <v>1</v>
      </c>
      <c r="D20" s="34"/>
      <c r="E20" s="34"/>
      <c r="F20" s="35" t="n">
        <f aca="false">'Advanced Inputs'!J62</f>
        <v>1</v>
      </c>
    </row>
    <row r="21" customFormat="false" ht="15" hidden="false" customHeight="true" outlineLevel="0" collapsed="false">
      <c r="A21" s="30" t="s">
        <v>40</v>
      </c>
      <c r="B21" s="31" t="s">
        <v>33</v>
      </c>
      <c r="C21" s="31" t="n">
        <v>1.5</v>
      </c>
      <c r="D21" s="31"/>
      <c r="E21" s="31"/>
      <c r="F21" s="32" t="n">
        <f aca="false">'Advanced Inputs'!J63</f>
        <v>1.5</v>
      </c>
    </row>
    <row r="22" customFormat="false" ht="15" hidden="false" customHeight="true" outlineLevel="0" collapsed="false">
      <c r="A22" s="33" t="s">
        <v>41</v>
      </c>
      <c r="B22" s="34" t="s">
        <v>33</v>
      </c>
      <c r="C22" s="34" t="n">
        <v>4</v>
      </c>
      <c r="D22" s="34"/>
      <c r="E22" s="34"/>
      <c r="F22" s="35" t="n">
        <f aca="false">'Advanced Inputs'!J64</f>
        <v>4</v>
      </c>
    </row>
    <row r="23" customFormat="false" ht="15" hidden="false" customHeight="true" outlineLevel="0" collapsed="false">
      <c r="A23" s="30" t="s">
        <v>42</v>
      </c>
      <c r="B23" s="31" t="s">
        <v>33</v>
      </c>
      <c r="C23" s="31" t="n">
        <v>1.5</v>
      </c>
      <c r="D23" s="31"/>
      <c r="E23" s="31"/>
      <c r="F23" s="32" t="n">
        <f aca="false">'Advanced Inputs'!J65</f>
        <v>1.5</v>
      </c>
    </row>
    <row r="24" customFormat="false" ht="15" hidden="false" customHeight="true" outlineLevel="0" collapsed="false">
      <c r="A24" s="33" t="s">
        <v>43</v>
      </c>
      <c r="B24" s="34" t="s">
        <v>33</v>
      </c>
      <c r="C24" s="34" t="n">
        <v>1</v>
      </c>
      <c r="D24" s="34"/>
      <c r="E24" s="34"/>
      <c r="F24" s="35" t="n">
        <f aca="false">'Advanced Inputs'!J66</f>
        <v>1</v>
      </c>
    </row>
    <row r="25" customFormat="false" ht="15" hidden="false" customHeight="true" outlineLevel="0" collapsed="false">
      <c r="A25" s="30" t="s">
        <v>44</v>
      </c>
      <c r="B25" s="31" t="s">
        <v>31</v>
      </c>
      <c r="C25" s="31" t="n">
        <v>100</v>
      </c>
      <c r="D25" s="31" t="n">
        <v>0.125</v>
      </c>
      <c r="E25" s="36" t="n">
        <v>0.5</v>
      </c>
      <c r="F25" s="32" t="n">
        <f aca="false">'Advanced Inputs'!J67</f>
        <v>18.75</v>
      </c>
    </row>
    <row r="26" customFormat="false" ht="15" hidden="false" customHeight="true" outlineLevel="0" collapsed="false">
      <c r="A26" s="33" t="s">
        <v>45</v>
      </c>
      <c r="B26" s="34" t="s">
        <v>33</v>
      </c>
      <c r="C26" s="34" t="n">
        <v>100</v>
      </c>
      <c r="D26" s="34"/>
      <c r="E26" s="37" t="n">
        <v>0.5</v>
      </c>
      <c r="F26" s="35" t="n">
        <f aca="false">'Advanced Inputs'!J68</f>
        <v>27</v>
      </c>
    </row>
    <row r="27" customFormat="false" ht="15" hidden="false" customHeight="true" outlineLevel="0" collapsed="false">
      <c r="A27" s="30" t="s">
        <v>46</v>
      </c>
      <c r="B27" s="31" t="s">
        <v>33</v>
      </c>
      <c r="C27" s="31" t="n">
        <v>250</v>
      </c>
      <c r="D27" s="31"/>
      <c r="E27" s="36" t="n">
        <v>0.5</v>
      </c>
      <c r="F27" s="32" t="n">
        <f aca="false">'Advanced Inputs'!J69</f>
        <v>37.5</v>
      </c>
    </row>
    <row r="28" customFormat="false" ht="15" hidden="false" customHeight="true" outlineLevel="0" collapsed="false">
      <c r="A28" s="33" t="s">
        <v>47</v>
      </c>
      <c r="B28" s="34" t="s">
        <v>33</v>
      </c>
      <c r="C28" s="34" t="n">
        <v>250</v>
      </c>
      <c r="D28" s="34"/>
      <c r="E28" s="37" t="n">
        <v>0.5</v>
      </c>
      <c r="F28" s="35" t="n">
        <f aca="false">'Advanced Inputs'!J70</f>
        <v>15</v>
      </c>
    </row>
    <row r="29" customFormat="false" ht="15" hidden="false" customHeight="true" outlineLevel="0" collapsed="false">
      <c r="A29" s="30" t="s">
        <v>48</v>
      </c>
      <c r="B29" s="31" t="s">
        <v>33</v>
      </c>
      <c r="C29" s="31" t="n">
        <v>100</v>
      </c>
      <c r="D29" s="31"/>
      <c r="E29" s="31"/>
      <c r="F29" s="32" t="n">
        <f aca="false">'Advanced Inputs'!J71</f>
        <v>2</v>
      </c>
    </row>
    <row r="30" customFormat="false" ht="15" hidden="false" customHeight="true" outlineLevel="0" collapsed="false">
      <c r="A30" s="33" t="s">
        <v>49</v>
      </c>
      <c r="B30" s="34" t="s">
        <v>33</v>
      </c>
      <c r="C30" s="34" t="n">
        <v>20</v>
      </c>
      <c r="D30" s="34"/>
      <c r="E30" s="34"/>
      <c r="F30" s="35" t="n">
        <f aca="false">'Advanced Inputs'!J72</f>
        <v>20</v>
      </c>
    </row>
    <row r="31" customFormat="false" ht="15" hidden="false" customHeight="true" outlineLevel="0" collapsed="false">
      <c r="A31" s="30" t="s">
        <v>50</v>
      </c>
      <c r="B31" s="31" t="s">
        <v>33</v>
      </c>
      <c r="C31" s="31" t="n">
        <v>40</v>
      </c>
      <c r="D31" s="31"/>
      <c r="E31" s="31"/>
      <c r="F31" s="32" t="n">
        <f aca="false">'Advanced Inputs'!J73</f>
        <v>40</v>
      </c>
    </row>
    <row r="32" customFormat="false" ht="15" hidden="false" customHeight="true" outlineLevel="0" collapsed="false">
      <c r="A32" s="33" t="s">
        <v>51</v>
      </c>
      <c r="B32" s="34" t="s">
        <v>33</v>
      </c>
      <c r="C32" s="34" t="n">
        <v>10</v>
      </c>
      <c r="D32" s="34"/>
      <c r="E32" s="34"/>
      <c r="F32" s="35" t="n">
        <f aca="false">'Advanced Inputs'!J74</f>
        <v>10</v>
      </c>
    </row>
    <row r="33" customFormat="false" ht="15" hidden="false" customHeight="true" outlineLevel="0" collapsed="false">
      <c r="A33" s="30" t="s">
        <v>52</v>
      </c>
      <c r="B33" s="31" t="s">
        <v>33</v>
      </c>
      <c r="C33" s="31" t="n">
        <v>10</v>
      </c>
      <c r="D33" s="31"/>
      <c r="E33" s="31"/>
      <c r="F33" s="32" t="n">
        <f aca="false">'Advanced Inputs'!J75</f>
        <v>10</v>
      </c>
    </row>
    <row r="34" customFormat="false" ht="15" hidden="false" customHeight="true" outlineLevel="0" collapsed="false">
      <c r="A34" s="33" t="s">
        <v>53</v>
      </c>
      <c r="B34" s="34" t="s">
        <v>33</v>
      </c>
      <c r="C34" s="34" t="n">
        <v>10</v>
      </c>
      <c r="D34" s="34"/>
      <c r="E34" s="34"/>
      <c r="F34" s="35" t="n">
        <f aca="false">'Advanced Inputs'!J76</f>
        <v>10</v>
      </c>
    </row>
    <row r="35" customFormat="false" ht="25.5" hidden="false" customHeight="true" outlineLevel="0" collapsed="false">
      <c r="A35" s="38" t="s">
        <v>54</v>
      </c>
      <c r="B35" s="38"/>
      <c r="C35" s="38"/>
      <c r="D35" s="38"/>
      <c r="E35" s="38"/>
      <c r="F35" s="38"/>
    </row>
    <row r="36" customFormat="false" ht="21.75" hidden="false" customHeight="true" outlineLevel="0" collapsed="false">
      <c r="A36" s="22" t="s">
        <v>55</v>
      </c>
      <c r="B36" s="22"/>
      <c r="C36" s="22"/>
      <c r="D36" s="22"/>
      <c r="E36" s="22"/>
      <c r="F36" s="22"/>
    </row>
    <row r="37" customFormat="false" ht="15" hidden="false" customHeight="true" outlineLevel="0" collapsed="false">
      <c r="A37" s="39"/>
      <c r="B37" s="40" t="s">
        <v>56</v>
      </c>
      <c r="C37" s="40" t="s">
        <v>57</v>
      </c>
      <c r="D37" s="40" t="s">
        <v>58</v>
      </c>
      <c r="E37" s="40" t="s">
        <v>59</v>
      </c>
      <c r="F37" s="40" t="s">
        <v>60</v>
      </c>
    </row>
    <row r="38" customFormat="false" ht="15" hidden="false" customHeight="true" outlineLevel="0" collapsed="false">
      <c r="A38" s="41" t="s">
        <v>61</v>
      </c>
      <c r="B38" s="42" t="n">
        <f aca="false">Results!B10</f>
        <v>1558728.2991852</v>
      </c>
      <c r="C38" s="42" t="n">
        <f aca="false">Results!C10</f>
        <v>10949246.0750188</v>
      </c>
      <c r="D38" s="42" t="n">
        <f aca="false">Results!D10</f>
        <v>23810530.6876454</v>
      </c>
      <c r="E38" s="42" t="n">
        <f aca="false">Results!E10</f>
        <v>41426083.3641582</v>
      </c>
      <c r="F38" s="42" t="n">
        <f aca="false">Results!F10</f>
        <v>98603634.7310109</v>
      </c>
    </row>
    <row r="39" customFormat="false" ht="15" hidden="false" customHeight="true" outlineLevel="0" collapsed="false">
      <c r="A39" s="43" t="s">
        <v>62</v>
      </c>
      <c r="B39" s="44" t="n">
        <f aca="false">Results!B11</f>
        <v>0</v>
      </c>
      <c r="C39" s="44" t="n">
        <f aca="false">Results!C11</f>
        <v>0</v>
      </c>
      <c r="D39" s="44" t="n">
        <f aca="false">Results!D11</f>
        <v>0</v>
      </c>
      <c r="E39" s="44" t="n">
        <f aca="false">Results!E11</f>
        <v>0</v>
      </c>
      <c r="F39" s="44" t="n">
        <f aca="false">Results!F11</f>
        <v>0</v>
      </c>
    </row>
    <row r="40" customFormat="false" ht="15" hidden="false" customHeight="true" outlineLevel="0" collapsed="false">
      <c r="A40" s="43" t="s">
        <v>63</v>
      </c>
      <c r="B40" s="44" t="n">
        <f aca="false">Results!B12</f>
        <v>0</v>
      </c>
      <c r="C40" s="44" t="n">
        <f aca="false">Results!C12</f>
        <v>0</v>
      </c>
      <c r="D40" s="44" t="n">
        <f aca="false">Results!D12</f>
        <v>0</v>
      </c>
      <c r="E40" s="44" t="n">
        <f aca="false">Results!E12</f>
        <v>0</v>
      </c>
      <c r="F40" s="44" t="n">
        <f aca="false">Results!F12</f>
        <v>0</v>
      </c>
    </row>
    <row r="41" customFormat="false" ht="15" hidden="false" customHeight="true" outlineLevel="0" collapsed="false">
      <c r="A41" s="43" t="s">
        <v>64</v>
      </c>
      <c r="B41" s="44" t="n">
        <f aca="false">Results!B13</f>
        <v>0</v>
      </c>
      <c r="C41" s="44" t="n">
        <f aca="false">Results!C13</f>
        <v>0</v>
      </c>
      <c r="D41" s="44" t="n">
        <f aca="false">Results!D13</f>
        <v>0</v>
      </c>
      <c r="E41" s="44" t="n">
        <f aca="false">Results!E13</f>
        <v>0</v>
      </c>
      <c r="F41" s="44" t="n">
        <f aca="false">Results!F13</f>
        <v>0</v>
      </c>
    </row>
    <row r="43" customFormat="false" ht="15" hidden="false" customHeight="true" outlineLevel="0" collapsed="false">
      <c r="A43" s="43" t="s">
        <v>65</v>
      </c>
      <c r="B43" s="44" t="n">
        <f aca="false">Results!B25</f>
        <v>-3183421.21088981</v>
      </c>
      <c r="C43" s="44" t="n">
        <f aca="false">Results!C25</f>
        <v>-8116362.67649225</v>
      </c>
      <c r="D43" s="44" t="n">
        <f aca="false">Results!D25</f>
        <v>-12914101.413339</v>
      </c>
      <c r="E43" s="44" t="n">
        <f aca="false">Results!E25</f>
        <v>-17489433.7439284</v>
      </c>
      <c r="F43" s="44" t="n">
        <f aca="false">Results!F25</f>
        <v>-17285750.7180626</v>
      </c>
    </row>
    <row r="44" customFormat="false" ht="15" hidden="false" customHeight="true" outlineLevel="0" collapsed="false">
      <c r="A44" s="43" t="s">
        <v>66</v>
      </c>
      <c r="B44" s="44" t="n">
        <f aca="false">Results!B26</f>
        <v>-292071.62157931</v>
      </c>
      <c r="C44" s="44" t="n">
        <f aca="false">Results!C26</f>
        <v>-642050.920912942</v>
      </c>
      <c r="D44" s="44" t="n">
        <f aca="false">Results!D26</f>
        <v>-963648.166858413</v>
      </c>
      <c r="E44" s="44" t="n">
        <f aca="false">Results!E26</f>
        <v>-1236199.35878758</v>
      </c>
      <c r="F44" s="44" t="n">
        <f aca="false">Results!F26</f>
        <v>-1506245.58335205</v>
      </c>
    </row>
    <row r="45" customFormat="false" ht="15" hidden="false" customHeight="true" outlineLevel="0" collapsed="false">
      <c r="A45" s="45" t="s">
        <v>67</v>
      </c>
      <c r="B45" s="46" t="n">
        <f aca="false">Results!B27</f>
        <v>-3475492.83246912</v>
      </c>
      <c r="C45" s="46" t="n">
        <f aca="false">Results!C27</f>
        <v>-8758413.59740519</v>
      </c>
      <c r="D45" s="46" t="n">
        <f aca="false">Results!D27</f>
        <v>-13877749.5801975</v>
      </c>
      <c r="E45" s="46" t="n">
        <f aca="false">Results!E27</f>
        <v>-18725633.102716</v>
      </c>
      <c r="F45" s="46" t="n">
        <f aca="false">Results!F27</f>
        <v>-18791996.3014146</v>
      </c>
    </row>
    <row r="47" customFormat="false" ht="21.75" hidden="false" customHeight="true" outlineLevel="0" collapsed="false">
      <c r="A47" s="22" t="s">
        <v>68</v>
      </c>
      <c r="B47" s="22"/>
      <c r="C47" s="22"/>
      <c r="D47" s="22"/>
      <c r="E47" s="22"/>
      <c r="F47" s="22"/>
    </row>
    <row r="48" customFormat="false" ht="15" hidden="false" customHeight="true" outlineLevel="0" collapsed="false">
      <c r="A48" s="47" t="s">
        <v>69</v>
      </c>
      <c r="B48" s="48" t="n">
        <f aca="false">Results!B18</f>
        <v>480191.285255825</v>
      </c>
      <c r="C48" s="48" t="n">
        <f aca="false">Results!C18</f>
        <v>1472843.36075236</v>
      </c>
      <c r="D48" s="48" t="n">
        <f aca="false">Results!D18</f>
        <v>2801235.75783954</v>
      </c>
      <c r="E48" s="48" t="n">
        <f aca="false">Results!E18</f>
        <v>4578924.44071099</v>
      </c>
      <c r="F48" s="48" t="n">
        <f aca="false">Results!F18</f>
        <v>10141442.5880303</v>
      </c>
    </row>
    <row r="49" customFormat="false" ht="15" hidden="false" customHeight="true" outlineLevel="0" collapsed="false">
      <c r="A49" s="47" t="s">
        <v>70</v>
      </c>
      <c r="B49" s="48" t="n">
        <f aca="false">Results!B19</f>
        <v>117160.854544591</v>
      </c>
      <c r="C49" s="48" t="n">
        <f aca="false">Results!C19</f>
        <v>359250.094771307</v>
      </c>
      <c r="D49" s="48" t="n">
        <f aca="false">Results!D19</f>
        <v>683220.108104448</v>
      </c>
      <c r="E49" s="48" t="n">
        <f aca="false">Results!E19</f>
        <v>1116765.06632227</v>
      </c>
      <c r="F49" s="48" t="n">
        <f aca="false">Results!F19</f>
        <v>2473359.00822104</v>
      </c>
    </row>
    <row r="50" customFormat="false" ht="15" hidden="false" customHeight="true" outlineLevel="0" collapsed="false">
      <c r="A50" s="47" t="s">
        <v>71</v>
      </c>
      <c r="B50" s="48" t="n">
        <f aca="false">Results!B20</f>
        <v>1576300</v>
      </c>
      <c r="C50" s="48" t="n">
        <f aca="false">Results!C20</f>
        <v>1576300</v>
      </c>
      <c r="D50" s="48" t="n">
        <f aca="false">Results!D20</f>
        <v>1576300</v>
      </c>
      <c r="E50" s="48" t="n">
        <f aca="false">Results!E20</f>
        <v>1576300</v>
      </c>
      <c r="F50" s="48" t="n">
        <f aca="false">Results!F20</f>
        <v>1576300</v>
      </c>
    </row>
    <row r="51" customFormat="false" ht="15" hidden="false" customHeight="true" outlineLevel="0" collapsed="false">
      <c r="A51" s="47" t="s">
        <v>72</v>
      </c>
      <c r="B51" s="48" t="n">
        <f aca="false">Results!B22</f>
        <v>4399527.63986097</v>
      </c>
      <c r="C51" s="48" t="n">
        <f aca="false">Results!C22</f>
        <v>8799055.27972194</v>
      </c>
      <c r="D51" s="48" t="n">
        <f aca="false">Results!D22</f>
        <v>13198582.9195829</v>
      </c>
      <c r="E51" s="48" t="n">
        <f aca="false">Results!E22</f>
        <v>17598110.5594439</v>
      </c>
      <c r="F51" s="48" t="n">
        <f aca="false">Results!F22</f>
        <v>18246110.5594439</v>
      </c>
    </row>
    <row r="52" customFormat="false" ht="15" hidden="false" customHeight="true" outlineLevel="0" collapsed="false">
      <c r="A52" s="47" t="s">
        <v>73</v>
      </c>
      <c r="B52" s="48" t="n">
        <f aca="false">Results!B24</f>
        <v>188325</v>
      </c>
      <c r="C52" s="48" t="n">
        <f aca="false">Results!C24</f>
        <v>373275</v>
      </c>
      <c r="D52" s="48" t="n">
        <f aca="false">Results!D24</f>
        <v>558225</v>
      </c>
      <c r="E52" s="48" t="n">
        <f aca="false">Results!E24</f>
        <v>743175</v>
      </c>
      <c r="F52" s="48" t="n">
        <f aca="false">Results!F24</f>
        <v>1113075</v>
      </c>
    </row>
  </sheetData>
  <mergeCells count="7">
    <mergeCell ref="A1:F1"/>
    <mergeCell ref="A2:F2"/>
    <mergeCell ref="A4:F4"/>
    <mergeCell ref="A11:F11"/>
    <mergeCell ref="A35:F35"/>
    <mergeCell ref="A36:F36"/>
    <mergeCell ref="A47:F47"/>
  </mergeCells>
  <dataValidations count="2">
    <dataValidation allowBlank="true" errorStyle="stop" operator="between" showDropDown="false" showErrorMessage="false" showInputMessage="false" sqref="A13:A34" type="list">
      <formula1>TypeList</formula1>
      <formula2>0</formula2>
    </dataValidation>
    <dataValidation allowBlank="true" errorStyle="stop" operator="between" showDropDown="false" showErrorMessage="false" showInputMessage="false" sqref="B13:B34" type="list">
      <formula1>"Yes,No"</formula1>
      <formula2>0</formula2>
    </dataValidation>
  </dataValidations>
  <printOptions headings="false" gridLines="false" gridLinesSet="true" horizontalCentered="false" verticalCentered="false"/>
  <pageMargins left="0.4" right="0.4" top="0.5" bottom="0.5" header="0.511811023622047" footer="0.2"/>
  <pageSetup paperSize="9" scale="100" fitToWidth="1" fitToHeight="0" pageOrder="downThenOver" orientation="portrait" blackAndWhite="false" draft="false" cellComments="none" horizontalDpi="300" verticalDpi="300" copies="1"/>
  <headerFooter differentFirst="false" differentOddEven="false">
    <oddHeader/>
    <oddFooter>&amp;L&amp;8 City of Sealy · ESD #2 Development-Scenario Model&amp;R&amp;8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76"/>
  <sheetViews>
    <sheetView showFormulas="false" showGridLines="false" showRowColHeaders="true" showZeros="true" rightToLeft="false" tabSelected="false" showOutlineSymbols="true" defaultGridColor="true" view="normal" topLeftCell="A51" colorId="64" zoomScale="100" zoomScaleNormal="100" zoomScalePageLayoutView="100" workbookViewId="0">
      <selection pane="topLeft" activeCell="X23" activeCellId="0" sqref="X23"/>
    </sheetView>
  </sheetViews>
  <sheetFormatPr defaultColWidth="8.66796875" defaultRowHeight="12.75" customHeight="false" zeroHeight="false" outlineLevelRow="0" outlineLevelCol="0"/>
  <cols>
    <col collapsed="false" customWidth="true" hidden="false" outlineLevel="0" max="1" min="1" style="16" width="46"/>
    <col collapsed="false" customWidth="true" hidden="false" outlineLevel="0" max="4" min="2" style="16" width="15"/>
    <col collapsed="false" customWidth="true" hidden="false" outlineLevel="0" max="19" min="5" style="16" width="12"/>
    <col collapsed="false" customWidth="true" hidden="true" outlineLevel="0" max="20" min="20" style="16" width="9"/>
    <col collapsed="false" customWidth="false" hidden="false" outlineLevel="0" max="16384" min="21" style="16" width="8.67"/>
  </cols>
  <sheetData>
    <row r="1" customFormat="false" ht="27.75" hidden="false" customHeight="true" outlineLevel="0" collapsed="false">
      <c r="A1" s="49" t="s">
        <v>74</v>
      </c>
      <c r="B1" s="49"/>
      <c r="C1" s="49"/>
      <c r="D1" s="49"/>
      <c r="E1" s="49"/>
      <c r="F1" s="49"/>
      <c r="G1" s="49"/>
      <c r="H1" s="49"/>
      <c r="I1" s="49"/>
      <c r="J1" s="49"/>
      <c r="K1" s="49"/>
      <c r="L1" s="49"/>
      <c r="M1" s="49"/>
      <c r="N1" s="49"/>
      <c r="O1" s="49"/>
      <c r="P1" s="49"/>
      <c r="Q1" s="49"/>
      <c r="R1" s="49"/>
      <c r="S1" s="49"/>
    </row>
    <row r="2" customFormat="false" ht="15.75" hidden="false" customHeight="true" outlineLevel="0" collapsed="false">
      <c r="A2" s="50" t="s">
        <v>75</v>
      </c>
      <c r="B2" s="50"/>
      <c r="C2" s="50"/>
      <c r="D2" s="50"/>
      <c r="E2" s="50"/>
      <c r="F2" s="50"/>
      <c r="G2" s="50"/>
      <c r="H2" s="50"/>
      <c r="I2" s="50"/>
      <c r="J2" s="50"/>
      <c r="K2" s="50"/>
      <c r="L2" s="50"/>
      <c r="M2" s="50"/>
      <c r="N2" s="50"/>
      <c r="O2" s="50"/>
      <c r="P2" s="50"/>
      <c r="Q2" s="50"/>
      <c r="R2" s="50"/>
      <c r="S2" s="50"/>
    </row>
    <row r="3" customFormat="false" ht="12.75" hidden="false" customHeight="true" outlineLevel="0" collapsed="false">
      <c r="A3" s="51"/>
      <c r="B3" s="51"/>
      <c r="C3" s="51"/>
      <c r="D3" s="51"/>
      <c r="E3" s="51"/>
      <c r="F3" s="51"/>
      <c r="G3" s="51"/>
      <c r="H3" s="51"/>
      <c r="I3" s="51"/>
      <c r="J3" s="51"/>
      <c r="K3" s="51"/>
      <c r="L3" s="51"/>
      <c r="M3" s="51"/>
      <c r="N3" s="51"/>
      <c r="O3" s="51"/>
      <c r="P3" s="51"/>
      <c r="Q3" s="51"/>
      <c r="R3" s="51"/>
      <c r="S3" s="51"/>
    </row>
    <row r="4" customFormat="false" ht="18" hidden="false" customHeight="true" outlineLevel="0" collapsed="false">
      <c r="A4" s="52" t="s">
        <v>76</v>
      </c>
      <c r="B4" s="53" t="s">
        <v>77</v>
      </c>
      <c r="C4" s="54"/>
      <c r="D4" s="53" t="s">
        <v>78</v>
      </c>
      <c r="E4" s="55"/>
      <c r="F4" s="56"/>
      <c r="G4" s="56"/>
      <c r="H4" s="56"/>
      <c r="I4" s="51"/>
      <c r="J4" s="51"/>
      <c r="K4" s="51"/>
      <c r="L4" s="51"/>
      <c r="M4" s="51"/>
      <c r="N4" s="51"/>
      <c r="O4" s="51"/>
      <c r="P4" s="51"/>
      <c r="Q4" s="51"/>
      <c r="R4" s="51"/>
      <c r="S4" s="51"/>
    </row>
    <row r="5" customFormat="false" ht="19.5" hidden="false" customHeight="true" outlineLevel="0" collapsed="false">
      <c r="A5" s="57" t="s">
        <v>79</v>
      </c>
      <c r="B5" s="57"/>
      <c r="C5" s="57"/>
      <c r="D5" s="57"/>
      <c r="E5" s="58"/>
      <c r="F5" s="58"/>
      <c r="G5" s="58"/>
      <c r="H5" s="58"/>
      <c r="I5" s="59"/>
      <c r="J5" s="59"/>
      <c r="K5" s="59"/>
      <c r="L5" s="59"/>
      <c r="M5" s="59"/>
      <c r="N5" s="59"/>
      <c r="O5" s="59"/>
      <c r="P5" s="59"/>
      <c r="Q5" s="59"/>
      <c r="R5" s="59"/>
      <c r="S5" s="59"/>
    </row>
    <row r="6" customFormat="false" ht="15" hidden="false" customHeight="true" outlineLevel="0" collapsed="false">
      <c r="A6" s="60" t="s">
        <v>80</v>
      </c>
      <c r="B6" s="61" t="s">
        <v>81</v>
      </c>
      <c r="C6" s="61"/>
      <c r="D6" s="62" t="n">
        <f aca="false">'Typical Inputs'!C5</f>
        <v>0</v>
      </c>
      <c r="E6" s="63"/>
      <c r="F6" s="63"/>
      <c r="G6" s="63"/>
      <c r="H6" s="63"/>
      <c r="I6" s="63"/>
      <c r="J6" s="63"/>
      <c r="K6" s="63"/>
      <c r="L6" s="63"/>
      <c r="M6" s="63"/>
      <c r="N6" s="63"/>
      <c r="O6" s="63"/>
      <c r="P6" s="63"/>
      <c r="Q6" s="63"/>
      <c r="R6" s="63"/>
      <c r="S6" s="63"/>
    </row>
    <row r="7" customFormat="false" ht="15" hidden="false" customHeight="true" outlineLevel="0" collapsed="false">
      <c r="A7" s="60" t="s">
        <v>82</v>
      </c>
      <c r="B7" s="64" t="n">
        <v>0</v>
      </c>
      <c r="C7" s="61"/>
      <c r="D7" s="62" t="n">
        <f aca="false">'Typical Inputs'!C6</f>
        <v>0</v>
      </c>
      <c r="E7" s="60" t="s">
        <v>83</v>
      </c>
      <c r="F7" s="65" t="n">
        <v>1</v>
      </c>
      <c r="G7" s="60" t="str">
        <f aca="false">IF($F$7="","",IF($F$7=2,IF($D$7&gt;$D$6,"WARNING: EDC % ("&amp;TEXT($D$7,"0%")&amp;") exceeds City pool share ("&amp;TEXT($D$6,"0%")&amp;") - General Fund goes NEGATIVE",""),IF($D$7&gt;1,"WARNING: EDC % over 100% - General Fund negative","")))</f>
        <v/>
      </c>
      <c r="H7" s="60" t="s">
        <v>84</v>
      </c>
      <c r="I7" s="63"/>
      <c r="J7" s="63"/>
      <c r="K7" s="63"/>
      <c r="L7" s="63"/>
      <c r="M7" s="63"/>
      <c r="N7" s="63"/>
      <c r="O7" s="63"/>
      <c r="P7" s="63"/>
      <c r="Q7" s="63"/>
      <c r="R7" s="63"/>
      <c r="S7" s="63"/>
    </row>
    <row r="8" customFormat="false" ht="15" hidden="false" customHeight="true" outlineLevel="0" collapsed="false">
      <c r="A8" s="60" t="s">
        <v>85</v>
      </c>
      <c r="B8" s="61" t="s">
        <v>81</v>
      </c>
      <c r="C8" s="61"/>
      <c r="D8" s="62" t="n">
        <f aca="false">'Typical Inputs'!C7</f>
        <v>0</v>
      </c>
      <c r="E8" s="63"/>
      <c r="F8" s="63"/>
      <c r="G8" s="63"/>
      <c r="H8" s="63"/>
      <c r="I8" s="63"/>
      <c r="J8" s="63"/>
      <c r="K8" s="63"/>
      <c r="L8" s="63"/>
      <c r="M8" s="63"/>
      <c r="N8" s="63"/>
      <c r="O8" s="63"/>
      <c r="P8" s="63"/>
      <c r="Q8" s="63"/>
      <c r="R8" s="63"/>
      <c r="S8" s="63"/>
    </row>
    <row r="9" customFormat="false" ht="15" hidden="false" customHeight="true" outlineLevel="0" collapsed="false">
      <c r="A9" s="60" t="s">
        <v>20</v>
      </c>
      <c r="B9" s="66" t="n">
        <v>0.015</v>
      </c>
      <c r="C9" s="61"/>
      <c r="D9" s="62" t="n">
        <f aca="false">'Typical Inputs'!C8</f>
        <v>0.015</v>
      </c>
      <c r="E9" s="63"/>
      <c r="F9" s="63"/>
      <c r="G9" s="63"/>
      <c r="H9" s="63"/>
      <c r="I9" s="63"/>
      <c r="J9" s="63"/>
      <c r="K9" s="63"/>
      <c r="L9" s="63"/>
      <c r="M9" s="63"/>
      <c r="N9" s="63"/>
      <c r="O9" s="63"/>
      <c r="P9" s="63"/>
      <c r="Q9" s="63"/>
      <c r="R9" s="63"/>
      <c r="S9" s="63"/>
    </row>
    <row r="10" customFormat="false" ht="15" hidden="false" customHeight="true" outlineLevel="0" collapsed="false">
      <c r="A10" s="67" t="s">
        <v>86</v>
      </c>
      <c r="B10" s="68" t="n">
        <v>0.0037731</v>
      </c>
      <c r="C10" s="68"/>
      <c r="D10" s="69" t="n">
        <v>0.0037731</v>
      </c>
      <c r="E10" s="51"/>
      <c r="F10" s="51"/>
      <c r="G10" s="51"/>
      <c r="H10" s="51"/>
      <c r="I10" s="51"/>
      <c r="J10" s="51"/>
      <c r="K10" s="51"/>
      <c r="L10" s="51"/>
      <c r="M10" s="51"/>
      <c r="N10" s="51"/>
      <c r="O10" s="51"/>
      <c r="P10" s="51"/>
      <c r="Q10" s="51"/>
      <c r="R10" s="51"/>
      <c r="S10" s="51"/>
    </row>
    <row r="11" customFormat="false" ht="15" hidden="false" customHeight="true" outlineLevel="0" collapsed="false">
      <c r="A11" s="67" t="s">
        <v>87</v>
      </c>
      <c r="B11" s="68" t="n">
        <v>0.000931</v>
      </c>
      <c r="C11" s="68"/>
      <c r="D11" s="69" t="n">
        <v>0.000931</v>
      </c>
      <c r="E11" s="51"/>
      <c r="F11" s="51"/>
      <c r="G11" s="51"/>
      <c r="H11" s="51"/>
      <c r="I11" s="51"/>
      <c r="J11" s="51"/>
      <c r="K11" s="51"/>
      <c r="L11" s="51"/>
      <c r="M11" s="51"/>
      <c r="N11" s="51"/>
      <c r="O11" s="51"/>
      <c r="P11" s="51"/>
      <c r="Q11" s="51"/>
      <c r="R11" s="51"/>
      <c r="S11" s="51"/>
    </row>
    <row r="12" customFormat="false" ht="19.5" hidden="false" customHeight="true" outlineLevel="0" collapsed="false">
      <c r="A12" s="57" t="s">
        <v>88</v>
      </c>
      <c r="B12" s="57"/>
      <c r="C12" s="57"/>
      <c r="D12" s="57"/>
      <c r="E12" s="58"/>
      <c r="F12" s="58"/>
      <c r="G12" s="58"/>
      <c r="H12" s="58"/>
      <c r="I12" s="59"/>
      <c r="J12" s="59"/>
      <c r="K12" s="59"/>
      <c r="L12" s="59"/>
      <c r="M12" s="59"/>
      <c r="N12" s="59"/>
      <c r="O12" s="59"/>
      <c r="P12" s="59"/>
      <c r="Q12" s="59"/>
      <c r="R12" s="59"/>
      <c r="S12" s="59"/>
    </row>
    <row r="13" customFormat="false" ht="15" hidden="false" customHeight="true" outlineLevel="0" collapsed="false">
      <c r="A13" s="67" t="s">
        <v>89</v>
      </c>
      <c r="B13" s="70" t="n">
        <v>7937</v>
      </c>
      <c r="C13" s="68"/>
      <c r="D13" s="71" t="n">
        <v>7937</v>
      </c>
      <c r="E13" s="51"/>
      <c r="F13" s="51"/>
      <c r="G13" s="51"/>
      <c r="H13" s="51"/>
      <c r="I13" s="51"/>
      <c r="J13" s="51"/>
      <c r="K13" s="51"/>
      <c r="L13" s="51"/>
      <c r="M13" s="51"/>
      <c r="N13" s="51"/>
      <c r="O13" s="51"/>
      <c r="P13" s="51"/>
      <c r="Q13" s="51"/>
      <c r="R13" s="51"/>
      <c r="S13" s="51"/>
    </row>
    <row r="14" customFormat="false" ht="15" hidden="false" customHeight="true" outlineLevel="0" collapsed="false">
      <c r="A14" s="67" t="s">
        <v>90</v>
      </c>
      <c r="B14" s="72" t="n">
        <v>0.032</v>
      </c>
      <c r="C14" s="68"/>
      <c r="D14" s="73" t="n">
        <v>0.032</v>
      </c>
      <c r="E14" s="51"/>
      <c r="F14" s="51"/>
      <c r="G14" s="51"/>
      <c r="H14" s="51"/>
      <c r="I14" s="51"/>
      <c r="J14" s="51"/>
      <c r="K14" s="51"/>
      <c r="L14" s="51"/>
      <c r="M14" s="51"/>
      <c r="N14" s="51"/>
      <c r="O14" s="51"/>
      <c r="P14" s="51"/>
      <c r="Q14" s="51"/>
      <c r="R14" s="51"/>
      <c r="S14" s="51"/>
    </row>
    <row r="15" customFormat="false" ht="15" hidden="false" customHeight="true" outlineLevel="0" collapsed="false">
      <c r="A15" s="67" t="s">
        <v>91</v>
      </c>
      <c r="B15" s="70" t="n">
        <v>3700000</v>
      </c>
      <c r="C15" s="68"/>
      <c r="D15" s="74" t="n">
        <v>3700000</v>
      </c>
      <c r="E15" s="51"/>
      <c r="F15" s="51"/>
      <c r="G15" s="51"/>
      <c r="H15" s="51"/>
      <c r="I15" s="51"/>
      <c r="J15" s="51"/>
      <c r="K15" s="51"/>
      <c r="L15" s="51"/>
      <c r="M15" s="51"/>
      <c r="N15" s="51"/>
      <c r="O15" s="51"/>
      <c r="P15" s="51"/>
      <c r="Q15" s="51"/>
      <c r="R15" s="51"/>
      <c r="S15" s="51"/>
    </row>
    <row r="16" customFormat="false" ht="15" hidden="false" customHeight="true" outlineLevel="0" collapsed="false">
      <c r="A16" s="67" t="s">
        <v>92</v>
      </c>
      <c r="B16" s="72" t="n">
        <v>0.065</v>
      </c>
      <c r="C16" s="68"/>
      <c r="D16" s="73" t="n">
        <v>0.065</v>
      </c>
      <c r="E16" s="51"/>
      <c r="F16" s="51"/>
      <c r="G16" s="51"/>
      <c r="H16" s="51"/>
      <c r="I16" s="51"/>
      <c r="J16" s="51"/>
      <c r="K16" s="51"/>
      <c r="L16" s="51"/>
      <c r="M16" s="51"/>
      <c r="N16" s="51"/>
      <c r="O16" s="51"/>
      <c r="P16" s="51"/>
      <c r="Q16" s="51"/>
      <c r="R16" s="51"/>
      <c r="S16" s="51"/>
    </row>
    <row r="17" customFormat="false" ht="15" hidden="false" customHeight="true" outlineLevel="0" collapsed="false">
      <c r="A17" s="67" t="s">
        <v>93</v>
      </c>
      <c r="B17" s="72" t="n">
        <v>0.06</v>
      </c>
      <c r="C17" s="68"/>
      <c r="D17" s="73" t="n">
        <v>0.06</v>
      </c>
      <c r="E17" s="51"/>
      <c r="F17" s="51"/>
      <c r="G17" s="51"/>
      <c r="H17" s="51"/>
      <c r="I17" s="51"/>
      <c r="J17" s="51"/>
      <c r="K17" s="51"/>
      <c r="L17" s="51"/>
      <c r="M17" s="51"/>
      <c r="N17" s="51"/>
      <c r="O17" s="51"/>
      <c r="P17" s="51"/>
      <c r="Q17" s="51"/>
      <c r="R17" s="51"/>
      <c r="S17" s="51"/>
    </row>
    <row r="18" customFormat="false" ht="15" hidden="false" customHeight="true" outlineLevel="0" collapsed="false">
      <c r="A18" s="67" t="s">
        <v>94</v>
      </c>
      <c r="B18" s="75" t="n">
        <v>0.8</v>
      </c>
      <c r="C18" s="68"/>
      <c r="D18" s="73" t="n">
        <v>0.8</v>
      </c>
      <c r="E18" s="51"/>
      <c r="F18" s="51"/>
      <c r="G18" s="51"/>
      <c r="H18" s="51"/>
      <c r="I18" s="51"/>
      <c r="J18" s="51"/>
      <c r="K18" s="51"/>
      <c r="L18" s="51"/>
      <c r="M18" s="51"/>
      <c r="N18" s="51"/>
      <c r="O18" s="51"/>
      <c r="P18" s="51"/>
      <c r="Q18" s="51"/>
      <c r="R18" s="51"/>
      <c r="S18" s="51"/>
    </row>
    <row r="19" customFormat="false" ht="12.75" hidden="false" customHeight="true" outlineLevel="0" collapsed="false">
      <c r="A19" s="67" t="s">
        <v>95</v>
      </c>
      <c r="B19" s="72" t="n">
        <v>0.025</v>
      </c>
      <c r="C19" s="68"/>
      <c r="D19" s="73" t="n">
        <v>0.025</v>
      </c>
      <c r="E19" s="51"/>
      <c r="F19" s="51"/>
      <c r="G19" s="51"/>
      <c r="H19" s="51"/>
      <c r="I19" s="51"/>
      <c r="J19" s="51"/>
      <c r="K19" s="51"/>
      <c r="L19" s="51"/>
      <c r="M19" s="51"/>
      <c r="N19" s="51"/>
      <c r="O19" s="51"/>
      <c r="P19" s="51"/>
      <c r="Q19" s="51"/>
      <c r="R19" s="51"/>
      <c r="S19" s="51"/>
    </row>
    <row r="20" customFormat="false" ht="15" hidden="false" customHeight="true" outlineLevel="0" collapsed="false">
      <c r="A20" s="67" t="s">
        <v>96</v>
      </c>
      <c r="B20" s="72" t="n">
        <v>0.045</v>
      </c>
      <c r="C20" s="68"/>
      <c r="D20" s="73" t="n">
        <v>0.045</v>
      </c>
      <c r="E20" s="51"/>
      <c r="F20" s="51"/>
      <c r="G20" s="51"/>
      <c r="H20" s="51"/>
      <c r="I20" s="51"/>
      <c r="J20" s="51"/>
      <c r="K20" s="51"/>
      <c r="L20" s="51"/>
      <c r="M20" s="51"/>
      <c r="N20" s="51"/>
      <c r="O20" s="51"/>
      <c r="P20" s="51"/>
      <c r="Q20" s="51"/>
      <c r="R20" s="51"/>
      <c r="S20" s="51"/>
    </row>
    <row r="21" customFormat="false" ht="15" hidden="false" customHeight="true" outlineLevel="0" collapsed="false">
      <c r="A21" s="67" t="s">
        <v>97</v>
      </c>
      <c r="B21" s="72" t="n">
        <v>0.025</v>
      </c>
      <c r="C21" s="68"/>
      <c r="D21" s="73" t="n">
        <v>0.025</v>
      </c>
      <c r="E21" s="51"/>
      <c r="F21" s="51"/>
      <c r="G21" s="51"/>
      <c r="H21" s="51"/>
      <c r="I21" s="51"/>
      <c r="J21" s="51"/>
      <c r="K21" s="51"/>
      <c r="L21" s="51"/>
      <c r="M21" s="51"/>
      <c r="N21" s="51"/>
      <c r="O21" s="51"/>
      <c r="P21" s="51"/>
      <c r="Q21" s="51"/>
      <c r="R21" s="51"/>
      <c r="S21" s="51"/>
    </row>
    <row r="22" customFormat="false" ht="15" hidden="false" customHeight="true" outlineLevel="0" collapsed="false">
      <c r="A22" s="67" t="s">
        <v>98</v>
      </c>
      <c r="B22" s="72" t="n">
        <v>0.025</v>
      </c>
      <c r="C22" s="68"/>
      <c r="D22" s="73" t="n">
        <v>0.025</v>
      </c>
      <c r="E22" s="51"/>
      <c r="F22" s="51"/>
      <c r="G22" s="51"/>
      <c r="H22" s="51"/>
      <c r="I22" s="51"/>
      <c r="J22" s="51"/>
      <c r="K22" s="51"/>
      <c r="L22" s="51"/>
      <c r="M22" s="51"/>
      <c r="N22" s="51"/>
      <c r="O22" s="51"/>
      <c r="P22" s="51"/>
      <c r="Q22" s="51"/>
      <c r="R22" s="51"/>
      <c r="S22" s="51"/>
    </row>
    <row r="23" customFormat="false" ht="15" hidden="false" customHeight="true" outlineLevel="0" collapsed="false">
      <c r="A23" s="67" t="s">
        <v>99</v>
      </c>
      <c r="B23" s="68" t="n">
        <v>1</v>
      </c>
      <c r="C23" s="68"/>
      <c r="D23" s="76" t="n">
        <v>0</v>
      </c>
      <c r="E23" s="51"/>
      <c r="F23" s="51"/>
      <c r="G23" s="51"/>
      <c r="H23" s="51"/>
      <c r="I23" s="51"/>
      <c r="J23" s="51"/>
      <c r="K23" s="51"/>
      <c r="L23" s="51"/>
      <c r="M23" s="51"/>
      <c r="N23" s="51"/>
      <c r="O23" s="51"/>
      <c r="P23" s="51"/>
      <c r="Q23" s="51"/>
      <c r="R23" s="51"/>
      <c r="S23" s="51"/>
    </row>
    <row r="24" customFormat="false" ht="15" hidden="false" customHeight="true" outlineLevel="0" collapsed="false">
      <c r="A24" s="67" t="s">
        <v>100</v>
      </c>
      <c r="B24" s="75" t="n">
        <v>0.95</v>
      </c>
      <c r="C24" s="68"/>
      <c r="D24" s="73" t="n">
        <v>1</v>
      </c>
      <c r="E24" s="51"/>
      <c r="F24" s="51"/>
      <c r="G24" s="51"/>
      <c r="H24" s="51"/>
      <c r="I24" s="51"/>
      <c r="J24" s="51"/>
      <c r="K24" s="51"/>
      <c r="L24" s="51"/>
      <c r="M24" s="51"/>
      <c r="N24" s="51"/>
      <c r="O24" s="51"/>
      <c r="P24" s="51"/>
      <c r="Q24" s="51"/>
      <c r="R24" s="51"/>
      <c r="S24" s="51"/>
    </row>
    <row r="25" customFormat="false" ht="19.5" hidden="false" customHeight="true" outlineLevel="0" collapsed="false">
      <c r="A25" s="57" t="s">
        <v>101</v>
      </c>
      <c r="B25" s="57"/>
      <c r="C25" s="57"/>
      <c r="D25" s="57"/>
      <c r="E25" s="58"/>
      <c r="F25" s="58"/>
      <c r="G25" s="58"/>
      <c r="H25" s="58"/>
      <c r="I25" s="59"/>
      <c r="J25" s="59"/>
      <c r="K25" s="59"/>
      <c r="L25" s="59"/>
      <c r="M25" s="59"/>
      <c r="N25" s="59"/>
      <c r="O25" s="59"/>
      <c r="P25" s="59"/>
      <c r="Q25" s="59"/>
      <c r="R25" s="59"/>
      <c r="S25" s="59"/>
    </row>
    <row r="26" customFormat="false" ht="15" hidden="false" customHeight="true" outlineLevel="0" collapsed="false">
      <c r="A26" s="67" t="s">
        <v>102</v>
      </c>
      <c r="B26" s="75" t="n">
        <v>0.95</v>
      </c>
      <c r="C26" s="68"/>
      <c r="D26" s="73" t="n">
        <v>0.95</v>
      </c>
      <c r="E26" s="51"/>
      <c r="F26" s="51"/>
      <c r="G26" s="51"/>
      <c r="H26" s="51"/>
      <c r="I26" s="51"/>
      <c r="J26" s="51"/>
      <c r="K26" s="51"/>
      <c r="L26" s="51"/>
      <c r="M26" s="51"/>
      <c r="N26" s="51"/>
      <c r="O26" s="51"/>
      <c r="P26" s="51"/>
      <c r="Q26" s="51"/>
      <c r="R26" s="51"/>
      <c r="S26" s="51"/>
    </row>
    <row r="27" customFormat="false" ht="15" hidden="false" customHeight="true" outlineLevel="0" collapsed="false">
      <c r="A27" s="67" t="s">
        <v>103</v>
      </c>
      <c r="B27" s="75" t="n">
        <v>0.92</v>
      </c>
      <c r="C27" s="68"/>
      <c r="D27" s="73" t="n">
        <v>0.92</v>
      </c>
      <c r="E27" s="51"/>
      <c r="F27" s="51"/>
      <c r="G27" s="51"/>
      <c r="H27" s="51"/>
      <c r="I27" s="51"/>
      <c r="J27" s="51"/>
      <c r="K27" s="51"/>
      <c r="L27" s="51"/>
      <c r="M27" s="51"/>
      <c r="N27" s="51"/>
      <c r="O27" s="51"/>
      <c r="P27" s="51"/>
      <c r="Q27" s="51"/>
      <c r="R27" s="51"/>
      <c r="S27" s="51"/>
    </row>
    <row r="28" customFormat="false" ht="15" hidden="false" customHeight="true" outlineLevel="0" collapsed="false">
      <c r="A28" s="67" t="s">
        <v>104</v>
      </c>
      <c r="B28" s="68" t="n">
        <v>2.7</v>
      </c>
      <c r="C28" s="68"/>
      <c r="D28" s="77" t="n">
        <v>2.7</v>
      </c>
      <c r="E28" s="51"/>
      <c r="F28" s="51"/>
      <c r="G28" s="51"/>
      <c r="H28" s="51"/>
      <c r="I28" s="51"/>
      <c r="J28" s="51"/>
      <c r="K28" s="51"/>
      <c r="L28" s="51"/>
      <c r="M28" s="51"/>
      <c r="N28" s="51"/>
      <c r="O28" s="51"/>
      <c r="P28" s="51"/>
      <c r="Q28" s="51"/>
      <c r="R28" s="51"/>
      <c r="S28" s="51"/>
    </row>
    <row r="29" customFormat="false" ht="15" hidden="false" customHeight="true" outlineLevel="0" collapsed="false">
      <c r="A29" s="67" t="s">
        <v>105</v>
      </c>
      <c r="B29" s="68" t="n">
        <v>2.1</v>
      </c>
      <c r="C29" s="68"/>
      <c r="D29" s="77" t="n">
        <v>2.1</v>
      </c>
      <c r="E29" s="51"/>
      <c r="F29" s="51"/>
      <c r="G29" s="51"/>
      <c r="H29" s="51"/>
      <c r="I29" s="51"/>
      <c r="J29" s="51"/>
      <c r="K29" s="51"/>
      <c r="L29" s="51"/>
      <c r="M29" s="51"/>
      <c r="N29" s="51"/>
      <c r="O29" s="51"/>
      <c r="P29" s="51"/>
      <c r="Q29" s="51"/>
      <c r="R29" s="51"/>
      <c r="S29" s="51"/>
    </row>
    <row r="30" customFormat="false" ht="15" hidden="false" customHeight="true" outlineLevel="0" collapsed="false">
      <c r="A30" s="67" t="s">
        <v>106</v>
      </c>
      <c r="B30" s="70" t="n">
        <v>6000</v>
      </c>
      <c r="C30" s="68"/>
      <c r="D30" s="74" t="n">
        <v>6000</v>
      </c>
      <c r="E30" s="51"/>
      <c r="F30" s="51"/>
      <c r="G30" s="51"/>
      <c r="H30" s="51"/>
      <c r="I30" s="51"/>
      <c r="J30" s="51"/>
      <c r="K30" s="51"/>
      <c r="L30" s="51"/>
      <c r="M30" s="51"/>
      <c r="N30" s="51"/>
      <c r="O30" s="51"/>
      <c r="P30" s="51"/>
      <c r="Q30" s="51"/>
      <c r="R30" s="51"/>
      <c r="S30" s="51"/>
    </row>
    <row r="31" customFormat="false" ht="15" hidden="false" customHeight="true" outlineLevel="0" collapsed="false">
      <c r="A31" s="67" t="s">
        <v>107</v>
      </c>
      <c r="B31" s="75" t="n">
        <v>0.7</v>
      </c>
      <c r="C31" s="68"/>
      <c r="D31" s="73" t="n">
        <v>0.7</v>
      </c>
      <c r="E31" s="51"/>
      <c r="F31" s="51"/>
      <c r="G31" s="51"/>
      <c r="H31" s="51"/>
      <c r="I31" s="51"/>
      <c r="J31" s="51"/>
      <c r="K31" s="51"/>
      <c r="L31" s="51"/>
      <c r="M31" s="51"/>
      <c r="N31" s="51"/>
      <c r="O31" s="51"/>
      <c r="P31" s="51"/>
      <c r="Q31" s="51"/>
      <c r="R31" s="51"/>
      <c r="S31" s="51"/>
    </row>
    <row r="32" customFormat="false" ht="15" hidden="false" customHeight="true" outlineLevel="0" collapsed="false">
      <c r="A32" s="67" t="s">
        <v>108</v>
      </c>
      <c r="B32" s="75" t="n">
        <v>0.75</v>
      </c>
      <c r="C32" s="68"/>
      <c r="D32" s="73" t="n">
        <v>0.75</v>
      </c>
      <c r="E32" s="51"/>
      <c r="F32" s="51"/>
      <c r="G32" s="51"/>
      <c r="H32" s="51"/>
      <c r="I32" s="51"/>
      <c r="J32" s="51"/>
      <c r="K32" s="51"/>
      <c r="L32" s="51"/>
      <c r="M32" s="51"/>
      <c r="N32" s="51"/>
      <c r="O32" s="51"/>
      <c r="P32" s="51"/>
      <c r="Q32" s="51"/>
      <c r="R32" s="51"/>
      <c r="S32" s="51"/>
    </row>
    <row r="33" customFormat="false" ht="15" hidden="false" customHeight="true" outlineLevel="0" collapsed="false">
      <c r="A33" s="67" t="s">
        <v>109</v>
      </c>
      <c r="B33" s="75" t="n">
        <v>0.04</v>
      </c>
      <c r="C33" s="68"/>
      <c r="D33" s="73" t="n">
        <v>0.04</v>
      </c>
      <c r="E33" s="51"/>
      <c r="F33" s="51"/>
      <c r="G33" s="51"/>
      <c r="H33" s="51"/>
      <c r="I33" s="51"/>
      <c r="J33" s="51"/>
      <c r="K33" s="51"/>
      <c r="L33" s="51"/>
      <c r="M33" s="51"/>
      <c r="N33" s="51"/>
      <c r="O33" s="51"/>
      <c r="P33" s="51"/>
      <c r="Q33" s="51"/>
      <c r="R33" s="51"/>
      <c r="S33" s="51"/>
    </row>
    <row r="34" customFormat="false" ht="15" hidden="false" customHeight="true" outlineLevel="0" collapsed="false">
      <c r="A34" s="67" t="s">
        <v>110</v>
      </c>
      <c r="B34" s="68" t="n">
        <v>1</v>
      </c>
      <c r="C34" s="68"/>
      <c r="D34" s="76" t="n">
        <v>1</v>
      </c>
      <c r="E34" s="51"/>
      <c r="F34" s="51"/>
      <c r="G34" s="51"/>
      <c r="H34" s="51"/>
      <c r="I34" s="51"/>
      <c r="J34" s="51"/>
      <c r="K34" s="51"/>
      <c r="L34" s="51"/>
      <c r="M34" s="51"/>
      <c r="N34" s="51"/>
      <c r="O34" s="51"/>
      <c r="P34" s="51"/>
      <c r="Q34" s="51"/>
      <c r="R34" s="51"/>
      <c r="S34" s="51"/>
    </row>
    <row r="35" customFormat="false" ht="12.75" hidden="false" customHeight="true" outlineLevel="0" collapsed="false">
      <c r="A35" s="51"/>
      <c r="B35" s="51"/>
      <c r="C35" s="51"/>
      <c r="D35" s="51"/>
      <c r="E35" s="51"/>
      <c r="F35" s="51"/>
      <c r="G35" s="51"/>
      <c r="H35" s="51"/>
      <c r="I35" s="51"/>
      <c r="J35" s="51"/>
      <c r="K35" s="51"/>
      <c r="L35" s="51"/>
      <c r="M35" s="51"/>
      <c r="N35" s="51"/>
      <c r="O35" s="51"/>
      <c r="P35" s="51"/>
      <c r="Q35" s="51"/>
      <c r="R35" s="51"/>
      <c r="S35" s="51"/>
    </row>
    <row r="36" customFormat="false" ht="19.5" hidden="false" customHeight="true" outlineLevel="0" collapsed="false">
      <c r="A36" s="57" t="s">
        <v>111</v>
      </c>
      <c r="B36" s="57"/>
      <c r="C36" s="57"/>
      <c r="D36" s="57"/>
      <c r="E36" s="58"/>
      <c r="F36" s="58"/>
      <c r="G36" s="58"/>
      <c r="H36" s="58"/>
      <c r="I36" s="59"/>
      <c r="J36" s="59"/>
      <c r="K36" s="59"/>
      <c r="L36" s="59"/>
      <c r="M36" s="59"/>
      <c r="N36" s="59"/>
      <c r="O36" s="59"/>
      <c r="P36" s="59"/>
      <c r="Q36" s="59"/>
      <c r="R36" s="59"/>
      <c r="S36" s="59"/>
    </row>
    <row r="37" customFormat="false" ht="15" hidden="false" customHeight="true" outlineLevel="0" collapsed="false">
      <c r="A37" s="78" t="s">
        <v>112</v>
      </c>
      <c r="B37" s="79" t="s">
        <v>113</v>
      </c>
      <c r="C37" s="79"/>
      <c r="D37" s="80" t="s">
        <v>114</v>
      </c>
      <c r="E37" s="79" t="s">
        <v>115</v>
      </c>
      <c r="F37" s="79" t="s">
        <v>116</v>
      </c>
      <c r="G37" s="79" t="s">
        <v>117</v>
      </c>
      <c r="H37" s="79" t="s">
        <v>118</v>
      </c>
      <c r="I37" s="79" t="s">
        <v>119</v>
      </c>
      <c r="J37" s="79" t="s">
        <v>120</v>
      </c>
      <c r="K37" s="79" t="s">
        <v>121</v>
      </c>
      <c r="L37" s="79" t="s">
        <v>122</v>
      </c>
      <c r="M37" s="79" t="s">
        <v>123</v>
      </c>
      <c r="N37" s="79" t="s">
        <v>124</v>
      </c>
      <c r="O37" s="79" t="s">
        <v>125</v>
      </c>
      <c r="P37" s="79" t="s">
        <v>126</v>
      </c>
      <c r="Q37" s="79" t="s">
        <v>127</v>
      </c>
      <c r="R37" s="51"/>
      <c r="S37" s="51"/>
    </row>
    <row r="38" customFormat="false" ht="15" hidden="false" customHeight="true" outlineLevel="0" collapsed="false">
      <c r="A38" s="67" t="s">
        <v>128</v>
      </c>
      <c r="B38" s="81" t="n">
        <v>0</v>
      </c>
      <c r="C38" s="81" t="n">
        <v>0.005</v>
      </c>
      <c r="D38" s="73" t="n">
        <v>0.015</v>
      </c>
      <c r="E38" s="81" t="n">
        <v>0</v>
      </c>
      <c r="F38" s="81" t="n">
        <v>0</v>
      </c>
      <c r="G38" s="81" t="n">
        <v>0</v>
      </c>
      <c r="H38" s="82" t="n">
        <f aca="false">SUM(B38:G38)</f>
        <v>0.02</v>
      </c>
      <c r="I38" s="83" t="n">
        <f aca="false">MAX(0,1-H38)</f>
        <v>0.98</v>
      </c>
      <c r="J38" s="81" t="n">
        <v>0.015</v>
      </c>
      <c r="K38" s="81" t="n">
        <v>0.005</v>
      </c>
      <c r="L38" s="81" t="n">
        <v>0.015</v>
      </c>
      <c r="M38" s="81" t="n">
        <v>0</v>
      </c>
      <c r="N38" s="81" t="n">
        <v>0</v>
      </c>
      <c r="O38" s="81" t="n">
        <v>0</v>
      </c>
      <c r="P38" s="82" t="n">
        <f aca="false">SUM(J38:O38)</f>
        <v>0.035</v>
      </c>
      <c r="Q38" s="83" t="n">
        <f aca="false">MAX(0,1-P38)</f>
        <v>0.965</v>
      </c>
      <c r="R38" s="51"/>
      <c r="S38" s="51"/>
    </row>
    <row r="39" customFormat="false" ht="15" hidden="false" customHeight="true" outlineLevel="0" collapsed="false">
      <c r="A39" s="67" t="s">
        <v>129</v>
      </c>
      <c r="B39" s="81" t="n">
        <v>0</v>
      </c>
      <c r="C39" s="81" t="n">
        <v>0</v>
      </c>
      <c r="D39" s="73" t="n">
        <v>0</v>
      </c>
      <c r="E39" s="81" t="n">
        <v>0</v>
      </c>
      <c r="F39" s="81" t="n">
        <v>0</v>
      </c>
      <c r="G39" s="81" t="n">
        <v>0.01</v>
      </c>
      <c r="H39" s="82" t="n">
        <f aca="false">SUM(B39:G39)</f>
        <v>0.01</v>
      </c>
      <c r="I39" s="83" t="n">
        <f aca="false">MAX(0,1-H39)</f>
        <v>0.99</v>
      </c>
      <c r="J39" s="81" t="n">
        <v>0</v>
      </c>
      <c r="K39" s="81" t="n">
        <v>0</v>
      </c>
      <c r="L39" s="81" t="n">
        <v>0</v>
      </c>
      <c r="M39" s="81" t="n">
        <v>0</v>
      </c>
      <c r="N39" s="81" t="n">
        <v>0</v>
      </c>
      <c r="O39" s="81" t="n">
        <v>0.01</v>
      </c>
      <c r="P39" s="82" t="n">
        <f aca="false">SUM(J39:O39)</f>
        <v>0.01</v>
      </c>
      <c r="Q39" s="83" t="n">
        <f aca="false">MAX(0,1-P39)</f>
        <v>0.99</v>
      </c>
      <c r="R39" s="51"/>
      <c r="S39" s="51"/>
    </row>
    <row r="40" customFormat="false" ht="15" hidden="false" customHeight="true" outlineLevel="0" collapsed="false">
      <c r="A40" s="67" t="s">
        <v>130</v>
      </c>
      <c r="B40" s="81" t="n">
        <v>0</v>
      </c>
      <c r="C40" s="81" t="n">
        <v>0</v>
      </c>
      <c r="D40" s="73" t="n">
        <v>0</v>
      </c>
      <c r="E40" s="81" t="n">
        <v>0.05</v>
      </c>
      <c r="F40" s="81" t="n">
        <v>0.02</v>
      </c>
      <c r="G40" s="81" t="n">
        <v>0.01</v>
      </c>
      <c r="H40" s="82" t="n">
        <f aca="false">SUM(B40:G40)</f>
        <v>0.08</v>
      </c>
      <c r="I40" s="83" t="n">
        <f aca="false">MAX(0,1-H40)</f>
        <v>0.92</v>
      </c>
      <c r="J40" s="81" t="n">
        <v>0</v>
      </c>
      <c r="K40" s="81" t="n">
        <v>0</v>
      </c>
      <c r="L40" s="81" t="n">
        <v>0</v>
      </c>
      <c r="M40" s="81" t="n">
        <v>0.05</v>
      </c>
      <c r="N40" s="81" t="n">
        <v>0.02</v>
      </c>
      <c r="O40" s="81" t="n">
        <v>0.01</v>
      </c>
      <c r="P40" s="82" t="n">
        <f aca="false">SUM(J40:O40)</f>
        <v>0.08</v>
      </c>
      <c r="Q40" s="83" t="n">
        <f aca="false">MAX(0,1-P40)</f>
        <v>0.92</v>
      </c>
      <c r="R40" s="51"/>
      <c r="S40" s="51"/>
    </row>
    <row r="41" customFormat="false" ht="15" hidden="false" customHeight="true" outlineLevel="0" collapsed="false">
      <c r="A41" s="67" t="s">
        <v>131</v>
      </c>
      <c r="B41" s="81" t="n">
        <v>0</v>
      </c>
      <c r="C41" s="81" t="n">
        <v>0</v>
      </c>
      <c r="D41" s="73" t="n">
        <v>0</v>
      </c>
      <c r="E41" s="81" t="n">
        <v>0</v>
      </c>
      <c r="F41" s="81" t="n">
        <v>0</v>
      </c>
      <c r="G41" s="81" t="n">
        <v>1</v>
      </c>
      <c r="H41" s="82" t="n">
        <f aca="false">SUM(B41:G41)</f>
        <v>1</v>
      </c>
      <c r="I41" s="83" t="n">
        <f aca="false">MAX(0,1-H41)</f>
        <v>0</v>
      </c>
      <c r="J41" s="81" t="n">
        <v>0</v>
      </c>
      <c r="K41" s="81" t="n">
        <v>0</v>
      </c>
      <c r="L41" s="81" t="n">
        <v>0</v>
      </c>
      <c r="M41" s="81" t="n">
        <v>0</v>
      </c>
      <c r="N41" s="81" t="n">
        <v>0</v>
      </c>
      <c r="O41" s="81" t="n">
        <v>1</v>
      </c>
      <c r="P41" s="82" t="n">
        <f aca="false">SUM(J41:O41)</f>
        <v>1</v>
      </c>
      <c r="Q41" s="83" t="n">
        <f aca="false">MAX(0,1-P41)</f>
        <v>0</v>
      </c>
      <c r="R41" s="51"/>
      <c r="S41" s="51"/>
    </row>
    <row r="42" customFormat="false" ht="15" hidden="false" customHeight="true" outlineLevel="0" collapsed="false">
      <c r="A42" s="67" t="s">
        <v>132</v>
      </c>
      <c r="B42" s="81" t="n">
        <v>0</v>
      </c>
      <c r="C42" s="81" t="n">
        <v>0</v>
      </c>
      <c r="D42" s="73" t="n">
        <v>0</v>
      </c>
      <c r="E42" s="81" t="n">
        <v>0</v>
      </c>
      <c r="F42" s="81" t="n">
        <v>0</v>
      </c>
      <c r="G42" s="81" t="n">
        <v>0</v>
      </c>
      <c r="H42" s="82" t="n">
        <f aca="false">SUM(B42:G42)</f>
        <v>0</v>
      </c>
      <c r="I42" s="83" t="n">
        <f aca="false">MAX(0,1-H42)</f>
        <v>1</v>
      </c>
      <c r="J42" s="81" t="n">
        <v>0</v>
      </c>
      <c r="K42" s="81" t="n">
        <v>0</v>
      </c>
      <c r="L42" s="81" t="n">
        <v>0</v>
      </c>
      <c r="M42" s="81" t="n">
        <v>0</v>
      </c>
      <c r="N42" s="81" t="n">
        <v>0</v>
      </c>
      <c r="O42" s="81" t="n">
        <v>0</v>
      </c>
      <c r="P42" s="82" t="n">
        <f aca="false">SUM(J42:O42)</f>
        <v>0</v>
      </c>
      <c r="Q42" s="83" t="n">
        <f aca="false">MAX(0,1-P42)</f>
        <v>1</v>
      </c>
      <c r="R42" s="51"/>
      <c r="S42" s="51"/>
    </row>
    <row r="43" customFormat="false" ht="12.75" hidden="false" customHeight="true" outlineLevel="0" collapsed="false">
      <c r="A43" s="51"/>
      <c r="B43" s="51"/>
      <c r="C43" s="51"/>
      <c r="D43" s="51"/>
      <c r="E43" s="51"/>
      <c r="F43" s="51"/>
      <c r="G43" s="51"/>
      <c r="H43" s="51"/>
      <c r="I43" s="51"/>
      <c r="J43" s="51"/>
      <c r="K43" s="51"/>
      <c r="L43" s="51"/>
      <c r="M43" s="51"/>
      <c r="N43" s="51"/>
      <c r="O43" s="51"/>
      <c r="P43" s="51"/>
      <c r="Q43" s="51"/>
      <c r="R43" s="51"/>
      <c r="S43" s="51"/>
    </row>
    <row r="44" customFormat="false" ht="15" hidden="false" customHeight="true" outlineLevel="0" collapsed="false">
      <c r="A44" s="67" t="s">
        <v>133</v>
      </c>
      <c r="B44" s="51"/>
      <c r="C44" s="51"/>
      <c r="D44" s="84"/>
      <c r="E44" s="51"/>
      <c r="F44" s="51"/>
      <c r="G44" s="51"/>
      <c r="H44" s="51"/>
      <c r="I44" s="51"/>
      <c r="J44" s="51"/>
      <c r="K44" s="51"/>
      <c r="L44" s="51"/>
      <c r="M44" s="51"/>
      <c r="N44" s="51"/>
      <c r="O44" s="51"/>
      <c r="P44" s="51"/>
      <c r="Q44" s="51"/>
      <c r="R44" s="51"/>
      <c r="S44" s="51"/>
    </row>
    <row r="45" customFormat="false" ht="12.75" hidden="false" customHeight="true" outlineLevel="0" collapsed="false">
      <c r="A45" s="51"/>
      <c r="B45" s="51"/>
      <c r="C45" s="51"/>
      <c r="D45" s="51"/>
      <c r="E45" s="51"/>
      <c r="F45" s="51"/>
      <c r="G45" s="51"/>
      <c r="H45" s="51"/>
      <c r="I45" s="51"/>
      <c r="J45" s="51"/>
      <c r="K45" s="51"/>
      <c r="L45" s="51"/>
      <c r="M45" s="51"/>
      <c r="N45" s="51"/>
      <c r="O45" s="51"/>
      <c r="P45" s="51"/>
      <c r="Q45" s="51"/>
      <c r="R45" s="51"/>
      <c r="S45" s="51"/>
    </row>
    <row r="46" customFormat="false" ht="19.5" hidden="false" customHeight="true" outlineLevel="0" collapsed="false">
      <c r="A46" s="57" t="s">
        <v>134</v>
      </c>
      <c r="B46" s="57"/>
      <c r="C46" s="57"/>
      <c r="D46" s="57"/>
      <c r="E46" s="58"/>
      <c r="F46" s="58"/>
      <c r="G46" s="58"/>
      <c r="H46" s="58"/>
      <c r="I46" s="59"/>
      <c r="J46" s="59"/>
      <c r="K46" s="59"/>
      <c r="L46" s="59"/>
      <c r="M46" s="59"/>
      <c r="N46" s="59"/>
      <c r="O46" s="59"/>
      <c r="P46" s="59"/>
      <c r="Q46" s="59"/>
      <c r="R46" s="59"/>
      <c r="S46" s="59"/>
    </row>
    <row r="47" customFormat="false" ht="24" hidden="false" customHeight="true" outlineLevel="0" collapsed="false">
      <c r="A47" s="67" t="s">
        <v>135</v>
      </c>
      <c r="B47" s="75" t="n">
        <v>0.3</v>
      </c>
      <c r="C47" s="68"/>
      <c r="D47" s="80" t="n">
        <v>0.3</v>
      </c>
      <c r="E47" s="51"/>
      <c r="F47" s="51"/>
      <c r="G47" s="51"/>
      <c r="H47" s="51"/>
      <c r="I47" s="51"/>
      <c r="J47" s="51"/>
      <c r="K47" s="51"/>
      <c r="L47" s="51"/>
      <c r="M47" s="51"/>
      <c r="N47" s="51"/>
      <c r="O47" s="51"/>
      <c r="P47" s="51"/>
      <c r="Q47" s="51"/>
      <c r="R47" s="51"/>
      <c r="S47" s="51"/>
    </row>
    <row r="48" customFormat="false" ht="24" hidden="false" customHeight="true" outlineLevel="0" collapsed="false">
      <c r="A48" s="67" t="s">
        <v>136</v>
      </c>
      <c r="B48" s="75" t="n">
        <v>0</v>
      </c>
      <c r="C48" s="68"/>
      <c r="D48" s="80" t="n">
        <v>0</v>
      </c>
      <c r="E48" s="51"/>
      <c r="F48" s="51"/>
      <c r="G48" s="51"/>
      <c r="H48" s="51"/>
      <c r="I48" s="51"/>
      <c r="J48" s="51"/>
      <c r="K48" s="51"/>
      <c r="L48" s="51"/>
      <c r="M48" s="51"/>
      <c r="N48" s="51"/>
      <c r="O48" s="51"/>
      <c r="P48" s="51"/>
      <c r="Q48" s="51"/>
      <c r="R48" s="51"/>
      <c r="S48" s="51"/>
    </row>
    <row r="49" customFormat="false" ht="24" hidden="false" customHeight="true" outlineLevel="0" collapsed="false">
      <c r="A49" s="67" t="s">
        <v>137</v>
      </c>
      <c r="B49" s="68" t="s">
        <v>138</v>
      </c>
      <c r="C49" s="68"/>
      <c r="D49" s="76" t="n">
        <v>10</v>
      </c>
      <c r="E49" s="51"/>
      <c r="F49" s="51"/>
      <c r="G49" s="51"/>
      <c r="H49" s="51"/>
      <c r="I49" s="51"/>
      <c r="J49" s="51"/>
      <c r="K49" s="51"/>
      <c r="L49" s="51"/>
      <c r="M49" s="51"/>
      <c r="N49" s="51"/>
      <c r="O49" s="51"/>
      <c r="P49" s="51"/>
      <c r="Q49" s="51"/>
      <c r="R49" s="51"/>
      <c r="S49" s="51"/>
    </row>
    <row r="50" customFormat="false" ht="24" hidden="false" customHeight="true" outlineLevel="0" collapsed="false">
      <c r="A50" s="67" t="s">
        <v>139</v>
      </c>
      <c r="B50" s="85" t="n">
        <v>7165</v>
      </c>
      <c r="C50" s="68"/>
      <c r="D50" s="74" t="n">
        <v>7165</v>
      </c>
      <c r="E50" s="51"/>
      <c r="F50" s="51"/>
      <c r="G50" s="51"/>
      <c r="H50" s="51"/>
      <c r="I50" s="51"/>
      <c r="J50" s="51"/>
      <c r="K50" s="51"/>
      <c r="L50" s="51"/>
      <c r="M50" s="51"/>
      <c r="N50" s="51"/>
      <c r="O50" s="51"/>
      <c r="P50" s="51"/>
      <c r="Q50" s="51"/>
      <c r="R50" s="51"/>
      <c r="S50" s="51"/>
    </row>
    <row r="51" customFormat="false" ht="24" hidden="false" customHeight="true" outlineLevel="0" collapsed="false">
      <c r="A51" s="67"/>
      <c r="B51" s="68"/>
      <c r="C51" s="67"/>
      <c r="D51" s="86"/>
      <c r="E51" s="51"/>
      <c r="F51" s="51"/>
      <c r="G51" s="51"/>
      <c r="H51" s="51"/>
      <c r="I51" s="51"/>
      <c r="J51" s="51"/>
      <c r="K51" s="51"/>
      <c r="L51" s="51"/>
      <c r="M51" s="51"/>
      <c r="N51" s="51"/>
      <c r="O51" s="51"/>
      <c r="P51" s="51"/>
      <c r="Q51" s="51"/>
      <c r="R51" s="51"/>
      <c r="S51" s="51"/>
    </row>
    <row r="52" customFormat="false" ht="21.75" hidden="false" customHeight="true" outlineLevel="0" collapsed="false">
      <c r="A52" s="67"/>
      <c r="B52" s="68"/>
      <c r="C52" s="67"/>
      <c r="D52" s="87"/>
      <c r="E52" s="51"/>
      <c r="F52" s="51"/>
      <c r="G52" s="51"/>
      <c r="H52" s="51"/>
      <c r="I52" s="51"/>
      <c r="J52" s="51"/>
      <c r="K52" s="51"/>
      <c r="L52" s="51"/>
      <c r="M52" s="51"/>
      <c r="N52" s="51"/>
      <c r="O52" s="51"/>
      <c r="P52" s="51"/>
      <c r="Q52" s="51"/>
      <c r="R52" s="51"/>
      <c r="S52" s="51"/>
    </row>
    <row r="53" customFormat="false" ht="19.5" hidden="false" customHeight="true" outlineLevel="0" collapsed="false">
      <c r="A53" s="88" t="s">
        <v>140</v>
      </c>
      <c r="B53" s="88"/>
      <c r="C53" s="88"/>
      <c r="D53" s="88"/>
      <c r="E53" s="88"/>
      <c r="F53" s="88"/>
      <c r="G53" s="88"/>
      <c r="H53" s="88"/>
      <c r="I53" s="88"/>
      <c r="J53" s="88"/>
      <c r="K53" s="88"/>
      <c r="L53" s="88"/>
      <c r="M53" s="88"/>
      <c r="N53" s="88"/>
      <c r="O53" s="59"/>
      <c r="P53" s="59"/>
      <c r="Q53" s="59"/>
      <c r="R53" s="59"/>
      <c r="S53" s="59"/>
    </row>
    <row r="54" s="90" customFormat="true" ht="45" hidden="false" customHeight="true" outlineLevel="0" collapsed="false">
      <c r="A54" s="53" t="s">
        <v>24</v>
      </c>
      <c r="B54" s="53" t="s">
        <v>25</v>
      </c>
      <c r="C54" s="54"/>
      <c r="D54" s="53" t="s">
        <v>141</v>
      </c>
      <c r="E54" s="53" t="s">
        <v>26</v>
      </c>
      <c r="F54" s="53" t="s">
        <v>142</v>
      </c>
      <c r="G54" s="53" t="s">
        <v>143</v>
      </c>
      <c r="H54" s="53" t="s">
        <v>144</v>
      </c>
      <c r="I54" s="53" t="s">
        <v>145</v>
      </c>
      <c r="J54" s="53" t="s">
        <v>29</v>
      </c>
      <c r="K54" s="53" t="s">
        <v>146</v>
      </c>
      <c r="L54" s="54"/>
      <c r="M54" s="54"/>
      <c r="N54" s="53" t="s">
        <v>147</v>
      </c>
      <c r="O54" s="89"/>
      <c r="P54" s="89"/>
      <c r="Q54" s="89"/>
      <c r="R54" s="89"/>
      <c r="S54" s="89"/>
    </row>
    <row r="55" customFormat="false" ht="15.75" hidden="false" customHeight="true" outlineLevel="0" collapsed="false">
      <c r="A55" s="91" t="str">
        <f aca="false">'Typical Inputs'!A13</f>
        <v>Big-Box / Anchor Retail</v>
      </c>
      <c r="B55" s="91" t="str">
        <f aca="false">'Typical Inputs'!B13</f>
        <v>Yes</v>
      </c>
      <c r="C55" s="91"/>
      <c r="D55" s="91" t="str">
        <f aca="false">IFERROR(VLOOKUP(A55,'02_Type_Assumptions'!$A$4:$B$25,2,FALSE()),"")</f>
        <v>acres</v>
      </c>
      <c r="E55" s="92" t="n">
        <f aca="false">'Typical Inputs'!C13</f>
        <v>10</v>
      </c>
      <c r="F55" s="93"/>
      <c r="G55" s="91" t="n">
        <v>1</v>
      </c>
      <c r="H55" s="91" t="n">
        <v>4</v>
      </c>
      <c r="I55" s="94" t="n">
        <v>1</v>
      </c>
      <c r="J55" s="92" t="n">
        <f aca="false">Scenarios!I3</f>
        <v>10</v>
      </c>
      <c r="K55" s="95" t="str">
        <f aca="false">IF(A55="","",IF(IFERROR(VLOOKUP(A55,'02_Type_Assumptions'!$A$4:$H$25,7,FALSE()),0)+IFERROR(VLOOKUP(A55,'02_Type_Assumptions'!$A$4:$H$25,8,FALSE()),0)&gt;0,"Yes - retail sales",IF(IFERROR(VLOOKUP(A55,'02_Type_Assumptions'!$A$4:$AA$25,27,FALSE()),"")="Residential","Yes - online use-tax","No")))</f>
        <v>Yes - retail sales</v>
      </c>
      <c r="L55" s="91"/>
      <c r="M55" s="91"/>
      <c r="N55" s="92" t="n">
        <f aca="false">'Typical Inputs'!D13</f>
        <v>0</v>
      </c>
      <c r="O55" s="96"/>
      <c r="P55" s="51"/>
      <c r="Q55" s="51"/>
      <c r="R55" s="51"/>
      <c r="S55" s="51"/>
    </row>
    <row r="56" customFormat="false" ht="15.75" hidden="false" customHeight="true" outlineLevel="0" collapsed="false">
      <c r="A56" s="97" t="str">
        <f aca="false">'Typical Inputs'!A14</f>
        <v>Retail Center / Strip</v>
      </c>
      <c r="B56" s="97" t="str">
        <f aca="false">'Typical Inputs'!B14</f>
        <v>No</v>
      </c>
      <c r="C56" s="97"/>
      <c r="D56" s="97" t="str">
        <f aca="false">IFERROR(VLOOKUP(A56,'02_Type_Assumptions'!$A$4:$B$25,2,FALSE()),"")</f>
        <v>acres</v>
      </c>
      <c r="E56" s="98" t="n">
        <f aca="false">'Typical Inputs'!C14</f>
        <v>10</v>
      </c>
      <c r="F56" s="97"/>
      <c r="G56" s="97" t="n">
        <v>1</v>
      </c>
      <c r="H56" s="97" t="n">
        <v>2</v>
      </c>
      <c r="I56" s="99" t="n">
        <v>1</v>
      </c>
      <c r="J56" s="98" t="n">
        <f aca="false">Scenarios!I4</f>
        <v>10</v>
      </c>
      <c r="K56" s="100" t="str">
        <f aca="false">IF(A56="","",IF(IFERROR(VLOOKUP(A56,'02_Type_Assumptions'!$A$4:$H$25,7,FALSE()),0)+IFERROR(VLOOKUP(A56,'02_Type_Assumptions'!$A$4:$H$25,8,FALSE()),0)&gt;0,"Yes - retail sales",IF(IFERROR(VLOOKUP(A56,'02_Type_Assumptions'!$A$4:$AA$25,27,FALSE()),"")="Residential","Yes - online use-tax","No")))</f>
        <v>Yes - retail sales</v>
      </c>
      <c r="L56" s="97"/>
      <c r="M56" s="97"/>
      <c r="N56" s="97" t="n">
        <f aca="false">'Typical Inputs'!D14</f>
        <v>0</v>
      </c>
      <c r="O56" s="96"/>
      <c r="P56" s="51"/>
      <c r="Q56" s="51"/>
      <c r="R56" s="51"/>
      <c r="S56" s="51"/>
    </row>
    <row r="57" customFormat="false" ht="15.75" hidden="false" customHeight="true" outlineLevel="0" collapsed="false">
      <c r="A57" s="91" t="str">
        <f aca="false">'Typical Inputs'!A15</f>
        <v>Office / Business Park</v>
      </c>
      <c r="B57" s="91" t="str">
        <f aca="false">'Typical Inputs'!B15</f>
        <v>No</v>
      </c>
      <c r="C57" s="91"/>
      <c r="D57" s="91" t="str">
        <f aca="false">IFERROR(VLOOKUP(A57,'02_Type_Assumptions'!$A$4:$B$25,2,FALSE()),"")</f>
        <v>acres</v>
      </c>
      <c r="E57" s="92" t="n">
        <f aca="false">'Typical Inputs'!C15</f>
        <v>10</v>
      </c>
      <c r="F57" s="91"/>
      <c r="G57" s="91" t="n">
        <v>1</v>
      </c>
      <c r="H57" s="91" t="n">
        <v>3</v>
      </c>
      <c r="I57" s="94" t="n">
        <v>1</v>
      </c>
      <c r="J57" s="92" t="n">
        <f aca="false">Scenarios!I5</f>
        <v>10</v>
      </c>
      <c r="K57" s="95" t="str">
        <f aca="false">IF(A57="","",IF(IFERROR(VLOOKUP(A57,'02_Type_Assumptions'!$A$4:$H$25,7,FALSE()),0)+IFERROR(VLOOKUP(A57,'02_Type_Assumptions'!$A$4:$H$25,8,FALSE()),0)&gt;0,"Yes - retail sales",IF(IFERROR(VLOOKUP(A57,'02_Type_Assumptions'!$A$4:$AA$25,27,FALSE()),"")="Residential","Yes - online use-tax","No")))</f>
        <v>Yes - retail sales</v>
      </c>
      <c r="L57" s="91"/>
      <c r="M57" s="91"/>
      <c r="N57" s="91" t="n">
        <f aca="false">'Typical Inputs'!D15</f>
        <v>0</v>
      </c>
      <c r="O57" s="96"/>
      <c r="P57" s="51"/>
      <c r="Q57" s="51"/>
      <c r="R57" s="51"/>
      <c r="S57" s="51"/>
    </row>
    <row r="58" customFormat="false" ht="15.75" hidden="false" customHeight="true" outlineLevel="0" collapsed="false">
      <c r="A58" s="97" t="str">
        <f aca="false">'Typical Inputs'!A16</f>
        <v>Light Industrial / Flex</v>
      </c>
      <c r="B58" s="97" t="str">
        <f aca="false">'Typical Inputs'!B16</f>
        <v>No</v>
      </c>
      <c r="C58" s="97"/>
      <c r="D58" s="97" t="str">
        <f aca="false">IFERROR(VLOOKUP(A58,'02_Type_Assumptions'!$A$4:$B$25,2,FALSE()),"")</f>
        <v>acres</v>
      </c>
      <c r="E58" s="98" t="n">
        <f aca="false">'Typical Inputs'!C16</f>
        <v>15</v>
      </c>
      <c r="F58" s="97"/>
      <c r="G58" s="97" t="n">
        <v>1</v>
      </c>
      <c r="H58" s="97" t="n">
        <v>2</v>
      </c>
      <c r="I58" s="99" t="n">
        <v>1</v>
      </c>
      <c r="J58" s="98" t="n">
        <f aca="false">Scenarios!I6</f>
        <v>15</v>
      </c>
      <c r="K58" s="100" t="str">
        <f aca="false">IF(A58="","",IF(IFERROR(VLOOKUP(A58,'02_Type_Assumptions'!$A$4:$H$25,7,FALSE()),0)+IFERROR(VLOOKUP(A58,'02_Type_Assumptions'!$A$4:$H$25,8,FALSE()),0)&gt;0,"Yes - retail sales",IF(IFERROR(VLOOKUP(A58,'02_Type_Assumptions'!$A$4:$AA$25,27,FALSE()),"")="Residential","Yes - online use-tax","No")))</f>
        <v>Yes - retail sales</v>
      </c>
      <c r="L58" s="97"/>
      <c r="M58" s="97"/>
      <c r="N58" s="97" t="n">
        <f aca="false">'Typical Inputs'!D16</f>
        <v>0</v>
      </c>
      <c r="O58" s="96"/>
      <c r="P58" s="51"/>
      <c r="Q58" s="51"/>
      <c r="R58" s="51"/>
      <c r="S58" s="51"/>
    </row>
    <row r="59" customFormat="false" ht="15.75" hidden="false" customHeight="true" outlineLevel="0" collapsed="false">
      <c r="A59" s="91" t="str">
        <f aca="false">'Typical Inputs'!A17</f>
        <v>Mixed-Use Pad / Vertical</v>
      </c>
      <c r="B59" s="91" t="str">
        <f aca="false">'Typical Inputs'!B17</f>
        <v>No</v>
      </c>
      <c r="C59" s="91"/>
      <c r="D59" s="91" t="str">
        <f aca="false">IFERROR(VLOOKUP(A59,'02_Type_Assumptions'!$A$4:$B$25,2,FALSE()),"")</f>
        <v>acres</v>
      </c>
      <c r="E59" s="92" t="n">
        <f aca="false">'Typical Inputs'!C17</f>
        <v>10</v>
      </c>
      <c r="F59" s="91"/>
      <c r="G59" s="91" t="n">
        <v>1</v>
      </c>
      <c r="H59" s="91" t="n">
        <v>2</v>
      </c>
      <c r="I59" s="94" t="n">
        <v>1</v>
      </c>
      <c r="J59" s="92" t="n">
        <f aca="false">Scenarios!I7</f>
        <v>10</v>
      </c>
      <c r="K59" s="95" t="str">
        <f aca="false">IF(A59="","",IF(IFERROR(VLOOKUP(A59,'02_Type_Assumptions'!$A$4:$H$25,7,FALSE()),0)+IFERROR(VLOOKUP(A59,'02_Type_Assumptions'!$A$4:$H$25,8,FALSE()),0)&gt;0,"Yes - retail sales",IF(IFERROR(VLOOKUP(A59,'02_Type_Assumptions'!$A$4:$AA$25,27,FALSE()),"")="Residential","Yes - online use-tax","No")))</f>
        <v>Yes - retail sales</v>
      </c>
      <c r="L59" s="91"/>
      <c r="M59" s="91"/>
      <c r="N59" s="91" t="n">
        <f aca="false">'Typical Inputs'!D17</f>
        <v>0</v>
      </c>
      <c r="O59" s="96"/>
      <c r="P59" s="51"/>
      <c r="Q59" s="51"/>
      <c r="R59" s="51"/>
      <c r="S59" s="51"/>
    </row>
    <row r="60" customFormat="false" ht="15.75" hidden="false" customHeight="true" outlineLevel="0" collapsed="false">
      <c r="A60" s="97" t="str">
        <f aca="false">'Typical Inputs'!A18</f>
        <v>Gas / Convenience Store</v>
      </c>
      <c r="B60" s="97" t="str">
        <f aca="false">'Typical Inputs'!B18</f>
        <v>No</v>
      </c>
      <c r="C60" s="97"/>
      <c r="D60" s="97" t="str">
        <f aca="false">IFERROR(VLOOKUP(A60,'02_Type_Assumptions'!$A$4:$B$25,2,FALSE()),"")</f>
        <v>acres</v>
      </c>
      <c r="E60" s="98" t="n">
        <f aca="false">'Typical Inputs'!C18</f>
        <v>1.5</v>
      </c>
      <c r="F60" s="97"/>
      <c r="G60" s="97" t="n">
        <v>1</v>
      </c>
      <c r="H60" s="97" t="n">
        <v>2</v>
      </c>
      <c r="I60" s="99" t="n">
        <v>1</v>
      </c>
      <c r="J60" s="98" t="n">
        <f aca="false">Scenarios!I8</f>
        <v>1.5</v>
      </c>
      <c r="K60" s="100" t="str">
        <f aca="false">IF(A60="","",IF(IFERROR(VLOOKUP(A60,'02_Type_Assumptions'!$A$4:$H$25,7,FALSE()),0)+IFERROR(VLOOKUP(A60,'02_Type_Assumptions'!$A$4:$H$25,8,FALSE()),0)&gt;0,"Yes - retail sales",IF(IFERROR(VLOOKUP(A60,'02_Type_Assumptions'!$A$4:$AA$25,27,FALSE()),"")="Residential","Yes - online use-tax","No")))</f>
        <v>Yes - retail sales</v>
      </c>
      <c r="L60" s="97"/>
      <c r="M60" s="97"/>
      <c r="N60" s="97" t="n">
        <f aca="false">'Typical Inputs'!D18</f>
        <v>0</v>
      </c>
      <c r="O60" s="96"/>
      <c r="P60" s="51"/>
      <c r="Q60" s="51"/>
      <c r="R60" s="51"/>
      <c r="S60" s="51"/>
    </row>
    <row r="61" customFormat="false" ht="15.75" hidden="false" customHeight="true" outlineLevel="0" collapsed="false">
      <c r="A61" s="91" t="str">
        <f aca="false">'Typical Inputs'!A19</f>
        <v>Large Travel Center (C-store)</v>
      </c>
      <c r="B61" s="91" t="str">
        <f aca="false">'Typical Inputs'!B19</f>
        <v>No</v>
      </c>
      <c r="C61" s="91"/>
      <c r="D61" s="91" t="str">
        <f aca="false">IFERROR(VLOOKUP(A61,'02_Type_Assumptions'!$A$4:$B$25,2,FALSE()),"")</f>
        <v>acres</v>
      </c>
      <c r="E61" s="92" t="n">
        <f aca="false">'Typical Inputs'!C19</f>
        <v>15</v>
      </c>
      <c r="F61" s="91"/>
      <c r="G61" s="91" t="n">
        <v>1</v>
      </c>
      <c r="H61" s="91" t="n">
        <v>2</v>
      </c>
      <c r="I61" s="94" t="n">
        <v>1</v>
      </c>
      <c r="J61" s="92" t="n">
        <f aca="false">Scenarios!I9</f>
        <v>15</v>
      </c>
      <c r="K61" s="95" t="str">
        <f aca="false">IF(A61="","",IF(IFERROR(VLOOKUP(A61,'02_Type_Assumptions'!$A$4:$H$25,7,FALSE()),0)+IFERROR(VLOOKUP(A61,'02_Type_Assumptions'!$A$4:$H$25,8,FALSE()),0)&gt;0,"Yes - retail sales",IF(IFERROR(VLOOKUP(A61,'02_Type_Assumptions'!$A$4:$AA$25,27,FALSE()),"")="Residential","Yes - online use-tax","No")))</f>
        <v>Yes - retail sales</v>
      </c>
      <c r="L61" s="91"/>
      <c r="M61" s="91"/>
      <c r="N61" s="91" t="n">
        <f aca="false">'Typical Inputs'!D19</f>
        <v>0</v>
      </c>
      <c r="O61" s="96"/>
      <c r="P61" s="51"/>
      <c r="Q61" s="51"/>
      <c r="R61" s="51"/>
      <c r="S61" s="51"/>
    </row>
    <row r="62" customFormat="false" ht="15.75" hidden="false" customHeight="true" outlineLevel="0" collapsed="false">
      <c r="A62" s="97" t="str">
        <f aca="false">'Typical Inputs'!A20</f>
        <v>Fast Food / QSR</v>
      </c>
      <c r="B62" s="97" t="str">
        <f aca="false">'Typical Inputs'!B20</f>
        <v>No</v>
      </c>
      <c r="C62" s="97"/>
      <c r="D62" s="97" t="str">
        <f aca="false">IFERROR(VLOOKUP(A62,'02_Type_Assumptions'!$A$4:$B$25,2,FALSE()),"")</f>
        <v>acres</v>
      </c>
      <c r="E62" s="98" t="n">
        <f aca="false">'Typical Inputs'!C20</f>
        <v>1</v>
      </c>
      <c r="F62" s="97"/>
      <c r="G62" s="97" t="n">
        <v>1</v>
      </c>
      <c r="H62" s="97" t="n">
        <v>2</v>
      </c>
      <c r="I62" s="99" t="n">
        <v>1</v>
      </c>
      <c r="J62" s="98" t="n">
        <f aca="false">Scenarios!I10</f>
        <v>1</v>
      </c>
      <c r="K62" s="100" t="str">
        <f aca="false">IF(A62="","",IF(IFERROR(VLOOKUP(A62,'02_Type_Assumptions'!$A$4:$H$25,7,FALSE()),0)+IFERROR(VLOOKUP(A62,'02_Type_Assumptions'!$A$4:$H$25,8,FALSE()),0)&gt;0,"Yes - retail sales",IF(IFERROR(VLOOKUP(A62,'02_Type_Assumptions'!$A$4:$AA$25,27,FALSE()),"")="Residential","Yes - online use-tax","No")))</f>
        <v>Yes - retail sales</v>
      </c>
      <c r="L62" s="97"/>
      <c r="M62" s="97"/>
      <c r="N62" s="97" t="n">
        <f aca="false">'Typical Inputs'!D20</f>
        <v>0</v>
      </c>
      <c r="O62" s="96"/>
      <c r="P62" s="51"/>
      <c r="Q62" s="51"/>
      <c r="R62" s="51"/>
      <c r="S62" s="51"/>
    </row>
    <row r="63" customFormat="false" ht="15.75" hidden="false" customHeight="true" outlineLevel="0" collapsed="false">
      <c r="A63" s="91" t="str">
        <f aca="false">'Typical Inputs'!A21</f>
        <v>Restaurant (Full-Service)</v>
      </c>
      <c r="B63" s="91" t="str">
        <f aca="false">'Typical Inputs'!B21</f>
        <v>No</v>
      </c>
      <c r="C63" s="91"/>
      <c r="D63" s="91" t="str">
        <f aca="false">IFERROR(VLOOKUP(A63,'02_Type_Assumptions'!$A$4:$B$25,2,FALSE()),"")</f>
        <v>acres</v>
      </c>
      <c r="E63" s="92" t="n">
        <f aca="false">'Typical Inputs'!C21</f>
        <v>1.5</v>
      </c>
      <c r="F63" s="91"/>
      <c r="G63" s="91" t="n">
        <v>1</v>
      </c>
      <c r="H63" s="91" t="n">
        <v>2</v>
      </c>
      <c r="I63" s="94" t="n">
        <v>1</v>
      </c>
      <c r="J63" s="92" t="n">
        <f aca="false">Scenarios!I11</f>
        <v>1.5</v>
      </c>
      <c r="K63" s="95" t="str">
        <f aca="false">IF(A63="","",IF(IFERROR(VLOOKUP(A63,'02_Type_Assumptions'!$A$4:$H$25,7,FALSE()),0)+IFERROR(VLOOKUP(A63,'02_Type_Assumptions'!$A$4:$H$25,8,FALSE()),0)&gt;0,"Yes - retail sales",IF(IFERROR(VLOOKUP(A63,'02_Type_Assumptions'!$A$4:$AA$25,27,FALSE()),"")="Residential","Yes - online use-tax","No")))</f>
        <v>Yes - retail sales</v>
      </c>
      <c r="L63" s="91"/>
      <c r="M63" s="91"/>
      <c r="N63" s="91" t="n">
        <f aca="false">'Typical Inputs'!D21</f>
        <v>0</v>
      </c>
      <c r="O63" s="96"/>
      <c r="P63" s="51"/>
      <c r="Q63" s="51"/>
      <c r="R63" s="51"/>
      <c r="S63" s="51"/>
    </row>
    <row r="64" customFormat="false" ht="15.75" hidden="false" customHeight="true" outlineLevel="0" collapsed="false">
      <c r="A64" s="97" t="str">
        <f aca="false">'Typical Inputs'!A22</f>
        <v>Grocery / Supermarket</v>
      </c>
      <c r="B64" s="97" t="str">
        <f aca="false">'Typical Inputs'!B22</f>
        <v>No</v>
      </c>
      <c r="C64" s="97"/>
      <c r="D64" s="97" t="str">
        <f aca="false">IFERROR(VLOOKUP(A64,'02_Type_Assumptions'!$A$4:$B$25,2,FALSE()),"")</f>
        <v>acres</v>
      </c>
      <c r="E64" s="98" t="n">
        <f aca="false">'Typical Inputs'!C22</f>
        <v>4</v>
      </c>
      <c r="F64" s="97"/>
      <c r="G64" s="97" t="n">
        <v>1</v>
      </c>
      <c r="H64" s="97" t="n">
        <v>2</v>
      </c>
      <c r="I64" s="99" t="n">
        <v>1</v>
      </c>
      <c r="J64" s="98" t="n">
        <f aca="false">Scenarios!I12</f>
        <v>4</v>
      </c>
      <c r="K64" s="100" t="str">
        <f aca="false">IF(A64="","",IF(IFERROR(VLOOKUP(A64,'02_Type_Assumptions'!$A$4:$H$25,7,FALSE()),0)+IFERROR(VLOOKUP(A64,'02_Type_Assumptions'!$A$4:$H$25,8,FALSE()),0)&gt;0,"Yes - retail sales",IF(IFERROR(VLOOKUP(A64,'02_Type_Assumptions'!$A$4:$AA$25,27,FALSE()),"")="Residential","Yes - online use-tax","No")))</f>
        <v>Yes - retail sales</v>
      </c>
      <c r="L64" s="97"/>
      <c r="M64" s="97"/>
      <c r="N64" s="97" t="n">
        <f aca="false">'Typical Inputs'!D22</f>
        <v>0</v>
      </c>
      <c r="O64" s="96"/>
      <c r="P64" s="51"/>
      <c r="Q64" s="51"/>
      <c r="R64" s="51"/>
      <c r="S64" s="51"/>
    </row>
    <row r="65" customFormat="false" ht="15.75" hidden="false" customHeight="true" outlineLevel="0" collapsed="false">
      <c r="A65" s="91" t="str">
        <f aca="false">'Typical Inputs'!A23</f>
        <v>Auto Parts / Service</v>
      </c>
      <c r="B65" s="91" t="str">
        <f aca="false">'Typical Inputs'!B23</f>
        <v>No</v>
      </c>
      <c r="C65" s="91"/>
      <c r="D65" s="91" t="str">
        <f aca="false">IFERROR(VLOOKUP(A65,'02_Type_Assumptions'!$A$4:$B$25,2,FALSE()),"")</f>
        <v>acres</v>
      </c>
      <c r="E65" s="92" t="n">
        <f aca="false">'Typical Inputs'!C23</f>
        <v>1.5</v>
      </c>
      <c r="F65" s="91"/>
      <c r="G65" s="91" t="n">
        <v>1</v>
      </c>
      <c r="H65" s="91" t="n">
        <v>2</v>
      </c>
      <c r="I65" s="94" t="n">
        <v>1</v>
      </c>
      <c r="J65" s="92" t="n">
        <f aca="false">Scenarios!I13</f>
        <v>1.5</v>
      </c>
      <c r="K65" s="95" t="str">
        <f aca="false">IF(A65="","",IF(IFERROR(VLOOKUP(A65,'02_Type_Assumptions'!$A$4:$H$25,7,FALSE()),0)+IFERROR(VLOOKUP(A65,'02_Type_Assumptions'!$A$4:$H$25,8,FALSE()),0)&gt;0,"Yes - retail sales",IF(IFERROR(VLOOKUP(A65,'02_Type_Assumptions'!$A$4:$AA$25,27,FALSE()),"")="Residential","Yes - online use-tax","No")))</f>
        <v>Yes - retail sales</v>
      </c>
      <c r="L65" s="91"/>
      <c r="M65" s="91"/>
      <c r="N65" s="91" t="n">
        <f aca="false">'Typical Inputs'!D23</f>
        <v>0</v>
      </c>
      <c r="O65" s="96"/>
      <c r="P65" s="51"/>
      <c r="Q65" s="51"/>
      <c r="R65" s="51"/>
      <c r="S65" s="51"/>
    </row>
    <row r="66" customFormat="false" ht="15.75" hidden="false" customHeight="true" outlineLevel="0" collapsed="false">
      <c r="A66" s="97" t="str">
        <f aca="false">'Typical Inputs'!A24</f>
        <v>Car Wash</v>
      </c>
      <c r="B66" s="97" t="str">
        <f aca="false">'Typical Inputs'!B24</f>
        <v>No</v>
      </c>
      <c r="C66" s="97"/>
      <c r="D66" s="97" t="str">
        <f aca="false">IFERROR(VLOOKUP(A66,'02_Type_Assumptions'!$A$4:$B$25,2,FALSE()),"")</f>
        <v>acres</v>
      </c>
      <c r="E66" s="98" t="n">
        <f aca="false">'Typical Inputs'!C24</f>
        <v>1</v>
      </c>
      <c r="F66" s="97"/>
      <c r="G66" s="97" t="n">
        <v>1</v>
      </c>
      <c r="H66" s="97" t="n">
        <v>2</v>
      </c>
      <c r="I66" s="99" t="n">
        <v>1</v>
      </c>
      <c r="J66" s="98" t="n">
        <f aca="false">Scenarios!I14</f>
        <v>1</v>
      </c>
      <c r="K66" s="100" t="str">
        <f aca="false">IF(A66="","",IF(IFERROR(VLOOKUP(A66,'02_Type_Assumptions'!$A$4:$H$25,7,FALSE()),0)+IFERROR(VLOOKUP(A66,'02_Type_Assumptions'!$A$4:$H$25,8,FALSE()),0)&gt;0,"Yes - retail sales",IF(IFERROR(VLOOKUP(A66,'02_Type_Assumptions'!$A$4:$AA$25,27,FALSE()),"")="Residential","Yes - online use-tax","No")))</f>
        <v>Yes - retail sales</v>
      </c>
      <c r="L66" s="97"/>
      <c r="M66" s="97"/>
      <c r="N66" s="97" t="n">
        <f aca="false">'Typical Inputs'!D24</f>
        <v>0</v>
      </c>
      <c r="O66" s="96"/>
      <c r="P66" s="51"/>
      <c r="Q66" s="51"/>
      <c r="R66" s="51"/>
      <c r="S66" s="51"/>
    </row>
    <row r="67" customFormat="false" ht="15.75" hidden="false" customHeight="true" outlineLevel="0" collapsed="false">
      <c r="A67" s="91" t="str">
        <f aca="false">'Typical Inputs'!A25</f>
        <v>Single-Family Subdivision</v>
      </c>
      <c r="B67" s="91" t="str">
        <f aca="false">'Typical Inputs'!B25</f>
        <v>Yes</v>
      </c>
      <c r="C67" s="91"/>
      <c r="D67" s="91" t="str">
        <f aca="false">IFERROR(VLOOKUP(A67,'02_Type_Assumptions'!$A$4:$B$25,2,FALSE()),"")</f>
        <v>lots</v>
      </c>
      <c r="E67" s="92" t="n">
        <f aca="false">'Typical Inputs'!C25</f>
        <v>100</v>
      </c>
      <c r="F67" s="91"/>
      <c r="G67" s="91" t="n">
        <v>1</v>
      </c>
      <c r="H67" s="91" t="n">
        <v>5</v>
      </c>
      <c r="I67" s="94" t="n">
        <v>1</v>
      </c>
      <c r="J67" s="92" t="n">
        <f aca="false">Scenarios!I15</f>
        <v>18.75</v>
      </c>
      <c r="K67" s="95" t="str">
        <f aca="false">IF(A67="","",IF(IFERROR(VLOOKUP(A67,'02_Type_Assumptions'!$A$4:$H$25,7,FALSE()),0)+IFERROR(VLOOKUP(A67,'02_Type_Assumptions'!$A$4:$H$25,8,FALSE()),0)&gt;0,"Yes - retail sales",IF(IFERROR(VLOOKUP(A67,'02_Type_Assumptions'!$A$4:$AA$25,27,FALSE()),"")="Residential","Yes - online use-tax","No")))</f>
        <v>Yes - online use-tax</v>
      </c>
      <c r="L67" s="91"/>
      <c r="M67" s="91"/>
      <c r="N67" s="91" t="n">
        <f aca="false">'Typical Inputs'!D25</f>
        <v>0.125</v>
      </c>
      <c r="O67" s="96"/>
      <c r="P67" s="51"/>
      <c r="Q67" s="51"/>
      <c r="R67" s="51"/>
      <c r="S67" s="51"/>
    </row>
    <row r="68" customFormat="false" ht="15.75" hidden="false" customHeight="true" outlineLevel="0" collapsed="false">
      <c r="A68" s="97" t="str">
        <f aca="false">'Typical Inputs'!A26</f>
        <v>Single-Family Urban / Patio</v>
      </c>
      <c r="B68" s="97" t="str">
        <f aca="false">'Typical Inputs'!B26</f>
        <v>No</v>
      </c>
      <c r="C68" s="97"/>
      <c r="D68" s="97" t="str">
        <f aca="false">IFERROR(VLOOKUP(A68,'02_Type_Assumptions'!$A$4:$B$25,2,FALSE()),"")</f>
        <v>lots</v>
      </c>
      <c r="E68" s="98" t="n">
        <f aca="false">'Typical Inputs'!C26</f>
        <v>100</v>
      </c>
      <c r="F68" s="97"/>
      <c r="G68" s="97" t="n">
        <v>1</v>
      </c>
      <c r="H68" s="97" t="n">
        <v>8</v>
      </c>
      <c r="I68" s="99" t="n">
        <v>1</v>
      </c>
      <c r="J68" s="98" t="n">
        <f aca="false">Scenarios!I16</f>
        <v>27</v>
      </c>
      <c r="K68" s="100" t="str">
        <f aca="false">IF(A68="","",IF(IFERROR(VLOOKUP(A68,'02_Type_Assumptions'!$A$4:$H$25,7,FALSE()),0)+IFERROR(VLOOKUP(A68,'02_Type_Assumptions'!$A$4:$H$25,8,FALSE()),0)&gt;0,"Yes - retail sales",IF(IFERROR(VLOOKUP(A68,'02_Type_Assumptions'!$A$4:$AA$25,27,FALSE()),"")="Residential","Yes - online use-tax","No")))</f>
        <v>Yes - online use-tax</v>
      </c>
      <c r="L68" s="97"/>
      <c r="M68" s="97"/>
      <c r="N68" s="97" t="n">
        <f aca="false">'Typical Inputs'!D26</f>
        <v>0</v>
      </c>
      <c r="O68" s="96"/>
      <c r="P68" s="51"/>
      <c r="Q68" s="51"/>
      <c r="R68" s="51"/>
      <c r="S68" s="51"/>
    </row>
    <row r="69" customFormat="false" ht="15.75" hidden="false" customHeight="true" outlineLevel="0" collapsed="false">
      <c r="A69" s="91" t="str">
        <f aca="false">'Typical Inputs'!A27</f>
        <v>Townhome / Condo</v>
      </c>
      <c r="B69" s="91" t="str">
        <f aca="false">'Typical Inputs'!B27</f>
        <v>No</v>
      </c>
      <c r="C69" s="91"/>
      <c r="D69" s="91" t="str">
        <f aca="false">IFERROR(VLOOKUP(A69,'02_Type_Assumptions'!$A$4:$B$25,2,FALSE()),"")</f>
        <v>units</v>
      </c>
      <c r="E69" s="92" t="n">
        <f aca="false">'Typical Inputs'!C27</f>
        <v>250</v>
      </c>
      <c r="F69" s="91"/>
      <c r="G69" s="91" t="n">
        <v>1</v>
      </c>
      <c r="H69" s="91" t="n">
        <v>3</v>
      </c>
      <c r="I69" s="94" t="n">
        <v>1</v>
      </c>
      <c r="J69" s="92" t="n">
        <f aca="false">Scenarios!I17</f>
        <v>37.5</v>
      </c>
      <c r="K69" s="95" t="str">
        <f aca="false">IF(A69="","",IF(IFERROR(VLOOKUP(A69,'02_Type_Assumptions'!$A$4:$H$25,7,FALSE()),0)+IFERROR(VLOOKUP(A69,'02_Type_Assumptions'!$A$4:$H$25,8,FALSE()),0)&gt;0,"Yes - retail sales",IF(IFERROR(VLOOKUP(A69,'02_Type_Assumptions'!$A$4:$AA$25,27,FALSE()),"")="Residential","Yes - online use-tax","No")))</f>
        <v>Yes - online use-tax</v>
      </c>
      <c r="L69" s="91"/>
      <c r="M69" s="91"/>
      <c r="N69" s="91" t="n">
        <f aca="false">'Typical Inputs'!D27</f>
        <v>0</v>
      </c>
      <c r="O69" s="96"/>
      <c r="P69" s="51"/>
      <c r="Q69" s="51"/>
      <c r="R69" s="51"/>
      <c r="S69" s="51"/>
    </row>
    <row r="70" customFormat="false" ht="15.75" hidden="false" customHeight="true" outlineLevel="0" collapsed="false">
      <c r="A70" s="97" t="str">
        <f aca="false">'Typical Inputs'!A28</f>
        <v>Multifamily Apartments</v>
      </c>
      <c r="B70" s="97" t="str">
        <f aca="false">'Typical Inputs'!B28</f>
        <v>No</v>
      </c>
      <c r="C70" s="97"/>
      <c r="D70" s="97" t="str">
        <f aca="false">IFERROR(VLOOKUP(A70,'02_Type_Assumptions'!$A$4:$B$25,2,FALSE()),"")</f>
        <v>units</v>
      </c>
      <c r="E70" s="98" t="n">
        <f aca="false">'Typical Inputs'!C28</f>
        <v>250</v>
      </c>
      <c r="F70" s="97"/>
      <c r="G70" s="97" t="n">
        <v>1</v>
      </c>
      <c r="H70" s="97" t="n">
        <v>2</v>
      </c>
      <c r="I70" s="99" t="n">
        <v>1</v>
      </c>
      <c r="J70" s="98" t="n">
        <f aca="false">Scenarios!I18</f>
        <v>15</v>
      </c>
      <c r="K70" s="100" t="str">
        <f aca="false">IF(A70="","",IF(IFERROR(VLOOKUP(A70,'02_Type_Assumptions'!$A$4:$H$25,7,FALSE()),0)+IFERROR(VLOOKUP(A70,'02_Type_Assumptions'!$A$4:$H$25,8,FALSE()),0)&gt;0,"Yes - retail sales",IF(IFERROR(VLOOKUP(A70,'02_Type_Assumptions'!$A$4:$AA$25,27,FALSE()),"")="Residential","Yes - online use-tax","No")))</f>
        <v>Yes - online use-tax</v>
      </c>
      <c r="L70" s="97"/>
      <c r="M70" s="97"/>
      <c r="N70" s="97" t="n">
        <f aca="false">'Typical Inputs'!D28</f>
        <v>0</v>
      </c>
      <c r="O70" s="96"/>
      <c r="P70" s="51"/>
      <c r="Q70" s="51"/>
      <c r="R70" s="51"/>
      <c r="S70" s="51"/>
    </row>
    <row r="71" customFormat="false" ht="15.75" hidden="false" customHeight="true" outlineLevel="0" collapsed="false">
      <c r="A71" s="91" t="str">
        <f aca="false">'Typical Inputs'!A29</f>
        <v>Hotel</v>
      </c>
      <c r="B71" s="91" t="str">
        <f aca="false">'Typical Inputs'!B29</f>
        <v>No</v>
      </c>
      <c r="C71" s="91"/>
      <c r="D71" s="91" t="str">
        <f aca="false">IFERROR(VLOOKUP(A71,'02_Type_Assumptions'!$A$4:$B$25,2,FALSE()),"")</f>
        <v>rooms</v>
      </c>
      <c r="E71" s="92" t="n">
        <f aca="false">'Typical Inputs'!C29</f>
        <v>100</v>
      </c>
      <c r="F71" s="91"/>
      <c r="G71" s="91" t="n">
        <v>1</v>
      </c>
      <c r="H71" s="91" t="n">
        <v>2</v>
      </c>
      <c r="I71" s="94" t="n">
        <v>1</v>
      </c>
      <c r="J71" s="92" t="n">
        <f aca="false">Scenarios!I19</f>
        <v>2</v>
      </c>
      <c r="K71" s="95" t="str">
        <f aca="false">IF(A71="","",IF(IFERROR(VLOOKUP(A71,'02_Type_Assumptions'!$A$4:$H$25,7,FALSE()),0)+IFERROR(VLOOKUP(A71,'02_Type_Assumptions'!$A$4:$H$25,8,FALSE()),0)&gt;0,"Yes - retail sales",IF(IFERROR(VLOOKUP(A71,'02_Type_Assumptions'!$A$4:$AA$25,27,FALSE()),"")="Residential","Yes - online use-tax","No")))</f>
        <v>No</v>
      </c>
      <c r="L71" s="91"/>
      <c r="M71" s="91"/>
      <c r="N71" s="91" t="n">
        <f aca="false">'Typical Inputs'!D29</f>
        <v>0</v>
      </c>
      <c r="O71" s="96"/>
      <c r="P71" s="51"/>
      <c r="Q71" s="51"/>
      <c r="R71" s="51"/>
      <c r="S71" s="51"/>
    </row>
    <row r="72" customFormat="false" ht="15.75" hidden="false" customHeight="true" outlineLevel="0" collapsed="false">
      <c r="A72" s="97" t="str">
        <f aca="false">'Typical Inputs'!A30</f>
        <v>Manufacturing</v>
      </c>
      <c r="B72" s="97" t="str">
        <f aca="false">'Typical Inputs'!B30</f>
        <v>No</v>
      </c>
      <c r="C72" s="97"/>
      <c r="D72" s="97" t="str">
        <f aca="false">IFERROR(VLOOKUP(A72,'02_Type_Assumptions'!$A$4:$B$25,2,FALSE()),"")</f>
        <v>acres</v>
      </c>
      <c r="E72" s="98" t="n">
        <f aca="false">'Typical Inputs'!C30</f>
        <v>20</v>
      </c>
      <c r="F72" s="97"/>
      <c r="G72" s="97" t="n">
        <v>1</v>
      </c>
      <c r="H72" s="97" t="n">
        <v>2</v>
      </c>
      <c r="I72" s="99" t="n">
        <v>1</v>
      </c>
      <c r="J72" s="98" t="n">
        <f aca="false">Scenarios!I20</f>
        <v>20</v>
      </c>
      <c r="K72" s="100" t="str">
        <f aca="false">IF(A72="","",IF(IFERROR(VLOOKUP(A72,'02_Type_Assumptions'!$A$4:$H$25,7,FALSE()),0)+IFERROR(VLOOKUP(A72,'02_Type_Assumptions'!$A$4:$H$25,8,FALSE()),0)&gt;0,"Yes - retail sales",IF(IFERROR(VLOOKUP(A72,'02_Type_Assumptions'!$A$4:$AA$25,27,FALSE()),"")="Residential","Yes - online use-tax","No")))</f>
        <v>No</v>
      </c>
      <c r="L72" s="97"/>
      <c r="M72" s="97"/>
      <c r="N72" s="97" t="n">
        <f aca="false">'Typical Inputs'!D30</f>
        <v>0</v>
      </c>
      <c r="O72" s="96"/>
      <c r="P72" s="51"/>
      <c r="Q72" s="51"/>
      <c r="R72" s="51"/>
      <c r="S72" s="51"/>
    </row>
    <row r="73" customFormat="false" ht="15.75" hidden="false" customHeight="true" outlineLevel="0" collapsed="false">
      <c r="A73" s="91" t="str">
        <f aca="false">'Typical Inputs'!A31</f>
        <v>Industrial / Logistics</v>
      </c>
      <c r="B73" s="91" t="str">
        <f aca="false">'Typical Inputs'!B31</f>
        <v>No</v>
      </c>
      <c r="C73" s="91"/>
      <c r="D73" s="91" t="str">
        <f aca="false">IFERROR(VLOOKUP(A73,'02_Type_Assumptions'!$A$4:$B$25,2,FALSE()),"")</f>
        <v>acres</v>
      </c>
      <c r="E73" s="92" t="n">
        <f aca="false">'Typical Inputs'!C31</f>
        <v>40</v>
      </c>
      <c r="F73" s="91"/>
      <c r="G73" s="91" t="n">
        <v>1</v>
      </c>
      <c r="H73" s="91" t="n">
        <v>2</v>
      </c>
      <c r="I73" s="94" t="n">
        <v>1</v>
      </c>
      <c r="J73" s="92" t="n">
        <f aca="false">Scenarios!I21</f>
        <v>40</v>
      </c>
      <c r="K73" s="95" t="str">
        <f aca="false">IF(A73="","",IF(IFERROR(VLOOKUP(A73,'02_Type_Assumptions'!$A$4:$H$25,7,FALSE()),0)+IFERROR(VLOOKUP(A73,'02_Type_Assumptions'!$A$4:$H$25,8,FALSE()),0)&gt;0,"Yes - retail sales",IF(IFERROR(VLOOKUP(A73,'02_Type_Assumptions'!$A$4:$AA$25,27,FALSE()),"")="Residential","Yes - online use-tax","No")))</f>
        <v>No</v>
      </c>
      <c r="L73" s="91"/>
      <c r="M73" s="91"/>
      <c r="N73" s="91" t="n">
        <f aca="false">'Typical Inputs'!D31</f>
        <v>0</v>
      </c>
      <c r="O73" s="96"/>
      <c r="P73" s="51"/>
      <c r="Q73" s="51"/>
      <c r="R73" s="51"/>
      <c r="S73" s="51"/>
    </row>
    <row r="74" customFormat="false" ht="15.75" hidden="false" customHeight="true" outlineLevel="0" collapsed="false">
      <c r="A74" s="97" t="str">
        <f aca="false">'Typical Inputs'!A32</f>
        <v>Civic / Institutional</v>
      </c>
      <c r="B74" s="97" t="str">
        <f aca="false">'Typical Inputs'!B32</f>
        <v>No</v>
      </c>
      <c r="C74" s="97"/>
      <c r="D74" s="97" t="str">
        <f aca="false">IFERROR(VLOOKUP(A74,'02_Type_Assumptions'!$A$4:$B$25,2,FALSE()),"")</f>
        <v>acres</v>
      </c>
      <c r="E74" s="98" t="n">
        <f aca="false">'Typical Inputs'!C32</f>
        <v>10</v>
      </c>
      <c r="F74" s="97"/>
      <c r="G74" s="97" t="n">
        <v>1</v>
      </c>
      <c r="H74" s="97" t="n">
        <v>2</v>
      </c>
      <c r="I74" s="99" t="n">
        <v>1</v>
      </c>
      <c r="J74" s="98" t="n">
        <f aca="false">Scenarios!I22</f>
        <v>10</v>
      </c>
      <c r="K74" s="100" t="str">
        <f aca="false">IF(A74="","",IF(IFERROR(VLOOKUP(A74,'02_Type_Assumptions'!$A$4:$H$25,7,FALSE()),0)+IFERROR(VLOOKUP(A74,'02_Type_Assumptions'!$A$4:$H$25,8,FALSE()),0)&gt;0,"Yes - retail sales",IF(IFERROR(VLOOKUP(A74,'02_Type_Assumptions'!$A$4:$AA$25,27,FALSE()),"")="Residential","Yes - online use-tax","No")))</f>
        <v>No</v>
      </c>
      <c r="L74" s="97"/>
      <c r="M74" s="97"/>
      <c r="N74" s="97" t="n">
        <f aca="false">'Typical Inputs'!D32</f>
        <v>0</v>
      </c>
      <c r="O74" s="96"/>
      <c r="P74" s="51"/>
      <c r="Q74" s="51"/>
      <c r="R74" s="51"/>
      <c r="S74" s="51"/>
    </row>
    <row r="75" customFormat="false" ht="15.75" hidden="false" customHeight="true" outlineLevel="0" collapsed="false">
      <c r="A75" s="91" t="str">
        <f aca="false">'Typical Inputs'!A33</f>
        <v>Parks / Open Space</v>
      </c>
      <c r="B75" s="91" t="str">
        <f aca="false">'Typical Inputs'!B33</f>
        <v>No</v>
      </c>
      <c r="C75" s="91"/>
      <c r="D75" s="91" t="str">
        <f aca="false">IFERROR(VLOOKUP(A75,'02_Type_Assumptions'!$A$4:$B$25,2,FALSE()),"")</f>
        <v>acres</v>
      </c>
      <c r="E75" s="92" t="n">
        <f aca="false">'Typical Inputs'!C33</f>
        <v>10</v>
      </c>
      <c r="F75" s="91"/>
      <c r="G75" s="91" t="n">
        <v>1</v>
      </c>
      <c r="H75" s="91" t="n">
        <v>2</v>
      </c>
      <c r="I75" s="94" t="n">
        <v>1</v>
      </c>
      <c r="J75" s="92" t="n">
        <f aca="false">Scenarios!I23</f>
        <v>10</v>
      </c>
      <c r="K75" s="95" t="str">
        <f aca="false">IF(A75="","",IF(IFERROR(VLOOKUP(A75,'02_Type_Assumptions'!$A$4:$H$25,7,FALSE()),0)+IFERROR(VLOOKUP(A75,'02_Type_Assumptions'!$A$4:$H$25,8,FALSE()),0)&gt;0,"Yes - retail sales",IF(IFERROR(VLOOKUP(A75,'02_Type_Assumptions'!$A$4:$AA$25,27,FALSE()),"")="Residential","Yes - online use-tax","No")))</f>
        <v>No</v>
      </c>
      <c r="L75" s="91"/>
      <c r="M75" s="91"/>
      <c r="N75" s="91" t="n">
        <f aca="false">'Typical Inputs'!D33</f>
        <v>0</v>
      </c>
      <c r="O75" s="96"/>
      <c r="P75" s="51"/>
      <c r="Q75" s="51"/>
      <c r="R75" s="51"/>
      <c r="S75" s="51"/>
    </row>
    <row r="76" customFormat="false" ht="15.75" hidden="false" customHeight="true" outlineLevel="0" collapsed="false">
      <c r="A76" s="97" t="str">
        <f aca="false">'Typical Inputs'!A34</f>
        <v>Vacant / Holding Land</v>
      </c>
      <c r="B76" s="97" t="str">
        <f aca="false">'Typical Inputs'!B34</f>
        <v>No</v>
      </c>
      <c r="C76" s="97"/>
      <c r="D76" s="97" t="str">
        <f aca="false">IFERROR(VLOOKUP(A76,'02_Type_Assumptions'!$A$4:$B$25,2,FALSE()),"")</f>
        <v>acres</v>
      </c>
      <c r="E76" s="98" t="n">
        <f aca="false">'Typical Inputs'!C34</f>
        <v>10</v>
      </c>
      <c r="F76" s="97"/>
      <c r="G76" s="97" t="n">
        <v>1</v>
      </c>
      <c r="H76" s="97" t="n">
        <v>2</v>
      </c>
      <c r="I76" s="99" t="n">
        <v>1</v>
      </c>
      <c r="J76" s="98" t="n">
        <f aca="false">Scenarios!I24</f>
        <v>10</v>
      </c>
      <c r="K76" s="100" t="str">
        <f aca="false">IF(A76="","",IF(IFERROR(VLOOKUP(A76,'02_Type_Assumptions'!$A$4:$H$25,7,FALSE()),0)+IFERROR(VLOOKUP(A76,'02_Type_Assumptions'!$A$4:$H$25,8,FALSE()),0)&gt;0,"Yes - retail sales",IF(IFERROR(VLOOKUP(A76,'02_Type_Assumptions'!$A$4:$AA$25,27,FALSE()),"")="Residential","Yes - online use-tax","No")))</f>
        <v>No</v>
      </c>
      <c r="L76" s="97"/>
      <c r="M76" s="97"/>
      <c r="N76" s="97" t="n">
        <f aca="false">'Typical Inputs'!D34</f>
        <v>0</v>
      </c>
      <c r="O76" s="96"/>
      <c r="P76" s="51"/>
      <c r="Q76" s="51"/>
      <c r="R76" s="51"/>
      <c r="S76" s="51"/>
    </row>
  </sheetData>
  <mergeCells count="8">
    <mergeCell ref="A1:S1"/>
    <mergeCell ref="A2:S2"/>
    <mergeCell ref="A5:D5"/>
    <mergeCell ref="A12:D12"/>
    <mergeCell ref="A25:D25"/>
    <mergeCell ref="A36:D36"/>
    <mergeCell ref="A46:D46"/>
    <mergeCell ref="A53:N53"/>
  </mergeCells>
  <conditionalFormatting sqref="D7">
    <cfRule type="expression" priority="2" aboveAverage="0" equalAverage="0" bottom="0" percent="0" rank="0" text="" dxfId="0">
      <formula>IF($F$7=2,$D$7&gt;$D$6,$D$7&gt;1)</formula>
    </cfRule>
  </conditionalFormatting>
  <dataValidations count="2">
    <dataValidation allowBlank="true" errorStyle="stop" operator="between" showDropDown="false" showErrorMessage="false" showInputMessage="false" sqref="A55:A67 C55:C66 A68:A76" type="list">
      <formula1>TypeList</formula1>
      <formula2>0</formula2>
    </dataValidation>
    <dataValidation allowBlank="true" errorStyle="stop" operator="between" showDropDown="false" showErrorMessage="false" showInputMessage="false" sqref="B55:B76" type="list">
      <formula1>"Yes,No"</formula1>
      <formula2>0</formula2>
    </dataValidation>
  </dataValidations>
  <printOptions headings="false" gridLines="false" gridLinesSet="true" horizontalCentered="true" verticalCentered="false"/>
  <pageMargins left="0.4" right="0.4" top="0.4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City of Sealy · ESD #2 Development-Scenario Model&amp;R&amp;8 Page &amp;P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37"/>
  <sheetViews>
    <sheetView showFormulas="false" showGridLines="false" showRowColHeaders="true" showZeros="true" rightToLeft="false" tabSelected="true" showOutlineSymbols="true" defaultGridColor="true" view="normal" topLeftCell="A2" colorId="64" zoomScale="100" zoomScaleNormal="100" zoomScalePageLayoutView="100" workbookViewId="0">
      <selection pane="topLeft" activeCell="C8" activeCellId="0" sqref="C8"/>
    </sheetView>
  </sheetViews>
  <sheetFormatPr defaultColWidth="8.66796875" defaultRowHeight="12.75" customHeight="false" zeroHeight="false" outlineLevelRow="0" outlineLevelCol="0"/>
  <cols>
    <col collapsed="false" customWidth="true" hidden="false" outlineLevel="0" max="1" min="1" style="1" width="50.88"/>
    <col collapsed="false" customWidth="true" hidden="false" outlineLevel="0" max="2" min="2" style="1" width="12"/>
    <col collapsed="false" customWidth="true" hidden="false" outlineLevel="0" max="3" min="3" style="1" width="20.33"/>
    <col collapsed="false" customWidth="true" hidden="false" outlineLevel="0" max="4" min="4" style="1" width="12"/>
    <col collapsed="false" customWidth="true" hidden="false" outlineLevel="0" max="5" min="5" style="1" width="22.88"/>
    <col collapsed="false" customWidth="true" hidden="false" outlineLevel="0" max="33" min="6" style="1" width="12"/>
    <col collapsed="false" customWidth="true" hidden="false" outlineLevel="0" max="34" min="34" style="1" width="138.44"/>
    <col collapsed="false" customWidth="true" hidden="false" outlineLevel="0" max="35" min="35" style="90" width="12.56"/>
    <col collapsed="false" customWidth="true" hidden="false" outlineLevel="0" max="39" min="36" style="90" width="13.75"/>
  </cols>
  <sheetData>
    <row r="1" customFormat="false" ht="27.75" hidden="false" customHeight="true" outlineLevel="0" collapsed="false">
      <c r="A1" s="49" t="s">
        <v>148</v>
      </c>
      <c r="B1" s="49"/>
      <c r="C1" s="49"/>
      <c r="D1" s="49"/>
      <c r="E1" s="49"/>
      <c r="F1" s="49"/>
      <c r="G1" s="49"/>
      <c r="H1" s="49"/>
      <c r="I1" s="49"/>
      <c r="J1" s="49"/>
      <c r="K1" s="49"/>
      <c r="L1" s="49"/>
      <c r="M1" s="49"/>
      <c r="N1" s="49"/>
      <c r="O1" s="49"/>
      <c r="P1" s="49"/>
      <c r="Q1" s="49"/>
      <c r="R1" s="101"/>
      <c r="S1" s="101"/>
      <c r="T1" s="101"/>
      <c r="U1" s="101"/>
      <c r="V1" s="101"/>
      <c r="W1" s="101"/>
      <c r="X1" s="101"/>
      <c r="Y1" s="101"/>
      <c r="Z1" s="101"/>
      <c r="AA1" s="101"/>
      <c r="AB1" s="101"/>
      <c r="AC1" s="101"/>
      <c r="AD1" s="101"/>
      <c r="AE1" s="101"/>
      <c r="AF1" s="101"/>
      <c r="AG1" s="101"/>
      <c r="AH1" s="101"/>
    </row>
    <row r="2" customFormat="false" ht="15.75" hidden="false" customHeight="true" outlineLevel="0" collapsed="false">
      <c r="A2" s="102" t="s">
        <v>149</v>
      </c>
      <c r="B2" s="102"/>
      <c r="C2" s="102"/>
      <c r="D2" s="102"/>
      <c r="E2" s="102"/>
      <c r="F2" s="102"/>
      <c r="G2" s="102"/>
      <c r="H2" s="102"/>
      <c r="I2" s="102"/>
      <c r="J2" s="102"/>
      <c r="K2" s="102"/>
      <c r="L2" s="102"/>
      <c r="M2" s="102"/>
      <c r="N2" s="102"/>
      <c r="O2" s="102"/>
      <c r="P2" s="102"/>
      <c r="Q2" s="102"/>
      <c r="R2" s="103"/>
      <c r="S2" s="103"/>
      <c r="T2" s="103"/>
      <c r="U2" s="103"/>
      <c r="V2" s="103"/>
      <c r="W2" s="103"/>
      <c r="X2" s="103"/>
      <c r="Y2" s="103"/>
      <c r="Z2" s="103"/>
      <c r="AA2" s="103"/>
      <c r="AB2" s="103"/>
      <c r="AC2" s="103"/>
      <c r="AD2" s="103"/>
      <c r="AE2" s="103"/>
      <c r="AF2" s="103"/>
      <c r="AG2" s="103"/>
      <c r="AH2" s="103"/>
    </row>
    <row r="3" customFormat="false" ht="45" hidden="false" customHeight="true" outlineLevel="0" collapsed="false">
      <c r="A3" s="104" t="s">
        <v>150</v>
      </c>
      <c r="B3" s="104" t="s">
        <v>151</v>
      </c>
      <c r="C3" s="104" t="s">
        <v>152</v>
      </c>
      <c r="D3" s="104" t="s">
        <v>153</v>
      </c>
      <c r="E3" s="104" t="s">
        <v>154</v>
      </c>
      <c r="F3" s="104" t="s">
        <v>155</v>
      </c>
      <c r="G3" s="104" t="s">
        <v>156</v>
      </c>
      <c r="H3" s="104" t="s">
        <v>157</v>
      </c>
      <c r="I3" s="104" t="s">
        <v>158</v>
      </c>
      <c r="J3" s="104" t="s">
        <v>159</v>
      </c>
      <c r="K3" s="104" t="s">
        <v>160</v>
      </c>
      <c r="L3" s="104" t="s">
        <v>161</v>
      </c>
      <c r="M3" s="104" t="s">
        <v>162</v>
      </c>
      <c r="N3" s="104" t="s">
        <v>163</v>
      </c>
      <c r="O3" s="104" t="s">
        <v>164</v>
      </c>
      <c r="P3" s="104" t="s">
        <v>165</v>
      </c>
      <c r="Q3" s="104" t="s">
        <v>166</v>
      </c>
      <c r="R3" s="104" t="s">
        <v>167</v>
      </c>
      <c r="S3" s="104" t="s">
        <v>168</v>
      </c>
      <c r="T3" s="104" t="s">
        <v>169</v>
      </c>
      <c r="U3" s="104" t="s">
        <v>170</v>
      </c>
      <c r="V3" s="104" t="s">
        <v>171</v>
      </c>
      <c r="W3" s="104" t="s">
        <v>172</v>
      </c>
      <c r="X3" s="104" t="s">
        <v>173</v>
      </c>
      <c r="Y3" s="104" t="s">
        <v>174</v>
      </c>
      <c r="Z3" s="104" t="s">
        <v>175</v>
      </c>
      <c r="AA3" s="104" t="s">
        <v>176</v>
      </c>
      <c r="AB3" s="104" t="s">
        <v>177</v>
      </c>
      <c r="AC3" s="104" t="s">
        <v>178</v>
      </c>
      <c r="AD3" s="104" t="s">
        <v>179</v>
      </c>
      <c r="AE3" s="104" t="s">
        <v>180</v>
      </c>
      <c r="AF3" s="104" t="s">
        <v>181</v>
      </c>
      <c r="AG3" s="104" t="s">
        <v>182</v>
      </c>
      <c r="AH3" s="104" t="s">
        <v>183</v>
      </c>
      <c r="AI3" s="105" t="s">
        <v>184</v>
      </c>
      <c r="AJ3" s="105" t="s">
        <v>185</v>
      </c>
      <c r="AK3" s="105" t="s">
        <v>186</v>
      </c>
      <c r="AL3" s="105" t="s">
        <v>187</v>
      </c>
      <c r="AM3" s="105" t="s">
        <v>188</v>
      </c>
    </row>
    <row r="4" customFormat="false" ht="14.25" hidden="false" customHeight="true" outlineLevel="0" collapsed="false">
      <c r="A4" s="106" t="s">
        <v>189</v>
      </c>
      <c r="B4" s="106" t="s">
        <v>190</v>
      </c>
      <c r="C4" s="106" t="s">
        <v>191</v>
      </c>
      <c r="D4" s="106" t="s">
        <v>192</v>
      </c>
      <c r="E4" s="106" t="s">
        <v>193</v>
      </c>
      <c r="F4" s="107" t="n">
        <f aca="false">'03_Multi_Horizon_Results'!$B$5*'12_Takeoff_Assumptions'!$B$3</f>
        <v>1725</v>
      </c>
      <c r="G4" s="107" t="n">
        <f aca="false">'03_Multi_Horizon_Results'!$C$5*'12_Takeoff_Assumptions'!$B$3</f>
        <v>1725</v>
      </c>
      <c r="H4" s="107" t="n">
        <f aca="false">'03_Multi_Horizon_Results'!$D$5*'12_Takeoff_Assumptions'!$B$3</f>
        <v>1725</v>
      </c>
      <c r="I4" s="107" t="n">
        <f aca="false">'03_Multi_Horizon_Results'!$E$5*'12_Takeoff_Assumptions'!$B$3</f>
        <v>1725</v>
      </c>
      <c r="J4" s="107" t="n">
        <f aca="false">'03_Multi_Horizon_Results'!$F$5*'12_Takeoff_Assumptions'!$B$3</f>
        <v>1725</v>
      </c>
      <c r="K4" s="108"/>
      <c r="L4" s="107" t="n">
        <f aca="false">MAX(0,N(G4)+N(K4))</f>
        <v>1725</v>
      </c>
      <c r="M4" s="109" t="n">
        <v>600</v>
      </c>
      <c r="N4" s="110"/>
      <c r="O4" s="110"/>
      <c r="P4" s="109" t="n">
        <f aca="false">IFERROR(IF(O4&lt;&gt;"",O4,L4*IF(N4&lt;&gt;"",N4,M4)),0)</f>
        <v>1035000</v>
      </c>
      <c r="Q4" s="101" t="s">
        <v>190</v>
      </c>
      <c r="R4" s="101" t="s">
        <v>31</v>
      </c>
      <c r="S4" s="101" t="s">
        <v>194</v>
      </c>
      <c r="T4" s="111" t="n">
        <v>1</v>
      </c>
      <c r="U4" s="111" t="n">
        <v>20</v>
      </c>
      <c r="V4" s="112" t="n">
        <v>0.045</v>
      </c>
      <c r="W4" s="109" t="n">
        <f aca="false">IFERROR(IF(AND(R4="Yes",S4="Debt service",U4&gt;0),IF(V4=0,P4/U4,P4*V4/(1-(1+V4)^(-U4))),0),0)</f>
        <v>79566.8093753898</v>
      </c>
      <c r="X4" s="113" t="n">
        <f aca="false">IFERROR(IF(OR(R4&lt;&gt;"Yes",Q4&lt;&gt;"City"),0,IF(S4="Cash capital",IF(T4&lt;=5,IF(O4&lt;&gt;"",O4,MAX(0,N(F4)+N(K4))*IF(N4&lt;&gt;"",N4,M4)),0),IF(S4="Debt service",IF(T4&gt;5,0,AI4*MAX(0,MIN(5-T4+1,U4))),IF(OR(S4="Annual O&amp;M",S4="Maintenance-only"),IF(T4&gt;5,0,IF(O4&lt;&gt;"",O4,MAX(0,N(F4)+N(K4))*IF(N4&lt;&gt;"",N4,M4))*MAX(0,5-T4+1)),0)))),0)</f>
        <v>397834.046876949</v>
      </c>
      <c r="Y4" s="113" t="n">
        <f aca="false">IFERROR(IF(OR(R4&lt;&gt;"Yes",Q4&lt;&gt;"City"),0,IF(S4="Cash capital",IF(T4&lt;=10,IF(O4&lt;&gt;"",O4,MAX(0,N(G4)+N(K4))*IF(N4&lt;&gt;"",N4,M4)),0),IF(S4="Debt service",IF(T4&gt;10,0,AJ4*MAX(0,MIN(10-T4+1,U4))),IF(OR(S4="Annual O&amp;M",S4="Maintenance-only"),IF(T4&gt;10,0,IF(O4&lt;&gt;"",O4,MAX(0,N(G4)+N(K4))*IF(N4&lt;&gt;"",N4,M4))*MAX(0,10-T4+1)),0)))),0)</f>
        <v>795668.093753898</v>
      </c>
      <c r="Z4" s="113" t="n">
        <f aca="false">IFERROR(IF(OR(R4&lt;&gt;"Yes",Q4&lt;&gt;"City"),0,IF(S4="Cash capital",IF(T4&lt;=15,IF(O4&lt;&gt;"",O4,MAX(0,N(H4)+N(K4))*IF(N4&lt;&gt;"",N4,M4)),0),IF(S4="Debt service",IF(T4&gt;15,0,AK4*MAX(0,MIN(15-T4+1,U4))),IF(OR(S4="Annual O&amp;M",S4="Maintenance-only"),IF(T4&gt;15,0,IF(O4&lt;&gt;"",O4,MAX(0,N(H4)+N(K4))*IF(N4&lt;&gt;"",N4,M4))*MAX(0,15-T4+1)),0)))),0)</f>
        <v>1193502.14063085</v>
      </c>
      <c r="AA4" s="113" t="n">
        <f aca="false">IFERROR(IF(OR(R4&lt;&gt;"Yes",Q4&lt;&gt;"City"),0,IF(S4="Cash capital",IF(T4&lt;=20,IF(O4&lt;&gt;"",O4,MAX(0,N(I4)+N(K4))*IF(N4&lt;&gt;"",N4,M4)),0),IF(S4="Debt service",IF(T4&gt;20,0,AL4*MAX(0,MIN(20-T4+1,U4))),IF(OR(S4="Annual O&amp;M",S4="Maintenance-only"),IF(T4&gt;20,0,IF(O4&lt;&gt;"",O4,MAX(0,N(I4)+N(K4))*IF(N4&lt;&gt;"",N4,M4))*MAX(0,20-T4+1)),0)))),0)</f>
        <v>1591336.1875078</v>
      </c>
      <c r="AB4" s="113" t="n">
        <f aca="false">IFERROR(IF(OR(R4&lt;&gt;"Yes",Q4&lt;&gt;"City"),0,IF(S4="Cash capital",IF(T4&lt;=30,IF(O4&lt;&gt;"",O4,MAX(0,N(J4)+N(K4))*IF(N4&lt;&gt;"",N4,M4)),0),IF(S4="Debt service",IF(T4&gt;30,0,AM4*MAX(0,MIN(30-T4+1,U4))),IF(OR(S4="Annual O&amp;M",S4="Maintenance-only"),IF(T4&gt;30,0,IF(O4&lt;&gt;"",O4,MAX(0,N(J4)+N(K4))*IF(N4&lt;&gt;"",N4,M4))*MAX(0,30-T4+1)),0)))),0)</f>
        <v>1591336.1875078</v>
      </c>
      <c r="AC4" s="113" t="n">
        <f aca="false">IFERROR(IF(OR(R4&lt;&gt;"Yes",Q4&lt;&gt;"ESD"),0,IF(S4="Cash capital",IF(T4&lt;=5,IF(O4&lt;&gt;"",O4,MAX(0,N(F4)+N(K4))*IF(N4&lt;&gt;"",N4,M4)),0),IF(S4="Debt service",IF(T4&gt;5,0,AI4*MAX(0,MIN(5-T4+1,U4))),IF(OR(S4="Annual O&amp;M",S4="Maintenance-only"),IF(T4&gt;5,0,IF(O4&lt;&gt;"",O4,MAX(0,N(F4)+N(K4))*IF(N4&lt;&gt;"",N4,M4))*MAX(0,5-T4+1)),0)))),0)</f>
        <v>0</v>
      </c>
      <c r="AD4" s="113" t="n">
        <f aca="false">IFERROR(IF(OR(R4&lt;&gt;"Yes",Q4&lt;&gt;"ESD"),0,IF(S4="Cash capital",IF(T4&lt;=10,IF(O4&lt;&gt;"",O4,MAX(0,N(G4)+N(K4))*IF(N4&lt;&gt;"",N4,M4)),0),IF(S4="Debt service",IF(T4&gt;10,0,AJ4*MAX(0,MIN(10-T4+1,U4))),IF(OR(S4="Annual O&amp;M",S4="Maintenance-only"),IF(T4&gt;10,0,IF(O4&lt;&gt;"",O4,MAX(0,N(G4)+N(K4))*IF(N4&lt;&gt;"",N4,M4))*MAX(0,10-T4+1)),0)))),0)</f>
        <v>0</v>
      </c>
      <c r="AE4" s="113" t="n">
        <f aca="false">IFERROR(IF(OR(R4&lt;&gt;"Yes",Q4&lt;&gt;"ESD"),0,IF(S4="Cash capital",IF(T4&lt;=15,IF(O4&lt;&gt;"",O4,MAX(0,N(H4)+N(K4))*IF(N4&lt;&gt;"",N4,M4)),0),IF(S4="Debt service",IF(T4&gt;15,0,AK4*MAX(0,MIN(15-T4+1,U4))),IF(OR(S4="Annual O&amp;M",S4="Maintenance-only"),IF(T4&gt;15,0,IF(O4&lt;&gt;"",O4,MAX(0,N(H4)+N(K4))*IF(N4&lt;&gt;"",N4,M4))*MAX(0,15-T4+1)),0)))),0)</f>
        <v>0</v>
      </c>
      <c r="AF4" s="113" t="n">
        <f aca="false">IFERROR(IF(OR(R4&lt;&gt;"Yes",Q4&lt;&gt;"ESD"),0,IF(S4="Cash capital",IF(T4&lt;=20,IF(O4&lt;&gt;"",O4,MAX(0,N(I4)+N(K4))*IF(N4&lt;&gt;"",N4,M4)),0),IF(S4="Debt service",IF(T4&gt;20,0,AL4*MAX(0,MIN(20-T4+1,U4))),IF(OR(S4="Annual O&amp;M",S4="Maintenance-only"),IF(T4&gt;20,0,IF(O4&lt;&gt;"",O4,MAX(0,N(I4)+N(K4))*IF(N4&lt;&gt;"",N4,M4))*MAX(0,20-T4+1)),0)))),0)</f>
        <v>0</v>
      </c>
      <c r="AG4" s="113" t="n">
        <f aca="false">IFERROR(IF(OR(R4&lt;&gt;"Yes",Q4&lt;&gt;"ESD"),0,IF(S4="Cash capital",IF(T4&lt;=30,IF(O4&lt;&gt;"",O4,MAX(0,N(J4)+N(K4))*IF(N4&lt;&gt;"",N4,M4)),0),IF(S4="Debt service",IF(T4&gt;30,0,AM4*MAX(0,MIN(30-T4+1,U4))),IF(OR(S4="Annual O&amp;M",S4="Maintenance-only"),IF(T4&gt;30,0,IF(O4&lt;&gt;"",O4,MAX(0,N(J4)+N(K4))*IF(N4&lt;&gt;"",N4,M4))*MAX(0,30-T4+1)),0)))),0)</f>
        <v>0</v>
      </c>
      <c r="AH4" s="114" t="s">
        <v>195</v>
      </c>
      <c r="AI4" s="106" t="n">
        <f aca="false">IFERROR(IF(U4&gt;0,IF(O4&lt;&gt;"",O4,MAX(0,N(F4)+N(K4))*IF(N4&lt;&gt;"",N4,M4))*IF(V4=0,1/U4,V4/(1-(1+V4)^(-U4))),0),0)</f>
        <v>79566.8093753898</v>
      </c>
      <c r="AJ4" s="106" t="n">
        <f aca="false">IFERROR(IF(U4&gt;0,IF(O4&lt;&gt;"",O4,MAX(0,N(G4)+N(K4))*IF(N4&lt;&gt;"",N4,M4))*IF(V4=0,1/U4,V4/(1-(1+V4)^(-U4))),0),0)</f>
        <v>79566.8093753898</v>
      </c>
      <c r="AK4" s="106" t="n">
        <f aca="false">IFERROR(IF(U4&gt;0,IF(O4&lt;&gt;"",O4,MAX(0,N(H4)+N(K4))*IF(N4&lt;&gt;"",N4,M4))*IF(V4=0,1/U4,V4/(1-(1+V4)^(-U4))),0),0)</f>
        <v>79566.8093753898</v>
      </c>
      <c r="AL4" s="106" t="n">
        <f aca="false">IFERROR(IF(U4&gt;0,IF(O4&lt;&gt;"",O4,MAX(0,N(I4)+N(K4))*IF(N4&lt;&gt;"",N4,M4))*IF(V4=0,1/U4,V4/(1-(1+V4)^(-U4))),0),0)</f>
        <v>79566.8093753898</v>
      </c>
      <c r="AM4" s="106" t="n">
        <f aca="false">IFERROR(IF(U4&gt;0,IF(O4&lt;&gt;"",O4,MAX(0,N(J4)+N(K4))*IF(N4&lt;&gt;"",N4,M4))*IF(V4=0,1/U4,V4/(1-(1+V4)^(-U4))),0),0)</f>
        <v>79566.8093753898</v>
      </c>
    </row>
    <row r="5" customFormat="false" ht="14.25" hidden="false" customHeight="true" outlineLevel="0" collapsed="false">
      <c r="A5" s="115" t="s">
        <v>196</v>
      </c>
      <c r="B5" s="115" t="s">
        <v>190</v>
      </c>
      <c r="C5" s="115" t="s">
        <v>191</v>
      </c>
      <c r="D5" s="115" t="s">
        <v>192</v>
      </c>
      <c r="E5" s="115" t="s">
        <v>197</v>
      </c>
      <c r="F5" s="116" t="n">
        <f aca="false">'03_Multi_Horizon_Results'!$B$5*'12_Takeoff_Assumptions'!$B$2</f>
        <v>11500</v>
      </c>
      <c r="G5" s="116" t="n">
        <f aca="false">'03_Multi_Horizon_Results'!$C$5*'12_Takeoff_Assumptions'!$B$2</f>
        <v>11500</v>
      </c>
      <c r="H5" s="116" t="n">
        <f aca="false">'03_Multi_Horizon_Results'!$D$5*'12_Takeoff_Assumptions'!$B$2</f>
        <v>11500</v>
      </c>
      <c r="I5" s="116" t="n">
        <f aca="false">'03_Multi_Horizon_Results'!$E$5*'12_Takeoff_Assumptions'!$B$2</f>
        <v>11500</v>
      </c>
      <c r="J5" s="116" t="n">
        <f aca="false">'03_Multi_Horizon_Results'!$F$5*'12_Takeoff_Assumptions'!$B$2</f>
        <v>11500</v>
      </c>
      <c r="K5" s="117"/>
      <c r="L5" s="116" t="n">
        <f aca="false">MAX(0,N(G5)+N(K5))</f>
        <v>11500</v>
      </c>
      <c r="M5" s="118" t="n">
        <v>250</v>
      </c>
      <c r="N5" s="119"/>
      <c r="O5" s="119"/>
      <c r="P5" s="118" t="n">
        <f aca="false">IFERROR(IF(O5&lt;&gt;"",O5,L5*IF(N5&lt;&gt;"",N5,M5)),0)</f>
        <v>2875000</v>
      </c>
      <c r="Q5" s="120" t="s">
        <v>190</v>
      </c>
      <c r="R5" s="120" t="s">
        <v>31</v>
      </c>
      <c r="S5" s="120" t="s">
        <v>194</v>
      </c>
      <c r="T5" s="121" t="n">
        <v>1</v>
      </c>
      <c r="U5" s="121" t="n">
        <v>20</v>
      </c>
      <c r="V5" s="122" t="n">
        <v>0.045</v>
      </c>
      <c r="W5" s="118" t="n">
        <f aca="false">IFERROR(IF(AND(R5="Yes",S5="Debt service",U5&gt;0),IF(V5=0,P5/U5,P5*V5/(1-(1+V5)^(-U5))),0),0)</f>
        <v>221018.914931638</v>
      </c>
      <c r="X5" s="123" t="n">
        <f aca="false">IFERROR(IF(OR(R5&lt;&gt;"Yes",Q5&lt;&gt;"City"),0,IF(S5="Cash capital",IF(T5&lt;=5,IF(O5&lt;&gt;"",O5,MAX(0,N(F5)+N(K5))*IF(N5&lt;&gt;"",N5,M5)),0),IF(S5="Debt service",IF(T5&gt;5,0,AI5*MAX(0,MIN(5-T5+1,U5))),IF(OR(S5="Annual O&amp;M",S5="Maintenance-only"),IF(T5&gt;5,0,IF(O5&lt;&gt;"",O5,MAX(0,N(F5)+N(K5))*IF(N5&lt;&gt;"",N5,M5))*MAX(0,5-T5+1)),0)))),0)</f>
        <v>1105094.57465819</v>
      </c>
      <c r="Y5" s="123" t="n">
        <f aca="false">IFERROR(IF(OR(R5&lt;&gt;"Yes",Q5&lt;&gt;"City"),0,IF(S5="Cash capital",IF(T5&lt;=10,IF(O5&lt;&gt;"",O5,MAX(0,N(G5)+N(K5))*IF(N5&lt;&gt;"",N5,M5)),0),IF(S5="Debt service",IF(T5&gt;10,0,AJ5*MAX(0,MIN(10-T5+1,U5))),IF(OR(S5="Annual O&amp;M",S5="Maintenance-only"),IF(T5&gt;10,0,IF(O5&lt;&gt;"",O5,MAX(0,N(G5)+N(K5))*IF(N5&lt;&gt;"",N5,M5))*MAX(0,10-T5+1)),0)))),0)</f>
        <v>2210189.14931638</v>
      </c>
      <c r="Z5" s="123" t="n">
        <f aca="false">IFERROR(IF(OR(R5&lt;&gt;"Yes",Q5&lt;&gt;"City"),0,IF(S5="Cash capital",IF(T5&lt;=15,IF(O5&lt;&gt;"",O5,MAX(0,N(H5)+N(K5))*IF(N5&lt;&gt;"",N5,M5)),0),IF(S5="Debt service",IF(T5&gt;15,0,AK5*MAX(0,MIN(15-T5+1,U5))),IF(OR(S5="Annual O&amp;M",S5="Maintenance-only"),IF(T5&gt;15,0,IF(O5&lt;&gt;"",O5,MAX(0,N(H5)+N(K5))*IF(N5&lt;&gt;"",N5,M5))*MAX(0,15-T5+1)),0)))),0)</f>
        <v>3315283.72397458</v>
      </c>
      <c r="AA5" s="123" t="n">
        <f aca="false">IFERROR(IF(OR(R5&lt;&gt;"Yes",Q5&lt;&gt;"City"),0,IF(S5="Cash capital",IF(T5&lt;=20,IF(O5&lt;&gt;"",O5,MAX(0,N(I5)+N(K5))*IF(N5&lt;&gt;"",N5,M5)),0),IF(S5="Debt service",IF(T5&gt;20,0,AL5*MAX(0,MIN(20-T5+1,U5))),IF(OR(S5="Annual O&amp;M",S5="Maintenance-only"),IF(T5&gt;20,0,IF(O5&lt;&gt;"",O5,MAX(0,N(I5)+N(K5))*IF(N5&lt;&gt;"",N5,M5))*MAX(0,20-T5+1)),0)))),0)</f>
        <v>4420378.29863277</v>
      </c>
      <c r="AB5" s="123" t="n">
        <f aca="false">IFERROR(IF(OR(R5&lt;&gt;"Yes",Q5&lt;&gt;"City"),0,IF(S5="Cash capital",IF(T5&lt;=30,IF(O5&lt;&gt;"",O5,MAX(0,N(J5)+N(K5))*IF(N5&lt;&gt;"",N5,M5)),0),IF(S5="Debt service",IF(T5&gt;30,0,AM5*MAX(0,MIN(30-T5+1,U5))),IF(OR(S5="Annual O&amp;M",S5="Maintenance-only"),IF(T5&gt;30,0,IF(O5&lt;&gt;"",O5,MAX(0,N(J5)+N(K5))*IF(N5&lt;&gt;"",N5,M5))*MAX(0,30-T5+1)),0)))),0)</f>
        <v>4420378.29863277</v>
      </c>
      <c r="AC5" s="123" t="n">
        <f aca="false">IFERROR(IF(OR(R5&lt;&gt;"Yes",Q5&lt;&gt;"ESD"),0,IF(S5="Cash capital",IF(T5&lt;=5,IF(O5&lt;&gt;"",O5,MAX(0,N(F5)+N(K5))*IF(N5&lt;&gt;"",N5,M5)),0),IF(S5="Debt service",IF(T5&gt;5,0,AI5*MAX(0,MIN(5-T5+1,U5))),IF(OR(S5="Annual O&amp;M",S5="Maintenance-only"),IF(T5&gt;5,0,IF(O5&lt;&gt;"",O5,MAX(0,N(F5)+N(K5))*IF(N5&lt;&gt;"",N5,M5))*MAX(0,5-T5+1)),0)))),0)</f>
        <v>0</v>
      </c>
      <c r="AD5" s="123" t="n">
        <f aca="false">IFERROR(IF(OR(R5&lt;&gt;"Yes",Q5&lt;&gt;"ESD"),0,IF(S5="Cash capital",IF(T5&lt;=10,IF(O5&lt;&gt;"",O5,MAX(0,N(G5)+N(K5))*IF(N5&lt;&gt;"",N5,M5)),0),IF(S5="Debt service",IF(T5&gt;10,0,AJ5*MAX(0,MIN(10-T5+1,U5))),IF(OR(S5="Annual O&amp;M",S5="Maintenance-only"),IF(T5&gt;10,0,IF(O5&lt;&gt;"",O5,MAX(0,N(G5)+N(K5))*IF(N5&lt;&gt;"",N5,M5))*MAX(0,10-T5+1)),0)))),0)</f>
        <v>0</v>
      </c>
      <c r="AE5" s="123" t="n">
        <f aca="false">IFERROR(IF(OR(R5&lt;&gt;"Yes",Q5&lt;&gt;"ESD"),0,IF(S5="Cash capital",IF(T5&lt;=15,IF(O5&lt;&gt;"",O5,MAX(0,N(H5)+N(K5))*IF(N5&lt;&gt;"",N5,M5)),0),IF(S5="Debt service",IF(T5&gt;15,0,AK5*MAX(0,MIN(15-T5+1,U5))),IF(OR(S5="Annual O&amp;M",S5="Maintenance-only"),IF(T5&gt;15,0,IF(O5&lt;&gt;"",O5,MAX(0,N(H5)+N(K5))*IF(N5&lt;&gt;"",N5,M5))*MAX(0,15-T5+1)),0)))),0)</f>
        <v>0</v>
      </c>
      <c r="AF5" s="123" t="n">
        <f aca="false">IFERROR(IF(OR(R5&lt;&gt;"Yes",Q5&lt;&gt;"ESD"),0,IF(S5="Cash capital",IF(T5&lt;=20,IF(O5&lt;&gt;"",O5,MAX(0,N(I5)+N(K5))*IF(N5&lt;&gt;"",N5,M5)),0),IF(S5="Debt service",IF(T5&gt;20,0,AL5*MAX(0,MIN(20-T5+1,U5))),IF(OR(S5="Annual O&amp;M",S5="Maintenance-only"),IF(T5&gt;20,0,IF(O5&lt;&gt;"",O5,MAX(0,N(I5)+N(K5))*IF(N5&lt;&gt;"",N5,M5))*MAX(0,20-T5+1)),0)))),0)</f>
        <v>0</v>
      </c>
      <c r="AG5" s="123" t="n">
        <f aca="false">IFERROR(IF(OR(R5&lt;&gt;"Yes",Q5&lt;&gt;"ESD"),0,IF(S5="Cash capital",IF(T5&lt;=30,IF(O5&lt;&gt;"",O5,MAX(0,N(J5)+N(K5))*IF(N5&lt;&gt;"",N5,M5)),0),IF(S5="Debt service",IF(T5&gt;30,0,AM5*MAX(0,MIN(30-T5+1,U5))),IF(OR(S5="Annual O&amp;M",S5="Maintenance-only"),IF(T5&gt;30,0,IF(O5&lt;&gt;"",O5,MAX(0,N(J5)+N(K5))*IF(N5&lt;&gt;"",N5,M5))*MAX(0,30-T5+1)),0)))),0)</f>
        <v>0</v>
      </c>
      <c r="AH5" s="124" t="s">
        <v>198</v>
      </c>
      <c r="AI5" s="115" t="n">
        <f aca="false">IFERROR(IF(U5&gt;0,IF(O5&lt;&gt;"",O5,MAX(0,N(F5)+N(K5))*IF(N5&lt;&gt;"",N5,M5))*IF(V5=0,1/U5,V5/(1-(1+V5)^(-U5))),0),0)</f>
        <v>221018.914931638</v>
      </c>
      <c r="AJ5" s="115" t="n">
        <f aca="false">IFERROR(IF(U5&gt;0,IF(O5&lt;&gt;"",O5,MAX(0,N(G5)+N(K5))*IF(N5&lt;&gt;"",N5,M5))*IF(V5=0,1/U5,V5/(1-(1+V5)^(-U5))),0),0)</f>
        <v>221018.914931638</v>
      </c>
      <c r="AK5" s="115" t="n">
        <f aca="false">IFERROR(IF(U5&gt;0,IF(O5&lt;&gt;"",O5,MAX(0,N(H5)+N(K5))*IF(N5&lt;&gt;"",N5,M5))*IF(V5=0,1/U5,V5/(1-(1+V5)^(-U5))),0),0)</f>
        <v>221018.914931638</v>
      </c>
      <c r="AL5" s="115" t="n">
        <f aca="false">IFERROR(IF(U5&gt;0,IF(O5&lt;&gt;"",O5,MAX(0,N(I5)+N(K5))*IF(N5&lt;&gt;"",N5,M5))*IF(V5=0,1/U5,V5/(1-(1+V5)^(-U5))),0),0)</f>
        <v>221018.914931638</v>
      </c>
      <c r="AM5" s="106" t="n">
        <f aca="false">IFERROR(IF(U5&gt;0,IF(O5&lt;&gt;"",O5,MAX(0,N(J5)+N(K5))*IF(N5&lt;&gt;"",N5,M5))*IF(V5=0,1/U5,V5/(1-(1+V5)^(-U5))),0),0)</f>
        <v>221018.914931638</v>
      </c>
    </row>
    <row r="6" customFormat="false" ht="28.5" hidden="false" customHeight="true" outlineLevel="0" collapsed="false">
      <c r="A6" s="106" t="s">
        <v>199</v>
      </c>
      <c r="B6" s="106" t="s">
        <v>190</v>
      </c>
      <c r="C6" s="106" t="s">
        <v>200</v>
      </c>
      <c r="D6" s="106" t="s">
        <v>201</v>
      </c>
      <c r="E6" s="106" t="s">
        <v>202</v>
      </c>
      <c r="F6" s="107" t="n">
        <f aca="false">IFERROR(ROUNDUP(('03_Multi_Horizon_Results'!$B$5*'12_Takeoff_Assumptions'!$B$2)/'12_Takeoff_Assumptions'!$B$9,0),0)</f>
        <v>23</v>
      </c>
      <c r="G6" s="107" t="n">
        <f aca="false">IFERROR(ROUNDUP(('03_Multi_Horizon_Results'!$C$5*'12_Takeoff_Assumptions'!$B$2)/'12_Takeoff_Assumptions'!$B$9,0),0)</f>
        <v>23</v>
      </c>
      <c r="H6" s="107" t="n">
        <f aca="false">IFERROR(ROUNDUP(('03_Multi_Horizon_Results'!$D$5*'12_Takeoff_Assumptions'!$B$2)/'12_Takeoff_Assumptions'!$B$9,0),0)</f>
        <v>23</v>
      </c>
      <c r="I6" s="107" t="n">
        <f aca="false">IFERROR(ROUNDUP(('03_Multi_Horizon_Results'!$E$5*'12_Takeoff_Assumptions'!$B$2)/'12_Takeoff_Assumptions'!$B$9,0),0)</f>
        <v>23</v>
      </c>
      <c r="J6" s="107" t="n">
        <f aca="false">IFERROR(ROUNDUP(('03_Multi_Horizon_Results'!$F$5*'12_Takeoff_Assumptions'!$B$2)/'12_Takeoff_Assumptions'!$B$9,0),0)</f>
        <v>23</v>
      </c>
      <c r="K6" s="108"/>
      <c r="L6" s="107" t="n">
        <f aca="false">MAX(0,N(G6)+N(K6))</f>
        <v>23</v>
      </c>
      <c r="M6" s="109" t="n">
        <v>7500</v>
      </c>
      <c r="N6" s="110"/>
      <c r="O6" s="110"/>
      <c r="P6" s="109" t="n">
        <f aca="false">IFERROR(IF(O6&lt;&gt;"",O6,L6*IF(N6&lt;&gt;"",N6,M6)),0)</f>
        <v>172500</v>
      </c>
      <c r="Q6" s="101" t="s">
        <v>190</v>
      </c>
      <c r="R6" s="101" t="s">
        <v>31</v>
      </c>
      <c r="S6" s="101" t="s">
        <v>194</v>
      </c>
      <c r="T6" s="111" t="n">
        <v>1</v>
      </c>
      <c r="U6" s="111" t="n">
        <v>20</v>
      </c>
      <c r="V6" s="112" t="n">
        <v>0.045</v>
      </c>
      <c r="W6" s="109" t="n">
        <f aca="false">IFERROR(IF(AND(R6="Yes",S6="Debt service",U6&gt;0),IF(V6=0,P6/U6,P6*V6/(1-(1+V6)^(-U6))),0),0)</f>
        <v>13261.1348958983</v>
      </c>
      <c r="X6" s="113" t="n">
        <f aca="false">IFERROR(IF(OR(R6&lt;&gt;"Yes",Q6&lt;&gt;"City"),0,IF(S6="Cash capital",IF(T6&lt;=5,IF(O6&lt;&gt;"",O6,MAX(0,N(F6)+N(K6))*IF(N6&lt;&gt;"",N6,M6)),0),IF(S6="Debt service",IF(T6&gt;5,0,AI6*MAX(0,MIN(5-T6+1,U6))),IF(OR(S6="Annual O&amp;M",S6="Maintenance-only"),IF(T6&gt;5,0,IF(O6&lt;&gt;"",O6,MAX(0,N(F6)+N(K6))*IF(N6&lt;&gt;"",N6,M6))*MAX(0,5-T6+1)),0)))),0)</f>
        <v>66305.6744794915</v>
      </c>
      <c r="Y6" s="113" t="n">
        <f aca="false">IFERROR(IF(OR(R6&lt;&gt;"Yes",Q6&lt;&gt;"City"),0,IF(S6="Cash capital",IF(T6&lt;=10,IF(O6&lt;&gt;"",O6,MAX(0,N(G6)+N(K6))*IF(N6&lt;&gt;"",N6,M6)),0),IF(S6="Debt service",IF(T6&gt;10,0,AJ6*MAX(0,MIN(10-T6+1,U6))),IF(OR(S6="Annual O&amp;M",S6="Maintenance-only"),IF(T6&gt;10,0,IF(O6&lt;&gt;"",O6,MAX(0,N(G6)+N(K6))*IF(N6&lt;&gt;"",N6,M6))*MAX(0,10-T6+1)),0)))),0)</f>
        <v>132611.348958983</v>
      </c>
      <c r="Z6" s="113" t="n">
        <f aca="false">IFERROR(IF(OR(R6&lt;&gt;"Yes",Q6&lt;&gt;"City"),0,IF(S6="Cash capital",IF(T6&lt;=15,IF(O6&lt;&gt;"",O6,MAX(0,N(H6)+N(K6))*IF(N6&lt;&gt;"",N6,M6)),0),IF(S6="Debt service",IF(T6&gt;15,0,AK6*MAX(0,MIN(15-T6+1,U6))),IF(OR(S6="Annual O&amp;M",S6="Maintenance-only"),IF(T6&gt;15,0,IF(O6&lt;&gt;"",O6,MAX(0,N(H6)+N(K6))*IF(N6&lt;&gt;"",N6,M6))*MAX(0,15-T6+1)),0)))),0)</f>
        <v>198917.023438475</v>
      </c>
      <c r="AA6" s="113" t="n">
        <f aca="false">IFERROR(IF(OR(R6&lt;&gt;"Yes",Q6&lt;&gt;"City"),0,IF(S6="Cash capital",IF(T6&lt;=20,IF(O6&lt;&gt;"",O6,MAX(0,N(I6)+N(K6))*IF(N6&lt;&gt;"",N6,M6)),0),IF(S6="Debt service",IF(T6&gt;20,0,AL6*MAX(0,MIN(20-T6+1,U6))),IF(OR(S6="Annual O&amp;M",S6="Maintenance-only"),IF(T6&gt;20,0,IF(O6&lt;&gt;"",O6,MAX(0,N(I6)+N(K6))*IF(N6&lt;&gt;"",N6,M6))*MAX(0,20-T6+1)),0)))),0)</f>
        <v>265222.697917966</v>
      </c>
      <c r="AB6" s="113" t="n">
        <f aca="false">IFERROR(IF(OR(R6&lt;&gt;"Yes",Q6&lt;&gt;"City"),0,IF(S6="Cash capital",IF(T6&lt;=30,IF(O6&lt;&gt;"",O6,MAX(0,N(J6)+N(K6))*IF(N6&lt;&gt;"",N6,M6)),0),IF(S6="Debt service",IF(T6&gt;30,0,AM6*MAX(0,MIN(30-T6+1,U6))),IF(OR(S6="Annual O&amp;M",S6="Maintenance-only"),IF(T6&gt;30,0,IF(O6&lt;&gt;"",O6,MAX(0,N(J6)+N(K6))*IF(N6&lt;&gt;"",N6,M6))*MAX(0,30-T6+1)),0)))),0)</f>
        <v>265222.697917966</v>
      </c>
      <c r="AC6" s="113" t="n">
        <f aca="false">IFERROR(IF(OR(R6&lt;&gt;"Yes",Q6&lt;&gt;"ESD"),0,IF(S6="Cash capital",IF(T6&lt;=5,IF(O6&lt;&gt;"",O6,MAX(0,N(F6)+N(K6))*IF(N6&lt;&gt;"",N6,M6)),0),IF(S6="Debt service",IF(T6&gt;5,0,AI6*MAX(0,MIN(5-T6+1,U6))),IF(OR(S6="Annual O&amp;M",S6="Maintenance-only"),IF(T6&gt;5,0,IF(O6&lt;&gt;"",O6,MAX(0,N(F6)+N(K6))*IF(N6&lt;&gt;"",N6,M6))*MAX(0,5-T6+1)),0)))),0)</f>
        <v>0</v>
      </c>
      <c r="AD6" s="113" t="n">
        <f aca="false">IFERROR(IF(OR(R6&lt;&gt;"Yes",Q6&lt;&gt;"ESD"),0,IF(S6="Cash capital",IF(T6&lt;=10,IF(O6&lt;&gt;"",O6,MAX(0,N(G6)+N(K6))*IF(N6&lt;&gt;"",N6,M6)),0),IF(S6="Debt service",IF(T6&gt;10,0,AJ6*MAX(0,MIN(10-T6+1,U6))),IF(OR(S6="Annual O&amp;M",S6="Maintenance-only"),IF(T6&gt;10,0,IF(O6&lt;&gt;"",O6,MAX(0,N(G6)+N(K6))*IF(N6&lt;&gt;"",N6,M6))*MAX(0,10-T6+1)),0)))),0)</f>
        <v>0</v>
      </c>
      <c r="AE6" s="113" t="n">
        <f aca="false">IFERROR(IF(OR(R6&lt;&gt;"Yes",Q6&lt;&gt;"ESD"),0,IF(S6="Cash capital",IF(T6&lt;=15,IF(O6&lt;&gt;"",O6,MAX(0,N(H6)+N(K6))*IF(N6&lt;&gt;"",N6,M6)),0),IF(S6="Debt service",IF(T6&gt;15,0,AK6*MAX(0,MIN(15-T6+1,U6))),IF(OR(S6="Annual O&amp;M",S6="Maintenance-only"),IF(T6&gt;15,0,IF(O6&lt;&gt;"",O6,MAX(0,N(H6)+N(K6))*IF(N6&lt;&gt;"",N6,M6))*MAX(0,15-T6+1)),0)))),0)</f>
        <v>0</v>
      </c>
      <c r="AF6" s="113" t="n">
        <f aca="false">IFERROR(IF(OR(R6&lt;&gt;"Yes",Q6&lt;&gt;"ESD"),0,IF(S6="Cash capital",IF(T6&lt;=20,IF(O6&lt;&gt;"",O6,MAX(0,N(I6)+N(K6))*IF(N6&lt;&gt;"",N6,M6)),0),IF(S6="Debt service",IF(T6&gt;20,0,AL6*MAX(0,MIN(20-T6+1,U6))),IF(OR(S6="Annual O&amp;M",S6="Maintenance-only"),IF(T6&gt;20,0,IF(O6&lt;&gt;"",O6,MAX(0,N(I6)+N(K6))*IF(N6&lt;&gt;"",N6,M6))*MAX(0,20-T6+1)),0)))),0)</f>
        <v>0</v>
      </c>
      <c r="AG6" s="113" t="n">
        <f aca="false">IFERROR(IF(OR(R6&lt;&gt;"Yes",Q6&lt;&gt;"ESD"),0,IF(S6="Cash capital",IF(T6&lt;=30,IF(O6&lt;&gt;"",O6,MAX(0,N(J6)+N(K6))*IF(N6&lt;&gt;"",N6,M6)),0),IF(S6="Debt service",IF(T6&gt;30,0,AM6*MAX(0,MIN(30-T6+1,U6))),IF(OR(S6="Annual O&amp;M",S6="Maintenance-only"),IF(T6&gt;30,0,IF(O6&lt;&gt;"",O6,MAX(0,N(J6)+N(K6))*IF(N6&lt;&gt;"",N6,M6))*MAX(0,30-T6+1)),0)))),0)</f>
        <v>0</v>
      </c>
      <c r="AH6" s="114" t="s">
        <v>203</v>
      </c>
      <c r="AI6" s="106" t="n">
        <f aca="false">IFERROR(IF(U6&gt;0,IF(O6&lt;&gt;"",O6,MAX(0,N(F6)+N(K6))*IF(N6&lt;&gt;"",N6,M6))*IF(V6=0,1/U6,V6/(1-(1+V6)^(-U6))),0),0)</f>
        <v>13261.1348958983</v>
      </c>
      <c r="AJ6" s="106" t="n">
        <f aca="false">IFERROR(IF(U6&gt;0,IF(O6&lt;&gt;"",O6,MAX(0,N(G6)+N(K6))*IF(N6&lt;&gt;"",N6,M6))*IF(V6=0,1/U6,V6/(1-(1+V6)^(-U6))),0),0)</f>
        <v>13261.1348958983</v>
      </c>
      <c r="AK6" s="106" t="n">
        <f aca="false">IFERROR(IF(U6&gt;0,IF(O6&lt;&gt;"",O6,MAX(0,N(H6)+N(K6))*IF(N6&lt;&gt;"",N6,M6))*IF(V6=0,1/U6,V6/(1-(1+V6)^(-U6))),0),0)</f>
        <v>13261.1348958983</v>
      </c>
      <c r="AL6" s="106" t="n">
        <f aca="false">IFERROR(IF(U6&gt;0,IF(O6&lt;&gt;"",O6,MAX(0,N(I6)+N(K6))*IF(N6&lt;&gt;"",N6,M6))*IF(V6=0,1/U6,V6/(1-(1+V6)^(-U6))),0),0)</f>
        <v>13261.1348958983</v>
      </c>
      <c r="AM6" s="106" t="n">
        <f aca="false">IFERROR(IF(U6&gt;0,IF(O6&lt;&gt;"",O6,MAX(0,N(J6)+N(K6))*IF(N6&lt;&gt;"",N6,M6))*IF(V6=0,1/U6,V6/(1-(1+V6)^(-U6))),0),0)</f>
        <v>13261.1348958983</v>
      </c>
    </row>
    <row r="7" customFormat="false" ht="14.25" hidden="false" customHeight="true" outlineLevel="0" collapsed="false">
      <c r="A7" s="115" t="s">
        <v>204</v>
      </c>
      <c r="B7" s="115" t="s">
        <v>190</v>
      </c>
      <c r="C7" s="115" t="s">
        <v>205</v>
      </c>
      <c r="D7" s="115" t="s">
        <v>201</v>
      </c>
      <c r="E7" s="115" t="s">
        <v>206</v>
      </c>
      <c r="F7" s="116" t="n">
        <f aca="false">IF((('03_Multi_Horizon_Results'!$B$22/'Advanced Inputs'!$D$50)*'12_Takeoff_Assumptions'!$B$13/1000000)&gt;'12_Takeoff_Assumptions'!$B$16,ROUNDUP((('03_Multi_Horizon_Results'!$B$22/'Advanced Inputs'!$D$50)*'12_Takeoff_Assumptions'!$B$13/1000000)/'12_Takeoff_Assumptions'!$B$16,0),0)</f>
        <v>0</v>
      </c>
      <c r="G7" s="116" t="n">
        <f aca="false">IF((('03_Multi_Horizon_Results'!$C$22/'Advanced Inputs'!$D$50)*'12_Takeoff_Assumptions'!$B$13/1000000)&gt;'12_Takeoff_Assumptions'!$B$16,ROUNDUP((('03_Multi_Horizon_Results'!$C$22/'Advanced Inputs'!$D$50)*'12_Takeoff_Assumptions'!$B$13/1000000)/'12_Takeoff_Assumptions'!$B$16,0),0)</f>
        <v>0</v>
      </c>
      <c r="H7" s="116" t="n">
        <f aca="false">IF((('03_Multi_Horizon_Results'!$D$22/'Advanced Inputs'!$D$50)*'12_Takeoff_Assumptions'!$B$13/1000000)&gt;'12_Takeoff_Assumptions'!$B$16,ROUNDUP((('03_Multi_Horizon_Results'!$D$22/'Advanced Inputs'!$D$50)*'12_Takeoff_Assumptions'!$B$13/1000000)/'12_Takeoff_Assumptions'!$B$16,0),0)</f>
        <v>0</v>
      </c>
      <c r="I7" s="116" t="n">
        <f aca="false">IF((('03_Multi_Horizon_Results'!$E$22/'Advanced Inputs'!$D$50)*'12_Takeoff_Assumptions'!$B$13/1000000)&gt;'12_Takeoff_Assumptions'!$B$16,ROUNDUP((('03_Multi_Horizon_Results'!$E$22/'Advanced Inputs'!$D$50)*'12_Takeoff_Assumptions'!$B$13/1000000)/'12_Takeoff_Assumptions'!$B$16,0),0)</f>
        <v>0</v>
      </c>
      <c r="J7" s="116" t="n">
        <f aca="false">IF((('03_Multi_Horizon_Results'!$F$22/'Advanced Inputs'!$D$50)*'12_Takeoff_Assumptions'!$B$13/1000000)&gt;'12_Takeoff_Assumptions'!$B$16,ROUNDUP((('03_Multi_Horizon_Results'!$F$22/'Advanced Inputs'!$D$50)*'12_Takeoff_Assumptions'!$B$13/1000000)/'12_Takeoff_Assumptions'!$B$16,0),0)</f>
        <v>0</v>
      </c>
      <c r="K7" s="117"/>
      <c r="L7" s="116" t="n">
        <f aca="false">MAX(0,N(G7)+N(K7))</f>
        <v>0</v>
      </c>
      <c r="M7" s="118" t="n">
        <v>1500000</v>
      </c>
      <c r="N7" s="119"/>
      <c r="O7" s="119"/>
      <c r="P7" s="118" t="n">
        <f aca="false">IFERROR(IF(O7&lt;&gt;"",O7,L7*IF(N7&lt;&gt;"",N7,M7)),0)</f>
        <v>0</v>
      </c>
      <c r="Q7" s="120" t="s">
        <v>190</v>
      </c>
      <c r="R7" s="120" t="s">
        <v>31</v>
      </c>
      <c r="S7" s="120" t="s">
        <v>194</v>
      </c>
      <c r="T7" s="121" t="n">
        <v>1</v>
      </c>
      <c r="U7" s="121" t="n">
        <v>20</v>
      </c>
      <c r="V7" s="122" t="n">
        <v>0.045</v>
      </c>
      <c r="W7" s="118" t="n">
        <f aca="false">IFERROR(IF(AND(R7="Yes",S7="Debt service",U7&gt;0),IF(V7=0,P7/U7,P7*V7/(1-(1+V7)^(-U7))),0),0)</f>
        <v>0</v>
      </c>
      <c r="X7" s="123" t="n">
        <f aca="false">IFERROR(IF(OR(R7&lt;&gt;"Yes",Q7&lt;&gt;"City"),0,IF(S7="Cash capital",IF(T7&lt;=5,IF(O7&lt;&gt;"",O7,MAX(0,N(F7)+N(K7))*IF(N7&lt;&gt;"",N7,M7)),0),IF(S7="Debt service",IF(T7&gt;5,0,AI7*MAX(0,MIN(5-T7+1,U7))),IF(OR(S7="Annual O&amp;M",S7="Maintenance-only"),IF(T7&gt;5,0,IF(O7&lt;&gt;"",O7,MAX(0,N(F7)+N(K7))*IF(N7&lt;&gt;"",N7,M7))*MAX(0,5-T7+1)),0)))),0)</f>
        <v>0</v>
      </c>
      <c r="Y7" s="123" t="n">
        <f aca="false">IFERROR(IF(OR(R7&lt;&gt;"Yes",Q7&lt;&gt;"City"),0,IF(S7="Cash capital",IF(T7&lt;=10,IF(O7&lt;&gt;"",O7,MAX(0,N(G7)+N(K7))*IF(N7&lt;&gt;"",N7,M7)),0),IF(S7="Debt service",IF(T7&gt;10,0,AJ7*MAX(0,MIN(10-T7+1,U7))),IF(OR(S7="Annual O&amp;M",S7="Maintenance-only"),IF(T7&gt;10,0,IF(O7&lt;&gt;"",O7,MAX(0,N(G7)+N(K7))*IF(N7&lt;&gt;"",N7,M7))*MAX(0,10-T7+1)),0)))),0)</f>
        <v>0</v>
      </c>
      <c r="Z7" s="123" t="n">
        <f aca="false">IFERROR(IF(OR(R7&lt;&gt;"Yes",Q7&lt;&gt;"City"),0,IF(S7="Cash capital",IF(T7&lt;=15,IF(O7&lt;&gt;"",O7,MAX(0,N(H7)+N(K7))*IF(N7&lt;&gt;"",N7,M7)),0),IF(S7="Debt service",IF(T7&gt;15,0,AK7*MAX(0,MIN(15-T7+1,U7))),IF(OR(S7="Annual O&amp;M",S7="Maintenance-only"),IF(T7&gt;15,0,IF(O7&lt;&gt;"",O7,MAX(0,N(H7)+N(K7))*IF(N7&lt;&gt;"",N7,M7))*MAX(0,15-T7+1)),0)))),0)</f>
        <v>0</v>
      </c>
      <c r="AA7" s="123" t="n">
        <f aca="false">IFERROR(IF(OR(R7&lt;&gt;"Yes",Q7&lt;&gt;"City"),0,IF(S7="Cash capital",IF(T7&lt;=20,IF(O7&lt;&gt;"",O7,MAX(0,N(I7)+N(K7))*IF(N7&lt;&gt;"",N7,M7)),0),IF(S7="Debt service",IF(T7&gt;20,0,AL7*MAX(0,MIN(20-T7+1,U7))),IF(OR(S7="Annual O&amp;M",S7="Maintenance-only"),IF(T7&gt;20,0,IF(O7&lt;&gt;"",O7,MAX(0,N(I7)+N(K7))*IF(N7&lt;&gt;"",N7,M7))*MAX(0,20-T7+1)),0)))),0)</f>
        <v>0</v>
      </c>
      <c r="AB7" s="123" t="n">
        <f aca="false">IFERROR(IF(OR(R7&lt;&gt;"Yes",Q7&lt;&gt;"City"),0,IF(S7="Cash capital",IF(T7&lt;=30,IF(O7&lt;&gt;"",O7,MAX(0,N(J7)+N(K7))*IF(N7&lt;&gt;"",N7,M7)),0),IF(S7="Debt service",IF(T7&gt;30,0,AM7*MAX(0,MIN(30-T7+1,U7))),IF(OR(S7="Annual O&amp;M",S7="Maintenance-only"),IF(T7&gt;30,0,IF(O7&lt;&gt;"",O7,MAX(0,N(J7)+N(K7))*IF(N7&lt;&gt;"",N7,M7))*MAX(0,30-T7+1)),0)))),0)</f>
        <v>0</v>
      </c>
      <c r="AC7" s="123" t="n">
        <f aca="false">IFERROR(IF(OR(R7&lt;&gt;"Yes",Q7&lt;&gt;"ESD"),0,IF(S7="Cash capital",IF(T7&lt;=5,IF(O7&lt;&gt;"",O7,MAX(0,N(F7)+N(K7))*IF(N7&lt;&gt;"",N7,M7)),0),IF(S7="Debt service",IF(T7&gt;5,0,AI7*MAX(0,MIN(5-T7+1,U7))),IF(OR(S7="Annual O&amp;M",S7="Maintenance-only"),IF(T7&gt;5,0,IF(O7&lt;&gt;"",O7,MAX(0,N(F7)+N(K7))*IF(N7&lt;&gt;"",N7,M7))*MAX(0,5-T7+1)),0)))),0)</f>
        <v>0</v>
      </c>
      <c r="AD7" s="123" t="n">
        <f aca="false">IFERROR(IF(OR(R7&lt;&gt;"Yes",Q7&lt;&gt;"ESD"),0,IF(S7="Cash capital",IF(T7&lt;=10,IF(O7&lt;&gt;"",O7,MAX(0,N(G7)+N(K7))*IF(N7&lt;&gt;"",N7,M7)),0),IF(S7="Debt service",IF(T7&gt;10,0,AJ7*MAX(0,MIN(10-T7+1,U7))),IF(OR(S7="Annual O&amp;M",S7="Maintenance-only"),IF(T7&gt;10,0,IF(O7&lt;&gt;"",O7,MAX(0,N(G7)+N(K7))*IF(N7&lt;&gt;"",N7,M7))*MAX(0,10-T7+1)),0)))),0)</f>
        <v>0</v>
      </c>
      <c r="AE7" s="123" t="n">
        <f aca="false">IFERROR(IF(OR(R7&lt;&gt;"Yes",Q7&lt;&gt;"ESD"),0,IF(S7="Cash capital",IF(T7&lt;=15,IF(O7&lt;&gt;"",O7,MAX(0,N(H7)+N(K7))*IF(N7&lt;&gt;"",N7,M7)),0),IF(S7="Debt service",IF(T7&gt;15,0,AK7*MAX(0,MIN(15-T7+1,U7))),IF(OR(S7="Annual O&amp;M",S7="Maintenance-only"),IF(T7&gt;15,0,IF(O7&lt;&gt;"",O7,MAX(0,N(H7)+N(K7))*IF(N7&lt;&gt;"",N7,M7))*MAX(0,15-T7+1)),0)))),0)</f>
        <v>0</v>
      </c>
      <c r="AF7" s="123" t="n">
        <f aca="false">IFERROR(IF(OR(R7&lt;&gt;"Yes",Q7&lt;&gt;"ESD"),0,IF(S7="Cash capital",IF(T7&lt;=20,IF(O7&lt;&gt;"",O7,MAX(0,N(I7)+N(K7))*IF(N7&lt;&gt;"",N7,M7)),0),IF(S7="Debt service",IF(T7&gt;20,0,AL7*MAX(0,MIN(20-T7+1,U7))),IF(OR(S7="Annual O&amp;M",S7="Maintenance-only"),IF(T7&gt;20,0,IF(O7&lt;&gt;"",O7,MAX(0,N(I7)+N(K7))*IF(N7&lt;&gt;"",N7,M7))*MAX(0,20-T7+1)),0)))),0)</f>
        <v>0</v>
      </c>
      <c r="AG7" s="123" t="n">
        <f aca="false">IFERROR(IF(OR(R7&lt;&gt;"Yes",Q7&lt;&gt;"ESD"),0,IF(S7="Cash capital",IF(T7&lt;=30,IF(O7&lt;&gt;"",O7,MAX(0,N(J7)+N(K7))*IF(N7&lt;&gt;"",N7,M7)),0),IF(S7="Debt service",IF(T7&gt;30,0,AM7*MAX(0,MIN(30-T7+1,U7))),IF(OR(S7="Annual O&amp;M",S7="Maintenance-only"),IF(T7&gt;30,0,IF(O7&lt;&gt;"",O7,MAX(0,N(J7)+N(K7))*IF(N7&lt;&gt;"",N7,M7))*MAX(0,30-T7+1)),0)))),0)</f>
        <v>0</v>
      </c>
      <c r="AH7" s="124" t="s">
        <v>207</v>
      </c>
      <c r="AI7" s="115" t="n">
        <f aca="false">IFERROR(IF(U7&gt;0,IF(O7&lt;&gt;"",O7,MAX(0,N(F7)+N(K7))*IF(N7&lt;&gt;"",N7,M7))*IF(V7=0,1/U7,V7/(1-(1+V7)^(-U7))),0),0)</f>
        <v>0</v>
      </c>
      <c r="AJ7" s="115" t="n">
        <f aca="false">IFERROR(IF(U7&gt;0,IF(O7&lt;&gt;"",O7,MAX(0,N(G7)+N(K7))*IF(N7&lt;&gt;"",N7,M7))*IF(V7=0,1/U7,V7/(1-(1+V7)^(-U7))),0),0)</f>
        <v>0</v>
      </c>
      <c r="AK7" s="115" t="n">
        <f aca="false">IFERROR(IF(U7&gt;0,IF(O7&lt;&gt;"",O7,MAX(0,N(H7)+N(K7))*IF(N7&lt;&gt;"",N7,M7))*IF(V7=0,1/U7,V7/(1-(1+V7)^(-U7))),0),0)</f>
        <v>0</v>
      </c>
      <c r="AL7" s="115" t="n">
        <f aca="false">IFERROR(IF(U7&gt;0,IF(O7&lt;&gt;"",O7,MAX(0,N(I7)+N(K7))*IF(N7&lt;&gt;"",N7,M7))*IF(V7=0,1/U7,V7/(1-(1+V7)^(-U7))),0),0)</f>
        <v>0</v>
      </c>
      <c r="AM7" s="106" t="n">
        <f aca="false">IFERROR(IF(U7&gt;0,IF(O7&lt;&gt;"",O7,MAX(0,N(J7)+N(K7))*IF(N7&lt;&gt;"",N7,M7))*IF(V7=0,1/U7,V7/(1-(1+V7)^(-U7))),0),0)</f>
        <v>0</v>
      </c>
    </row>
    <row r="8" customFormat="false" ht="14.25" hidden="false" customHeight="true" outlineLevel="0" collapsed="false">
      <c r="A8" s="106" t="s">
        <v>208</v>
      </c>
      <c r="B8" s="106" t="s">
        <v>190</v>
      </c>
      <c r="C8" s="106" t="s">
        <v>191</v>
      </c>
      <c r="D8" s="106" t="s">
        <v>192</v>
      </c>
      <c r="E8" s="106" t="s">
        <v>209</v>
      </c>
      <c r="F8" s="107" t="n">
        <f aca="false">'03_Multi_Horizon_Results'!$B$5*'12_Takeoff_Assumptions'!$B$4</f>
        <v>8625</v>
      </c>
      <c r="G8" s="107" t="n">
        <f aca="false">'03_Multi_Horizon_Results'!$C$5*'12_Takeoff_Assumptions'!$B$4</f>
        <v>8625</v>
      </c>
      <c r="H8" s="107" t="n">
        <f aca="false">'03_Multi_Horizon_Results'!$D$5*'12_Takeoff_Assumptions'!$B$4</f>
        <v>8625</v>
      </c>
      <c r="I8" s="107" t="n">
        <f aca="false">'03_Multi_Horizon_Results'!$E$5*'12_Takeoff_Assumptions'!$B$4</f>
        <v>8625</v>
      </c>
      <c r="J8" s="107" t="n">
        <f aca="false">'03_Multi_Horizon_Results'!$F$5*'12_Takeoff_Assumptions'!$B$4</f>
        <v>8625</v>
      </c>
      <c r="K8" s="108"/>
      <c r="L8" s="107" t="n">
        <f aca="false">MAX(0,N(G8)+N(K8))</f>
        <v>8625</v>
      </c>
      <c r="M8" s="109" t="n">
        <v>325</v>
      </c>
      <c r="N8" s="110"/>
      <c r="O8" s="110"/>
      <c r="P8" s="109" t="n">
        <f aca="false">IFERROR(IF(O8&lt;&gt;"",O8,L8*IF(N8&lt;&gt;"",N8,M8)),0)</f>
        <v>2803125</v>
      </c>
      <c r="Q8" s="101" t="s">
        <v>190</v>
      </c>
      <c r="R8" s="101" t="s">
        <v>31</v>
      </c>
      <c r="S8" s="101" t="s">
        <v>194</v>
      </c>
      <c r="T8" s="111" t="n">
        <v>1</v>
      </c>
      <c r="U8" s="111" t="n">
        <v>20</v>
      </c>
      <c r="V8" s="112" t="n">
        <v>0.045</v>
      </c>
      <c r="W8" s="109" t="n">
        <f aca="false">IFERROR(IF(AND(R8="Yes",S8="Debt service",U8&gt;0),IF(V8=0,P8/U8,P8*V8/(1-(1+V8)^(-U8))),0),0)</f>
        <v>215493.442058347</v>
      </c>
      <c r="X8" s="113" t="n">
        <f aca="false">IFERROR(IF(OR(R8&lt;&gt;"Yes",Q8&lt;&gt;"City"),0,IF(S8="Cash capital",IF(T8&lt;=5,IF(O8&lt;&gt;"",O8,MAX(0,N(F8)+N(K8))*IF(N8&lt;&gt;"",N8,M8)),0),IF(S8="Debt service",IF(T8&gt;5,0,AI8*MAX(0,MIN(5-T8+1,U8))),IF(OR(S8="Annual O&amp;M",S8="Maintenance-only"),IF(T8&gt;5,0,IF(O8&lt;&gt;"",O8,MAX(0,N(F8)+N(K8))*IF(N8&lt;&gt;"",N8,M8))*MAX(0,5-T8+1)),0)))),0)</f>
        <v>1077467.21029174</v>
      </c>
      <c r="Y8" s="113" t="n">
        <f aca="false">IFERROR(IF(OR(R8&lt;&gt;"Yes",Q8&lt;&gt;"City"),0,IF(S8="Cash capital",IF(T8&lt;=10,IF(O8&lt;&gt;"",O8,MAX(0,N(G8)+N(K8))*IF(N8&lt;&gt;"",N8,M8)),0),IF(S8="Debt service",IF(T8&gt;10,0,AJ8*MAX(0,MIN(10-T8+1,U8))),IF(OR(S8="Annual O&amp;M",S8="Maintenance-only"),IF(T8&gt;10,0,IF(O8&lt;&gt;"",O8,MAX(0,N(G8)+N(K8))*IF(N8&lt;&gt;"",N8,M8))*MAX(0,10-T8+1)),0)))),0)</f>
        <v>2154934.42058347</v>
      </c>
      <c r="Z8" s="113" t="n">
        <f aca="false">IFERROR(IF(OR(R8&lt;&gt;"Yes",Q8&lt;&gt;"City"),0,IF(S8="Cash capital",IF(T8&lt;=15,IF(O8&lt;&gt;"",O8,MAX(0,N(H8)+N(K8))*IF(N8&lt;&gt;"",N8,M8)),0),IF(S8="Debt service",IF(T8&gt;15,0,AK8*MAX(0,MIN(15-T8+1,U8))),IF(OR(S8="Annual O&amp;M",S8="Maintenance-only"),IF(T8&gt;15,0,IF(O8&lt;&gt;"",O8,MAX(0,N(H8)+N(K8))*IF(N8&lt;&gt;"",N8,M8))*MAX(0,15-T8+1)),0)))),0)</f>
        <v>3232401.63087521</v>
      </c>
      <c r="AA8" s="113" t="n">
        <f aca="false">IFERROR(IF(OR(R8&lt;&gt;"Yes",Q8&lt;&gt;"City"),0,IF(S8="Cash capital",IF(T8&lt;=20,IF(O8&lt;&gt;"",O8,MAX(0,N(I8)+N(K8))*IF(N8&lt;&gt;"",N8,M8)),0),IF(S8="Debt service",IF(T8&gt;20,0,AL8*MAX(0,MIN(20-T8+1,U8))),IF(OR(S8="Annual O&amp;M",S8="Maintenance-only"),IF(T8&gt;20,0,IF(O8&lt;&gt;"",O8,MAX(0,N(I8)+N(K8))*IF(N8&lt;&gt;"",N8,M8))*MAX(0,20-T8+1)),0)))),0)</f>
        <v>4309868.84116695</v>
      </c>
      <c r="AB8" s="113" t="n">
        <f aca="false">IFERROR(IF(OR(R8&lt;&gt;"Yes",Q8&lt;&gt;"City"),0,IF(S8="Cash capital",IF(T8&lt;=30,IF(O8&lt;&gt;"",O8,MAX(0,N(J8)+N(K8))*IF(N8&lt;&gt;"",N8,M8)),0),IF(S8="Debt service",IF(T8&gt;30,0,AM8*MAX(0,MIN(30-T8+1,U8))),IF(OR(S8="Annual O&amp;M",S8="Maintenance-only"),IF(T8&gt;30,0,IF(O8&lt;&gt;"",O8,MAX(0,N(J8)+N(K8))*IF(N8&lt;&gt;"",N8,M8))*MAX(0,30-T8+1)),0)))),0)</f>
        <v>4309868.84116695</v>
      </c>
      <c r="AC8" s="113" t="n">
        <f aca="false">IFERROR(IF(OR(R8&lt;&gt;"Yes",Q8&lt;&gt;"ESD"),0,IF(S8="Cash capital",IF(T8&lt;=5,IF(O8&lt;&gt;"",O8,MAX(0,N(F8)+N(K8))*IF(N8&lt;&gt;"",N8,M8)),0),IF(S8="Debt service",IF(T8&gt;5,0,AI8*MAX(0,MIN(5-T8+1,U8))),IF(OR(S8="Annual O&amp;M",S8="Maintenance-only"),IF(T8&gt;5,0,IF(O8&lt;&gt;"",O8,MAX(0,N(F8)+N(K8))*IF(N8&lt;&gt;"",N8,M8))*MAX(0,5-T8+1)),0)))),0)</f>
        <v>0</v>
      </c>
      <c r="AD8" s="113" t="n">
        <f aca="false">IFERROR(IF(OR(R8&lt;&gt;"Yes",Q8&lt;&gt;"ESD"),0,IF(S8="Cash capital",IF(T8&lt;=10,IF(O8&lt;&gt;"",O8,MAX(0,N(G8)+N(K8))*IF(N8&lt;&gt;"",N8,M8)),0),IF(S8="Debt service",IF(T8&gt;10,0,AJ8*MAX(0,MIN(10-T8+1,U8))),IF(OR(S8="Annual O&amp;M",S8="Maintenance-only"),IF(T8&gt;10,0,IF(O8&lt;&gt;"",O8,MAX(0,N(G8)+N(K8))*IF(N8&lt;&gt;"",N8,M8))*MAX(0,10-T8+1)),0)))),0)</f>
        <v>0</v>
      </c>
      <c r="AE8" s="113" t="n">
        <f aca="false">IFERROR(IF(OR(R8&lt;&gt;"Yes",Q8&lt;&gt;"ESD"),0,IF(S8="Cash capital",IF(T8&lt;=15,IF(O8&lt;&gt;"",O8,MAX(0,N(H8)+N(K8))*IF(N8&lt;&gt;"",N8,M8)),0),IF(S8="Debt service",IF(T8&gt;15,0,AK8*MAX(0,MIN(15-T8+1,U8))),IF(OR(S8="Annual O&amp;M",S8="Maintenance-only"),IF(T8&gt;15,0,IF(O8&lt;&gt;"",O8,MAX(0,N(H8)+N(K8))*IF(N8&lt;&gt;"",N8,M8))*MAX(0,15-T8+1)),0)))),0)</f>
        <v>0</v>
      </c>
      <c r="AF8" s="113" t="n">
        <f aca="false">IFERROR(IF(OR(R8&lt;&gt;"Yes",Q8&lt;&gt;"ESD"),0,IF(S8="Cash capital",IF(T8&lt;=20,IF(O8&lt;&gt;"",O8,MAX(0,N(I8)+N(K8))*IF(N8&lt;&gt;"",N8,M8)),0),IF(S8="Debt service",IF(T8&gt;20,0,AL8*MAX(0,MIN(20-T8+1,U8))),IF(OR(S8="Annual O&amp;M",S8="Maintenance-only"),IF(T8&gt;20,0,IF(O8&lt;&gt;"",O8,MAX(0,N(I8)+N(K8))*IF(N8&lt;&gt;"",N8,M8))*MAX(0,20-T8+1)),0)))),0)</f>
        <v>0</v>
      </c>
      <c r="AG8" s="113" t="n">
        <f aca="false">IFERROR(IF(OR(R8&lt;&gt;"Yes",Q8&lt;&gt;"ESD"),0,IF(S8="Cash capital",IF(T8&lt;=30,IF(O8&lt;&gt;"",O8,MAX(0,N(J8)+N(K8))*IF(N8&lt;&gt;"",N8,M8)),0),IF(S8="Debt service",IF(T8&gt;30,0,AM8*MAX(0,MIN(30-T8+1,U8))),IF(OR(S8="Annual O&amp;M",S8="Maintenance-only"),IF(T8&gt;30,0,IF(O8&lt;&gt;"",O8,MAX(0,N(J8)+N(K8))*IF(N8&lt;&gt;"",N8,M8))*MAX(0,30-T8+1)),0)))),0)</f>
        <v>0</v>
      </c>
      <c r="AH8" s="114" t="s">
        <v>210</v>
      </c>
      <c r="AI8" s="106" t="n">
        <f aca="false">IFERROR(IF(U8&gt;0,IF(O8&lt;&gt;"",O8,MAX(0,N(F8)+N(K8))*IF(N8&lt;&gt;"",N8,M8))*IF(V8=0,1/U8,V8/(1-(1+V8)^(-U8))),0),0)</f>
        <v>215493.442058347</v>
      </c>
      <c r="AJ8" s="106" t="n">
        <f aca="false">IFERROR(IF(U8&gt;0,IF(O8&lt;&gt;"",O8,MAX(0,N(G8)+N(K8))*IF(N8&lt;&gt;"",N8,M8))*IF(V8=0,1/U8,V8/(1-(1+V8)^(-U8))),0),0)</f>
        <v>215493.442058347</v>
      </c>
      <c r="AK8" s="106" t="n">
        <f aca="false">IFERROR(IF(U8&gt;0,IF(O8&lt;&gt;"",O8,MAX(0,N(H8)+N(K8))*IF(N8&lt;&gt;"",N8,M8))*IF(V8=0,1/U8,V8/(1-(1+V8)^(-U8))),0),0)</f>
        <v>215493.442058347</v>
      </c>
      <c r="AL8" s="106" t="n">
        <f aca="false">IFERROR(IF(U8&gt;0,IF(O8&lt;&gt;"",O8,MAX(0,N(I8)+N(K8))*IF(N8&lt;&gt;"",N8,M8))*IF(V8=0,1/U8,V8/(1-(1+V8)^(-U8))),0),0)</f>
        <v>215493.442058347</v>
      </c>
      <c r="AM8" s="106" t="n">
        <f aca="false">IFERROR(IF(U8&gt;0,IF(O8&lt;&gt;"",O8,MAX(0,N(J8)+N(K8))*IF(N8&lt;&gt;"",N8,M8))*IF(V8=0,1/U8,V8/(1-(1+V8)^(-U8))),0),0)</f>
        <v>215493.442058347</v>
      </c>
    </row>
    <row r="9" customFormat="false" ht="14.25" hidden="false" customHeight="true" outlineLevel="0" collapsed="false">
      <c r="A9" s="115" t="s">
        <v>211</v>
      </c>
      <c r="B9" s="115" t="s">
        <v>190</v>
      </c>
      <c r="C9" s="115" t="s">
        <v>191</v>
      </c>
      <c r="D9" s="115" t="s">
        <v>192</v>
      </c>
      <c r="E9" s="115" t="s">
        <v>212</v>
      </c>
      <c r="F9" s="116" t="n">
        <f aca="false">'03_Multi_Horizon_Results'!$B$5*'12_Takeoff_Assumptions'!$B$5</f>
        <v>1150</v>
      </c>
      <c r="G9" s="116" t="n">
        <f aca="false">'03_Multi_Horizon_Results'!$C$5*'12_Takeoff_Assumptions'!$B$5</f>
        <v>1150</v>
      </c>
      <c r="H9" s="116" t="n">
        <f aca="false">'03_Multi_Horizon_Results'!$D$5*'12_Takeoff_Assumptions'!$B$5</f>
        <v>1150</v>
      </c>
      <c r="I9" s="116" t="n">
        <f aca="false">'03_Multi_Horizon_Results'!$E$5*'12_Takeoff_Assumptions'!$B$5</f>
        <v>1150</v>
      </c>
      <c r="J9" s="116" t="n">
        <f aca="false">'03_Multi_Horizon_Results'!$F$5*'12_Takeoff_Assumptions'!$B$5</f>
        <v>1150</v>
      </c>
      <c r="K9" s="117"/>
      <c r="L9" s="116" t="n">
        <f aca="false">MAX(0,N(G9)+N(K9))</f>
        <v>1150</v>
      </c>
      <c r="M9" s="118" t="n">
        <v>225</v>
      </c>
      <c r="N9" s="119"/>
      <c r="O9" s="119"/>
      <c r="P9" s="118" t="n">
        <f aca="false">IFERROR(IF(O9&lt;&gt;"",O9,L9*IF(N9&lt;&gt;"",N9,M9)),0)</f>
        <v>258750</v>
      </c>
      <c r="Q9" s="120" t="s">
        <v>190</v>
      </c>
      <c r="R9" s="120" t="s">
        <v>31</v>
      </c>
      <c r="S9" s="120" t="s">
        <v>194</v>
      </c>
      <c r="T9" s="121" t="n">
        <v>1</v>
      </c>
      <c r="U9" s="121" t="n">
        <v>20</v>
      </c>
      <c r="V9" s="122" t="n">
        <v>0.045</v>
      </c>
      <c r="W9" s="118" t="n">
        <f aca="false">IFERROR(IF(AND(R9="Yes",S9="Debt service",U9&gt;0),IF(V9=0,P9/U9,P9*V9/(1-(1+V9)^(-U9))),0),0)</f>
        <v>19891.7023438475</v>
      </c>
      <c r="X9" s="123" t="n">
        <f aca="false">IFERROR(IF(OR(R9&lt;&gt;"Yes",Q9&lt;&gt;"City"),0,IF(S9="Cash capital",IF(T9&lt;=5,IF(O9&lt;&gt;"",O9,MAX(0,N(F9)+N(K9))*IF(N9&lt;&gt;"",N9,M9)),0),IF(S9="Debt service",IF(T9&gt;5,0,AI9*MAX(0,MIN(5-T9+1,U9))),IF(OR(S9="Annual O&amp;M",S9="Maintenance-only"),IF(T9&gt;5,0,IF(O9&lt;&gt;"",O9,MAX(0,N(F9)+N(K9))*IF(N9&lt;&gt;"",N9,M9))*MAX(0,5-T9+1)),0)))),0)</f>
        <v>99458.5117192373</v>
      </c>
      <c r="Y9" s="123" t="n">
        <f aca="false">IFERROR(IF(OR(R9&lt;&gt;"Yes",Q9&lt;&gt;"City"),0,IF(S9="Cash capital",IF(T9&lt;=10,IF(O9&lt;&gt;"",O9,MAX(0,N(G9)+N(K9))*IF(N9&lt;&gt;"",N9,M9)),0),IF(S9="Debt service",IF(T9&gt;10,0,AJ9*MAX(0,MIN(10-T9+1,U9))),IF(OR(S9="Annual O&amp;M",S9="Maintenance-only"),IF(T9&gt;10,0,IF(O9&lt;&gt;"",O9,MAX(0,N(G9)+N(K9))*IF(N9&lt;&gt;"",N9,M9))*MAX(0,10-T9+1)),0)))),0)</f>
        <v>198917.023438475</v>
      </c>
      <c r="Z9" s="123" t="n">
        <f aca="false">IFERROR(IF(OR(R9&lt;&gt;"Yes",Q9&lt;&gt;"City"),0,IF(S9="Cash capital",IF(T9&lt;=15,IF(O9&lt;&gt;"",O9,MAX(0,N(H9)+N(K9))*IF(N9&lt;&gt;"",N9,M9)),0),IF(S9="Debt service",IF(T9&gt;15,0,AK9*MAX(0,MIN(15-T9+1,U9))),IF(OR(S9="Annual O&amp;M",S9="Maintenance-only"),IF(T9&gt;15,0,IF(O9&lt;&gt;"",O9,MAX(0,N(H9)+N(K9))*IF(N9&lt;&gt;"",N9,M9))*MAX(0,15-T9+1)),0)))),0)</f>
        <v>298375.535157712</v>
      </c>
      <c r="AA9" s="123" t="n">
        <f aca="false">IFERROR(IF(OR(R9&lt;&gt;"Yes",Q9&lt;&gt;"City"),0,IF(S9="Cash capital",IF(T9&lt;=20,IF(O9&lt;&gt;"",O9,MAX(0,N(I9)+N(K9))*IF(N9&lt;&gt;"",N9,M9)),0),IF(S9="Debt service",IF(T9&gt;20,0,AL9*MAX(0,MIN(20-T9+1,U9))),IF(OR(S9="Annual O&amp;M",S9="Maintenance-only"),IF(T9&gt;20,0,IF(O9&lt;&gt;"",O9,MAX(0,N(I9)+N(K9))*IF(N9&lt;&gt;"",N9,M9))*MAX(0,20-T9+1)),0)))),0)</f>
        <v>397834.046876949</v>
      </c>
      <c r="AB9" s="123" t="n">
        <f aca="false">IFERROR(IF(OR(R9&lt;&gt;"Yes",Q9&lt;&gt;"City"),0,IF(S9="Cash capital",IF(T9&lt;=30,IF(O9&lt;&gt;"",O9,MAX(0,N(J9)+N(K9))*IF(N9&lt;&gt;"",N9,M9)),0),IF(S9="Debt service",IF(T9&gt;30,0,AM9*MAX(0,MIN(30-T9+1,U9))),IF(OR(S9="Annual O&amp;M",S9="Maintenance-only"),IF(T9&gt;30,0,IF(O9&lt;&gt;"",O9,MAX(0,N(J9)+N(K9))*IF(N9&lt;&gt;"",N9,M9))*MAX(0,30-T9+1)),0)))),0)</f>
        <v>397834.046876949</v>
      </c>
      <c r="AC9" s="123" t="n">
        <f aca="false">IFERROR(IF(OR(R9&lt;&gt;"Yes",Q9&lt;&gt;"ESD"),0,IF(S9="Cash capital",IF(T9&lt;=5,IF(O9&lt;&gt;"",O9,MAX(0,N(F9)+N(K9))*IF(N9&lt;&gt;"",N9,M9)),0),IF(S9="Debt service",IF(T9&gt;5,0,AI9*MAX(0,MIN(5-T9+1,U9))),IF(OR(S9="Annual O&amp;M",S9="Maintenance-only"),IF(T9&gt;5,0,IF(O9&lt;&gt;"",O9,MAX(0,N(F9)+N(K9))*IF(N9&lt;&gt;"",N9,M9))*MAX(0,5-T9+1)),0)))),0)</f>
        <v>0</v>
      </c>
      <c r="AD9" s="123" t="n">
        <f aca="false">IFERROR(IF(OR(R9&lt;&gt;"Yes",Q9&lt;&gt;"ESD"),0,IF(S9="Cash capital",IF(T9&lt;=10,IF(O9&lt;&gt;"",O9,MAX(0,N(G9)+N(K9))*IF(N9&lt;&gt;"",N9,M9)),0),IF(S9="Debt service",IF(T9&gt;10,0,AJ9*MAX(0,MIN(10-T9+1,U9))),IF(OR(S9="Annual O&amp;M",S9="Maintenance-only"),IF(T9&gt;10,0,IF(O9&lt;&gt;"",O9,MAX(0,N(G9)+N(K9))*IF(N9&lt;&gt;"",N9,M9))*MAX(0,10-T9+1)),0)))),0)</f>
        <v>0</v>
      </c>
      <c r="AE9" s="123" t="n">
        <f aca="false">IFERROR(IF(OR(R9&lt;&gt;"Yes",Q9&lt;&gt;"ESD"),0,IF(S9="Cash capital",IF(T9&lt;=15,IF(O9&lt;&gt;"",O9,MAX(0,N(H9)+N(K9))*IF(N9&lt;&gt;"",N9,M9)),0),IF(S9="Debt service",IF(T9&gt;15,0,AK9*MAX(0,MIN(15-T9+1,U9))),IF(OR(S9="Annual O&amp;M",S9="Maintenance-only"),IF(T9&gt;15,0,IF(O9&lt;&gt;"",O9,MAX(0,N(H9)+N(K9))*IF(N9&lt;&gt;"",N9,M9))*MAX(0,15-T9+1)),0)))),0)</f>
        <v>0</v>
      </c>
      <c r="AF9" s="123" t="n">
        <f aca="false">IFERROR(IF(OR(R9&lt;&gt;"Yes",Q9&lt;&gt;"ESD"),0,IF(S9="Cash capital",IF(T9&lt;=20,IF(O9&lt;&gt;"",O9,MAX(0,N(I9)+N(K9))*IF(N9&lt;&gt;"",N9,M9)),0),IF(S9="Debt service",IF(T9&gt;20,0,AL9*MAX(0,MIN(20-T9+1,U9))),IF(OR(S9="Annual O&amp;M",S9="Maintenance-only"),IF(T9&gt;20,0,IF(O9&lt;&gt;"",O9,MAX(0,N(I9)+N(K9))*IF(N9&lt;&gt;"",N9,M9))*MAX(0,20-T9+1)),0)))),0)</f>
        <v>0</v>
      </c>
      <c r="AG9" s="123" t="n">
        <f aca="false">IFERROR(IF(OR(R9&lt;&gt;"Yes",Q9&lt;&gt;"ESD"),0,IF(S9="Cash capital",IF(T9&lt;=30,IF(O9&lt;&gt;"",O9,MAX(0,N(J9)+N(K9))*IF(N9&lt;&gt;"",N9,M9)),0),IF(S9="Debt service",IF(T9&gt;30,0,AM9*MAX(0,MIN(30-T9+1,U9))),IF(OR(S9="Annual O&amp;M",S9="Maintenance-only"),IF(T9&gt;30,0,IF(O9&lt;&gt;"",O9,MAX(0,N(J9)+N(K9))*IF(N9&lt;&gt;"",N9,M9))*MAX(0,30-T9+1)),0)))),0)</f>
        <v>0</v>
      </c>
      <c r="AH9" s="124" t="s">
        <v>213</v>
      </c>
      <c r="AI9" s="115" t="n">
        <f aca="false">IFERROR(IF(U9&gt;0,IF(O9&lt;&gt;"",O9,MAX(0,N(F9)+N(K9))*IF(N9&lt;&gt;"",N9,M9))*IF(V9=0,1/U9,V9/(1-(1+V9)^(-U9))),0),0)</f>
        <v>19891.7023438475</v>
      </c>
      <c r="AJ9" s="115" t="n">
        <f aca="false">IFERROR(IF(U9&gt;0,IF(O9&lt;&gt;"",O9,MAX(0,N(G9)+N(K9))*IF(N9&lt;&gt;"",N9,M9))*IF(V9=0,1/U9,V9/(1-(1+V9)^(-U9))),0),0)</f>
        <v>19891.7023438475</v>
      </c>
      <c r="AK9" s="115" t="n">
        <f aca="false">IFERROR(IF(U9&gt;0,IF(O9&lt;&gt;"",O9,MAX(0,N(H9)+N(K9))*IF(N9&lt;&gt;"",N9,M9))*IF(V9=0,1/U9,V9/(1-(1+V9)^(-U9))),0),0)</f>
        <v>19891.7023438475</v>
      </c>
      <c r="AL9" s="115" t="n">
        <f aca="false">IFERROR(IF(U9&gt;0,IF(O9&lt;&gt;"",O9,MAX(0,N(I9)+N(K9))*IF(N9&lt;&gt;"",N9,M9))*IF(V9=0,1/U9,V9/(1-(1+V9)^(-U9))),0),0)</f>
        <v>19891.7023438475</v>
      </c>
      <c r="AM9" s="106" t="n">
        <f aca="false">IFERROR(IF(U9&gt;0,IF(O9&lt;&gt;"",O9,MAX(0,N(J9)+N(K9))*IF(N9&lt;&gt;"",N9,M9))*IF(V9=0,1/U9,V9/(1-(1+V9)^(-U9))),0),0)</f>
        <v>19891.7023438475</v>
      </c>
    </row>
    <row r="10" customFormat="false" ht="14.25" hidden="false" customHeight="true" outlineLevel="0" collapsed="false">
      <c r="A10" s="106" t="s">
        <v>214</v>
      </c>
      <c r="B10" s="106" t="s">
        <v>190</v>
      </c>
      <c r="C10" s="106" t="s">
        <v>215</v>
      </c>
      <c r="D10" s="106" t="s">
        <v>201</v>
      </c>
      <c r="E10" s="106" t="s">
        <v>216</v>
      </c>
      <c r="F10" s="107" t="n">
        <f aca="false">IF((('03_Multi_Horizon_Results'!$B$22/'Advanced Inputs'!$D$50)*'12_Takeoff_Assumptions'!$B$14/1000000)&gt;'12_Takeoff_Assumptions'!$B$15,ROUNDUP((('03_Multi_Horizon_Results'!$B$22/'Advanced Inputs'!$D$50)*'12_Takeoff_Assumptions'!$B$14/1000000)/'12_Takeoff_Assumptions'!$B$15,0),0)</f>
        <v>0</v>
      </c>
      <c r="G10" s="107" t="n">
        <f aca="false">IF((('03_Multi_Horizon_Results'!$C$22/'Advanced Inputs'!$D$50)*'12_Takeoff_Assumptions'!$B$14/1000000)&gt;'12_Takeoff_Assumptions'!$B$15,ROUNDUP((('03_Multi_Horizon_Results'!$C$22/'Advanced Inputs'!$D$50)*'12_Takeoff_Assumptions'!$B$14/1000000)/'12_Takeoff_Assumptions'!$B$15,0),0)</f>
        <v>0</v>
      </c>
      <c r="H10" s="107" t="n">
        <f aca="false">IF((('03_Multi_Horizon_Results'!$D$22/'Advanced Inputs'!$D$50)*'12_Takeoff_Assumptions'!$B$14/1000000)&gt;'12_Takeoff_Assumptions'!$B$15,ROUNDUP((('03_Multi_Horizon_Results'!$D$22/'Advanced Inputs'!$D$50)*'12_Takeoff_Assumptions'!$B$14/1000000)/'12_Takeoff_Assumptions'!$B$15,0),0)</f>
        <v>0</v>
      </c>
      <c r="I10" s="107" t="n">
        <f aca="false">IF((('03_Multi_Horizon_Results'!$E$22/'Advanced Inputs'!$D$50)*'12_Takeoff_Assumptions'!$B$14/1000000)&gt;'12_Takeoff_Assumptions'!$B$15,ROUNDUP((('03_Multi_Horizon_Results'!$E$22/'Advanced Inputs'!$D$50)*'12_Takeoff_Assumptions'!$B$14/1000000)/'12_Takeoff_Assumptions'!$B$15,0),0)</f>
        <v>0</v>
      </c>
      <c r="J10" s="107" t="n">
        <f aca="false">IF((('03_Multi_Horizon_Results'!$F$22/'Advanced Inputs'!$D$50)*'12_Takeoff_Assumptions'!$B$14/1000000)&gt;'12_Takeoff_Assumptions'!$B$15,ROUNDUP((('03_Multi_Horizon_Results'!$F$22/'Advanced Inputs'!$D$50)*'12_Takeoff_Assumptions'!$B$14/1000000)/'12_Takeoff_Assumptions'!$B$15,0),0)</f>
        <v>0</v>
      </c>
      <c r="K10" s="108"/>
      <c r="L10" s="107" t="n">
        <f aca="false">MAX(0,N(G10)+N(K10))</f>
        <v>0</v>
      </c>
      <c r="M10" s="109" t="n">
        <v>1250000</v>
      </c>
      <c r="N10" s="110"/>
      <c r="O10" s="110"/>
      <c r="P10" s="109" t="n">
        <f aca="false">IFERROR(IF(O10&lt;&gt;"",O10,L10*IF(N10&lt;&gt;"",N10,M10)),0)</f>
        <v>0</v>
      </c>
      <c r="Q10" s="101" t="s">
        <v>190</v>
      </c>
      <c r="R10" s="101" t="s">
        <v>31</v>
      </c>
      <c r="S10" s="101" t="s">
        <v>194</v>
      </c>
      <c r="T10" s="111" t="n">
        <v>1</v>
      </c>
      <c r="U10" s="111" t="n">
        <v>20</v>
      </c>
      <c r="V10" s="112" t="n">
        <v>0.045</v>
      </c>
      <c r="W10" s="109" t="n">
        <f aca="false">IFERROR(IF(AND(R10="Yes",S10="Debt service",U10&gt;0),IF(V10=0,P10/U10,P10*V10/(1-(1+V10)^(-U10))),0),0)</f>
        <v>0</v>
      </c>
      <c r="X10" s="113" t="n">
        <f aca="false">IFERROR(IF(OR(R10&lt;&gt;"Yes",Q10&lt;&gt;"City"),0,IF(S10="Cash capital",IF(T10&lt;=5,IF(O10&lt;&gt;"",O10,MAX(0,N(F10)+N(K10))*IF(N10&lt;&gt;"",N10,M10)),0),IF(S10="Debt service",IF(T10&gt;5,0,AI10*MAX(0,MIN(5-T10+1,U10))),IF(OR(S10="Annual O&amp;M",S10="Maintenance-only"),IF(T10&gt;5,0,IF(O10&lt;&gt;"",O10,MAX(0,N(F10)+N(K10))*IF(N10&lt;&gt;"",N10,M10))*MAX(0,5-T10+1)),0)))),0)</f>
        <v>0</v>
      </c>
      <c r="Y10" s="113" t="n">
        <f aca="false">IFERROR(IF(OR(R10&lt;&gt;"Yes",Q10&lt;&gt;"City"),0,IF(S10="Cash capital",IF(T10&lt;=10,IF(O10&lt;&gt;"",O10,MAX(0,N(G10)+N(K10))*IF(N10&lt;&gt;"",N10,M10)),0),IF(S10="Debt service",IF(T10&gt;10,0,AJ10*MAX(0,MIN(10-T10+1,U10))),IF(OR(S10="Annual O&amp;M",S10="Maintenance-only"),IF(T10&gt;10,0,IF(O10&lt;&gt;"",O10,MAX(0,N(G10)+N(K10))*IF(N10&lt;&gt;"",N10,M10))*MAX(0,10-T10+1)),0)))),0)</f>
        <v>0</v>
      </c>
      <c r="Z10" s="113" t="n">
        <f aca="false">IFERROR(IF(OR(R10&lt;&gt;"Yes",Q10&lt;&gt;"City"),0,IF(S10="Cash capital",IF(T10&lt;=15,IF(O10&lt;&gt;"",O10,MAX(0,N(H10)+N(K10))*IF(N10&lt;&gt;"",N10,M10)),0),IF(S10="Debt service",IF(T10&gt;15,0,AK10*MAX(0,MIN(15-T10+1,U10))),IF(OR(S10="Annual O&amp;M",S10="Maintenance-only"),IF(T10&gt;15,0,IF(O10&lt;&gt;"",O10,MAX(0,N(H10)+N(K10))*IF(N10&lt;&gt;"",N10,M10))*MAX(0,15-T10+1)),0)))),0)</f>
        <v>0</v>
      </c>
      <c r="AA10" s="113" t="n">
        <f aca="false">IFERROR(IF(OR(R10&lt;&gt;"Yes",Q10&lt;&gt;"City"),0,IF(S10="Cash capital",IF(T10&lt;=20,IF(O10&lt;&gt;"",O10,MAX(0,N(I10)+N(K10))*IF(N10&lt;&gt;"",N10,M10)),0),IF(S10="Debt service",IF(T10&gt;20,0,AL10*MAX(0,MIN(20-T10+1,U10))),IF(OR(S10="Annual O&amp;M",S10="Maintenance-only"),IF(T10&gt;20,0,IF(O10&lt;&gt;"",O10,MAX(0,N(I10)+N(K10))*IF(N10&lt;&gt;"",N10,M10))*MAX(0,20-T10+1)),0)))),0)</f>
        <v>0</v>
      </c>
      <c r="AB10" s="113" t="n">
        <f aca="false">IFERROR(IF(OR(R10&lt;&gt;"Yes",Q10&lt;&gt;"City"),0,IF(S10="Cash capital",IF(T10&lt;=30,IF(O10&lt;&gt;"",O10,MAX(0,N(J10)+N(K10))*IF(N10&lt;&gt;"",N10,M10)),0),IF(S10="Debt service",IF(T10&gt;30,0,AM10*MAX(0,MIN(30-T10+1,U10))),IF(OR(S10="Annual O&amp;M",S10="Maintenance-only"),IF(T10&gt;30,0,IF(O10&lt;&gt;"",O10,MAX(0,N(J10)+N(K10))*IF(N10&lt;&gt;"",N10,M10))*MAX(0,30-T10+1)),0)))),0)</f>
        <v>0</v>
      </c>
      <c r="AC10" s="113" t="n">
        <f aca="false">IFERROR(IF(OR(R10&lt;&gt;"Yes",Q10&lt;&gt;"ESD"),0,IF(S10="Cash capital",IF(T10&lt;=5,IF(O10&lt;&gt;"",O10,MAX(0,N(F10)+N(K10))*IF(N10&lt;&gt;"",N10,M10)),0),IF(S10="Debt service",IF(T10&gt;5,0,AI10*MAX(0,MIN(5-T10+1,U10))),IF(OR(S10="Annual O&amp;M",S10="Maintenance-only"),IF(T10&gt;5,0,IF(O10&lt;&gt;"",O10,MAX(0,N(F10)+N(K10))*IF(N10&lt;&gt;"",N10,M10))*MAX(0,5-T10+1)),0)))),0)</f>
        <v>0</v>
      </c>
      <c r="AD10" s="113" t="n">
        <f aca="false">IFERROR(IF(OR(R10&lt;&gt;"Yes",Q10&lt;&gt;"ESD"),0,IF(S10="Cash capital",IF(T10&lt;=10,IF(O10&lt;&gt;"",O10,MAX(0,N(G10)+N(K10))*IF(N10&lt;&gt;"",N10,M10)),0),IF(S10="Debt service",IF(T10&gt;10,0,AJ10*MAX(0,MIN(10-T10+1,U10))),IF(OR(S10="Annual O&amp;M",S10="Maintenance-only"),IF(T10&gt;10,0,IF(O10&lt;&gt;"",O10,MAX(0,N(G10)+N(K10))*IF(N10&lt;&gt;"",N10,M10))*MAX(0,10-T10+1)),0)))),0)</f>
        <v>0</v>
      </c>
      <c r="AE10" s="113" t="n">
        <f aca="false">IFERROR(IF(OR(R10&lt;&gt;"Yes",Q10&lt;&gt;"ESD"),0,IF(S10="Cash capital",IF(T10&lt;=15,IF(O10&lt;&gt;"",O10,MAX(0,N(H10)+N(K10))*IF(N10&lt;&gt;"",N10,M10)),0),IF(S10="Debt service",IF(T10&gt;15,0,AK10*MAX(0,MIN(15-T10+1,U10))),IF(OR(S10="Annual O&amp;M",S10="Maintenance-only"),IF(T10&gt;15,0,IF(O10&lt;&gt;"",O10,MAX(0,N(H10)+N(K10))*IF(N10&lt;&gt;"",N10,M10))*MAX(0,15-T10+1)),0)))),0)</f>
        <v>0</v>
      </c>
      <c r="AF10" s="113" t="n">
        <f aca="false">IFERROR(IF(OR(R10&lt;&gt;"Yes",Q10&lt;&gt;"ESD"),0,IF(S10="Cash capital",IF(T10&lt;=20,IF(O10&lt;&gt;"",O10,MAX(0,N(I10)+N(K10))*IF(N10&lt;&gt;"",N10,M10)),0),IF(S10="Debt service",IF(T10&gt;20,0,AL10*MAX(0,MIN(20-T10+1,U10))),IF(OR(S10="Annual O&amp;M",S10="Maintenance-only"),IF(T10&gt;20,0,IF(O10&lt;&gt;"",O10,MAX(0,N(I10)+N(K10))*IF(N10&lt;&gt;"",N10,M10))*MAX(0,20-T10+1)),0)))),0)</f>
        <v>0</v>
      </c>
      <c r="AG10" s="113" t="n">
        <f aca="false">IFERROR(IF(OR(R10&lt;&gt;"Yes",Q10&lt;&gt;"ESD"),0,IF(S10="Cash capital",IF(T10&lt;=30,IF(O10&lt;&gt;"",O10,MAX(0,N(J10)+N(K10))*IF(N10&lt;&gt;"",N10,M10)),0),IF(S10="Debt service",IF(T10&gt;30,0,AM10*MAX(0,MIN(30-T10+1,U10))),IF(OR(S10="Annual O&amp;M",S10="Maintenance-only"),IF(T10&gt;30,0,IF(O10&lt;&gt;"",O10,MAX(0,N(J10)+N(K10))*IF(N10&lt;&gt;"",N10,M10))*MAX(0,30-T10+1)),0)))),0)</f>
        <v>0</v>
      </c>
      <c r="AH10" s="114" t="s">
        <v>217</v>
      </c>
      <c r="AI10" s="106" t="n">
        <f aca="false">IFERROR(IF(U10&gt;0,IF(O10&lt;&gt;"",O10,MAX(0,N(F10)+N(K10))*IF(N10&lt;&gt;"",N10,M10))*IF(V10=0,1/U10,V10/(1-(1+V10)^(-U10))),0),0)</f>
        <v>0</v>
      </c>
      <c r="AJ10" s="106" t="n">
        <f aca="false">IFERROR(IF(U10&gt;0,IF(O10&lt;&gt;"",O10,MAX(0,N(G10)+N(K10))*IF(N10&lt;&gt;"",N10,M10))*IF(V10=0,1/U10,V10/(1-(1+V10)^(-U10))),0),0)</f>
        <v>0</v>
      </c>
      <c r="AK10" s="106" t="n">
        <f aca="false">IFERROR(IF(U10&gt;0,IF(O10&lt;&gt;"",O10,MAX(0,N(H10)+N(K10))*IF(N10&lt;&gt;"",N10,M10))*IF(V10=0,1/U10,V10/(1-(1+V10)^(-U10))),0),0)</f>
        <v>0</v>
      </c>
      <c r="AL10" s="106" t="n">
        <f aca="false">IFERROR(IF(U10&gt;0,IF(O10&lt;&gt;"",O10,MAX(0,N(I10)+N(K10))*IF(N10&lt;&gt;"",N10,M10))*IF(V10=0,1/U10,V10/(1-(1+V10)^(-U10))),0),0)</f>
        <v>0</v>
      </c>
      <c r="AM10" s="106" t="n">
        <f aca="false">IFERROR(IF(U10&gt;0,IF(O10&lt;&gt;"",O10,MAX(0,N(J10)+N(K10))*IF(N10&lt;&gt;"",N10,M10))*IF(V10=0,1/U10,V10/(1-(1+V10)^(-U10))),0),0)</f>
        <v>0</v>
      </c>
    </row>
    <row r="11" customFormat="false" ht="14.25" hidden="false" customHeight="true" outlineLevel="0" collapsed="false">
      <c r="A11" s="115" t="s">
        <v>218</v>
      </c>
      <c r="B11" s="115" t="s">
        <v>190</v>
      </c>
      <c r="C11" s="115" t="s">
        <v>215</v>
      </c>
      <c r="D11" s="115" t="s">
        <v>219</v>
      </c>
      <c r="E11" s="115" t="s">
        <v>220</v>
      </c>
      <c r="F11" s="116" t="n">
        <f aca="false">(('03_Multi_Horizon_Results'!$B$22/'Advanced Inputs'!$D$50)*'12_Takeoff_Assumptions'!$B$14/1000000)</f>
        <v>0.055</v>
      </c>
      <c r="G11" s="116" t="n">
        <f aca="false">(('03_Multi_Horizon_Results'!$C$22/'Advanced Inputs'!$D$50)*'12_Takeoff_Assumptions'!$B$14/1000000)</f>
        <v>0.055</v>
      </c>
      <c r="H11" s="116" t="n">
        <f aca="false">(('03_Multi_Horizon_Results'!$D$22/'Advanced Inputs'!$D$50)*'12_Takeoff_Assumptions'!$B$14/1000000)</f>
        <v>0.055</v>
      </c>
      <c r="I11" s="116" t="n">
        <f aca="false">(('03_Multi_Horizon_Results'!$E$22/'Advanced Inputs'!$D$50)*'12_Takeoff_Assumptions'!$B$14/1000000)</f>
        <v>0.055</v>
      </c>
      <c r="J11" s="116" t="n">
        <f aca="false">(('03_Multi_Horizon_Results'!$F$22/'Advanced Inputs'!$D$50)*'12_Takeoff_Assumptions'!$B$14/1000000)</f>
        <v>0.055</v>
      </c>
      <c r="K11" s="117"/>
      <c r="L11" s="116" t="n">
        <f aca="false">MAX(0,N(G11)+N(K11))</f>
        <v>0.055</v>
      </c>
      <c r="M11" s="118" t="n">
        <v>6000000</v>
      </c>
      <c r="N11" s="119"/>
      <c r="O11" s="119"/>
      <c r="P11" s="118" t="n">
        <f aca="false">IFERROR(IF(O11&lt;&gt;"",O11,L11*IF(N11&lt;&gt;"",N11,M11)),0)</f>
        <v>330000</v>
      </c>
      <c r="Q11" s="120" t="s">
        <v>190</v>
      </c>
      <c r="R11" s="120" t="s">
        <v>31</v>
      </c>
      <c r="S11" s="120" t="s">
        <v>194</v>
      </c>
      <c r="T11" s="121" t="n">
        <v>1</v>
      </c>
      <c r="U11" s="121" t="n">
        <v>20</v>
      </c>
      <c r="V11" s="122" t="n">
        <v>0.045</v>
      </c>
      <c r="W11" s="118" t="n">
        <f aca="false">IFERROR(IF(AND(R11="Yes",S11="Debt service",U11&gt;0),IF(V11=0,P11/U11,P11*V11/(1-(1+V11)^(-U11))),0),0)</f>
        <v>25369.1276269359</v>
      </c>
      <c r="X11" s="123" t="n">
        <f aca="false">IFERROR(IF(OR(R11&lt;&gt;"Yes",Q11&lt;&gt;"City"),0,IF(S11="Cash capital",IF(T11&lt;=5,IF(O11&lt;&gt;"",O11,MAX(0,N(F11)+N(K11))*IF(N11&lt;&gt;"",N11,M11)),0),IF(S11="Debt service",IF(T11&gt;5,0,AI11*MAX(0,MIN(5-T11+1,U11))),IF(OR(S11="Annual O&amp;M",S11="Maintenance-only"),IF(T11&gt;5,0,IF(O11&lt;&gt;"",O11,MAX(0,N(F11)+N(K11))*IF(N11&lt;&gt;"",N11,M11))*MAX(0,5-T11+1)),0)))),0)</f>
        <v>126845.638134679</v>
      </c>
      <c r="Y11" s="123" t="n">
        <f aca="false">IFERROR(IF(OR(R11&lt;&gt;"Yes",Q11&lt;&gt;"City"),0,IF(S11="Cash capital",IF(T11&lt;=10,IF(O11&lt;&gt;"",O11,MAX(0,N(G11)+N(K11))*IF(N11&lt;&gt;"",N11,M11)),0),IF(S11="Debt service",IF(T11&gt;10,0,AJ11*MAX(0,MIN(10-T11+1,U11))),IF(OR(S11="Annual O&amp;M",S11="Maintenance-only"),IF(T11&gt;10,0,IF(O11&lt;&gt;"",O11,MAX(0,N(G11)+N(K11))*IF(N11&lt;&gt;"",N11,M11))*MAX(0,10-T11+1)),0)))),0)</f>
        <v>253691.276269359</v>
      </c>
      <c r="Z11" s="123" t="n">
        <f aca="false">IFERROR(IF(OR(R11&lt;&gt;"Yes",Q11&lt;&gt;"City"),0,IF(S11="Cash capital",IF(T11&lt;=15,IF(O11&lt;&gt;"",O11,MAX(0,N(H11)+N(K11))*IF(N11&lt;&gt;"",N11,M11)),0),IF(S11="Debt service",IF(T11&gt;15,0,AK11*MAX(0,MIN(15-T11+1,U11))),IF(OR(S11="Annual O&amp;M",S11="Maintenance-only"),IF(T11&gt;15,0,IF(O11&lt;&gt;"",O11,MAX(0,N(H11)+N(K11))*IF(N11&lt;&gt;"",N11,M11))*MAX(0,15-T11+1)),0)))),0)</f>
        <v>380536.914404038</v>
      </c>
      <c r="AA11" s="123" t="n">
        <f aca="false">IFERROR(IF(OR(R11&lt;&gt;"Yes",Q11&lt;&gt;"City"),0,IF(S11="Cash capital",IF(T11&lt;=20,IF(O11&lt;&gt;"",O11,MAX(0,N(I11)+N(K11))*IF(N11&lt;&gt;"",N11,M11)),0),IF(S11="Debt service",IF(T11&gt;20,0,AL11*MAX(0,MIN(20-T11+1,U11))),IF(OR(S11="Annual O&amp;M",S11="Maintenance-only"),IF(T11&gt;20,0,IF(O11&lt;&gt;"",O11,MAX(0,N(I11)+N(K11))*IF(N11&lt;&gt;"",N11,M11))*MAX(0,20-T11+1)),0)))),0)</f>
        <v>507382.552538718</v>
      </c>
      <c r="AB11" s="123" t="n">
        <f aca="false">IFERROR(IF(OR(R11&lt;&gt;"Yes",Q11&lt;&gt;"City"),0,IF(S11="Cash capital",IF(T11&lt;=30,IF(O11&lt;&gt;"",O11,MAX(0,N(J11)+N(K11))*IF(N11&lt;&gt;"",N11,M11)),0),IF(S11="Debt service",IF(T11&gt;30,0,AM11*MAX(0,MIN(30-T11+1,U11))),IF(OR(S11="Annual O&amp;M",S11="Maintenance-only"),IF(T11&gt;30,0,IF(O11&lt;&gt;"",O11,MAX(0,N(J11)+N(K11))*IF(N11&lt;&gt;"",N11,M11))*MAX(0,30-T11+1)),0)))),0)</f>
        <v>507382.552538718</v>
      </c>
      <c r="AC11" s="123" t="n">
        <f aca="false">IFERROR(IF(OR(R11&lt;&gt;"Yes",Q11&lt;&gt;"ESD"),0,IF(S11="Cash capital",IF(T11&lt;=5,IF(O11&lt;&gt;"",O11,MAX(0,N(F11)+N(K11))*IF(N11&lt;&gt;"",N11,M11)),0),IF(S11="Debt service",IF(T11&gt;5,0,AI11*MAX(0,MIN(5-T11+1,U11))),IF(OR(S11="Annual O&amp;M",S11="Maintenance-only"),IF(T11&gt;5,0,IF(O11&lt;&gt;"",O11,MAX(0,N(F11)+N(K11))*IF(N11&lt;&gt;"",N11,M11))*MAX(0,5-T11+1)),0)))),0)</f>
        <v>0</v>
      </c>
      <c r="AD11" s="123" t="n">
        <f aca="false">IFERROR(IF(OR(R11&lt;&gt;"Yes",Q11&lt;&gt;"ESD"),0,IF(S11="Cash capital",IF(T11&lt;=10,IF(O11&lt;&gt;"",O11,MAX(0,N(G11)+N(K11))*IF(N11&lt;&gt;"",N11,M11)),0),IF(S11="Debt service",IF(T11&gt;10,0,AJ11*MAX(0,MIN(10-T11+1,U11))),IF(OR(S11="Annual O&amp;M",S11="Maintenance-only"),IF(T11&gt;10,0,IF(O11&lt;&gt;"",O11,MAX(0,N(G11)+N(K11))*IF(N11&lt;&gt;"",N11,M11))*MAX(0,10-T11+1)),0)))),0)</f>
        <v>0</v>
      </c>
      <c r="AE11" s="123" t="n">
        <f aca="false">IFERROR(IF(OR(R11&lt;&gt;"Yes",Q11&lt;&gt;"ESD"),0,IF(S11="Cash capital",IF(T11&lt;=15,IF(O11&lt;&gt;"",O11,MAX(0,N(H11)+N(K11))*IF(N11&lt;&gt;"",N11,M11)),0),IF(S11="Debt service",IF(T11&gt;15,0,AK11*MAX(0,MIN(15-T11+1,U11))),IF(OR(S11="Annual O&amp;M",S11="Maintenance-only"),IF(T11&gt;15,0,IF(O11&lt;&gt;"",O11,MAX(0,N(H11)+N(K11))*IF(N11&lt;&gt;"",N11,M11))*MAX(0,15-T11+1)),0)))),0)</f>
        <v>0</v>
      </c>
      <c r="AF11" s="123" t="n">
        <f aca="false">IFERROR(IF(OR(R11&lt;&gt;"Yes",Q11&lt;&gt;"ESD"),0,IF(S11="Cash capital",IF(T11&lt;=20,IF(O11&lt;&gt;"",O11,MAX(0,N(I11)+N(K11))*IF(N11&lt;&gt;"",N11,M11)),0),IF(S11="Debt service",IF(T11&gt;20,0,AL11*MAX(0,MIN(20-T11+1,U11))),IF(OR(S11="Annual O&amp;M",S11="Maintenance-only"),IF(T11&gt;20,0,IF(O11&lt;&gt;"",O11,MAX(0,N(I11)+N(K11))*IF(N11&lt;&gt;"",N11,M11))*MAX(0,20-T11+1)),0)))),0)</f>
        <v>0</v>
      </c>
      <c r="AG11" s="123" t="n">
        <f aca="false">IFERROR(IF(OR(R11&lt;&gt;"Yes",Q11&lt;&gt;"ESD"),0,IF(S11="Cash capital",IF(T11&lt;=30,IF(O11&lt;&gt;"",O11,MAX(0,N(J11)+N(K11))*IF(N11&lt;&gt;"",N11,M11)),0),IF(S11="Debt service",IF(T11&gt;30,0,AM11*MAX(0,MIN(30-T11+1,U11))),IF(OR(S11="Annual O&amp;M",S11="Maintenance-only"),IF(T11&gt;30,0,IF(O11&lt;&gt;"",O11,MAX(0,N(J11)+N(K11))*IF(N11&lt;&gt;"",N11,M11))*MAX(0,30-T11+1)),0)))),0)</f>
        <v>0</v>
      </c>
      <c r="AH11" s="124" t="s">
        <v>221</v>
      </c>
      <c r="AI11" s="115" t="n">
        <f aca="false">IFERROR(IF(U11&gt;0,IF(O11&lt;&gt;"",O11,MAX(0,N(F11)+N(K11))*IF(N11&lt;&gt;"",N11,M11))*IF(V11=0,1/U11,V11/(1-(1+V11)^(-U11))),0),0)</f>
        <v>25369.1276269359</v>
      </c>
      <c r="AJ11" s="115" t="n">
        <f aca="false">IFERROR(IF(U11&gt;0,IF(O11&lt;&gt;"",O11,MAX(0,N(G11)+N(K11))*IF(N11&lt;&gt;"",N11,M11))*IF(V11=0,1/U11,V11/(1-(1+V11)^(-U11))),0),0)</f>
        <v>25369.1276269359</v>
      </c>
      <c r="AK11" s="115" t="n">
        <f aca="false">IFERROR(IF(U11&gt;0,IF(O11&lt;&gt;"",O11,MAX(0,N(H11)+N(K11))*IF(N11&lt;&gt;"",N11,M11))*IF(V11=0,1/U11,V11/(1-(1+V11)^(-U11))),0),0)</f>
        <v>25369.1276269359</v>
      </c>
      <c r="AL11" s="115" t="n">
        <f aca="false">IFERROR(IF(U11&gt;0,IF(O11&lt;&gt;"",O11,MAX(0,N(I11)+N(K11))*IF(N11&lt;&gt;"",N11,M11))*IF(V11=0,1/U11,V11/(1-(1+V11)^(-U11))),0),0)</f>
        <v>25369.1276269359</v>
      </c>
      <c r="AM11" s="106" t="n">
        <f aca="false">IFERROR(IF(U11&gt;0,IF(O11&lt;&gt;"",O11,MAX(0,N(J11)+N(K11))*IF(N11&lt;&gt;"",N11,M11))*IF(V11=0,1/U11,V11/(1-(1+V11)^(-U11))),0),0)</f>
        <v>25369.1276269359</v>
      </c>
    </row>
    <row r="12" customFormat="false" ht="14.25" hidden="false" customHeight="true" outlineLevel="0" collapsed="false">
      <c r="A12" s="106" t="s">
        <v>222</v>
      </c>
      <c r="B12" s="106" t="s">
        <v>190</v>
      </c>
      <c r="C12" s="106" t="s">
        <v>191</v>
      </c>
      <c r="D12" s="106" t="s">
        <v>223</v>
      </c>
      <c r="E12" s="106" t="s">
        <v>224</v>
      </c>
      <c r="F12" s="107" t="n">
        <f aca="false">'03_Multi_Horizon_Results'!$B$5*'12_Takeoff_Assumptions'!$B$7</f>
        <v>0.575</v>
      </c>
      <c r="G12" s="107" t="n">
        <f aca="false">'03_Multi_Horizon_Results'!$C$5*'12_Takeoff_Assumptions'!$B$7</f>
        <v>0.575</v>
      </c>
      <c r="H12" s="107" t="n">
        <f aca="false">'03_Multi_Horizon_Results'!$D$5*'12_Takeoff_Assumptions'!$B$7</f>
        <v>0.575</v>
      </c>
      <c r="I12" s="107" t="n">
        <f aca="false">'03_Multi_Horizon_Results'!$E$5*'12_Takeoff_Assumptions'!$B$7</f>
        <v>0.575</v>
      </c>
      <c r="J12" s="107" t="n">
        <f aca="false">'03_Multi_Horizon_Results'!$F$5*'12_Takeoff_Assumptions'!$B$7</f>
        <v>0.575</v>
      </c>
      <c r="K12" s="108"/>
      <c r="L12" s="107" t="n">
        <f aca="false">MAX(0,N(G12)+N(K12))</f>
        <v>0.575</v>
      </c>
      <c r="M12" s="109" t="n">
        <v>750000</v>
      </c>
      <c r="N12" s="110"/>
      <c r="O12" s="110"/>
      <c r="P12" s="109" t="n">
        <f aca="false">IFERROR(IF(O12&lt;&gt;"",O12,L12*IF(N12&lt;&gt;"",N12,M12)),0)</f>
        <v>431250</v>
      </c>
      <c r="Q12" s="101" t="s">
        <v>190</v>
      </c>
      <c r="R12" s="101" t="s">
        <v>31</v>
      </c>
      <c r="S12" s="101" t="s">
        <v>194</v>
      </c>
      <c r="T12" s="111" t="n">
        <v>1</v>
      </c>
      <c r="U12" s="111" t="n">
        <v>20</v>
      </c>
      <c r="V12" s="112" t="n">
        <v>0.045</v>
      </c>
      <c r="W12" s="109" t="n">
        <f aca="false">IFERROR(IF(AND(R12="Yes",S12="Debt service",U12&gt;0),IF(V12=0,P12/U12,P12*V12/(1-(1+V12)^(-U12))),0),0)</f>
        <v>33152.8372397458</v>
      </c>
      <c r="X12" s="113" t="n">
        <f aca="false">IFERROR(IF(OR(R12&lt;&gt;"Yes",Q12&lt;&gt;"City"),0,IF(S12="Cash capital",IF(T12&lt;=5,IF(O12&lt;&gt;"",O12,MAX(0,N(F12)+N(K12))*IF(N12&lt;&gt;"",N12,M12)),0),IF(S12="Debt service",IF(T12&gt;5,0,AI12*MAX(0,MIN(5-T12+1,U12))),IF(OR(S12="Annual O&amp;M",S12="Maintenance-only"),IF(T12&gt;5,0,IF(O12&lt;&gt;"",O12,MAX(0,N(F12)+N(K12))*IF(N12&lt;&gt;"",N12,M12))*MAX(0,5-T12+1)),0)))),0)</f>
        <v>165764.186198729</v>
      </c>
      <c r="Y12" s="113" t="n">
        <f aca="false">IFERROR(IF(OR(R12&lt;&gt;"Yes",Q12&lt;&gt;"City"),0,IF(S12="Cash capital",IF(T12&lt;=10,IF(O12&lt;&gt;"",O12,MAX(0,N(G12)+N(K12))*IF(N12&lt;&gt;"",N12,M12)),0),IF(S12="Debt service",IF(T12&gt;10,0,AJ12*MAX(0,MIN(10-T12+1,U12))),IF(OR(S12="Annual O&amp;M",S12="Maintenance-only"),IF(T12&gt;10,0,IF(O12&lt;&gt;"",O12,MAX(0,N(G12)+N(K12))*IF(N12&lt;&gt;"",N12,M12))*MAX(0,10-T12+1)),0)))),0)</f>
        <v>331528.372397458</v>
      </c>
      <c r="Z12" s="113" t="n">
        <f aca="false">IFERROR(IF(OR(R12&lt;&gt;"Yes",Q12&lt;&gt;"City"),0,IF(S12="Cash capital",IF(T12&lt;=15,IF(O12&lt;&gt;"",O12,MAX(0,N(H12)+N(K12))*IF(N12&lt;&gt;"",N12,M12)),0),IF(S12="Debt service",IF(T12&gt;15,0,AK12*MAX(0,MIN(15-T12+1,U12))),IF(OR(S12="Annual O&amp;M",S12="Maintenance-only"),IF(T12&gt;15,0,IF(O12&lt;&gt;"",O12,MAX(0,N(H12)+N(K12))*IF(N12&lt;&gt;"",N12,M12))*MAX(0,15-T12+1)),0)))),0)</f>
        <v>497292.558596186</v>
      </c>
      <c r="AA12" s="113" t="n">
        <f aca="false">IFERROR(IF(OR(R12&lt;&gt;"Yes",Q12&lt;&gt;"City"),0,IF(S12="Cash capital",IF(T12&lt;=20,IF(O12&lt;&gt;"",O12,MAX(0,N(I12)+N(K12))*IF(N12&lt;&gt;"",N12,M12)),0),IF(S12="Debt service",IF(T12&gt;20,0,AL12*MAX(0,MIN(20-T12+1,U12))),IF(OR(S12="Annual O&amp;M",S12="Maintenance-only"),IF(T12&gt;20,0,IF(O12&lt;&gt;"",O12,MAX(0,N(I12)+N(K12))*IF(N12&lt;&gt;"",N12,M12))*MAX(0,20-T12+1)),0)))),0)</f>
        <v>663056.744794915</v>
      </c>
      <c r="AB12" s="113" t="n">
        <f aca="false">IFERROR(IF(OR(R12&lt;&gt;"Yes",Q12&lt;&gt;"City"),0,IF(S12="Cash capital",IF(T12&lt;=30,IF(O12&lt;&gt;"",O12,MAX(0,N(J12)+N(K12))*IF(N12&lt;&gt;"",N12,M12)),0),IF(S12="Debt service",IF(T12&gt;30,0,AM12*MAX(0,MIN(30-T12+1,U12))),IF(OR(S12="Annual O&amp;M",S12="Maintenance-only"),IF(T12&gt;30,0,IF(O12&lt;&gt;"",O12,MAX(0,N(J12)+N(K12))*IF(N12&lt;&gt;"",N12,M12))*MAX(0,30-T12+1)),0)))),0)</f>
        <v>663056.744794915</v>
      </c>
      <c r="AC12" s="113" t="n">
        <f aca="false">IFERROR(IF(OR(R12&lt;&gt;"Yes",Q12&lt;&gt;"ESD"),0,IF(S12="Cash capital",IF(T12&lt;=5,IF(O12&lt;&gt;"",O12,MAX(0,N(F12)+N(K12))*IF(N12&lt;&gt;"",N12,M12)),0),IF(S12="Debt service",IF(T12&gt;5,0,AI12*MAX(0,MIN(5-T12+1,U12))),IF(OR(S12="Annual O&amp;M",S12="Maintenance-only"),IF(T12&gt;5,0,IF(O12&lt;&gt;"",O12,MAX(0,N(F12)+N(K12))*IF(N12&lt;&gt;"",N12,M12))*MAX(0,5-T12+1)),0)))),0)</f>
        <v>0</v>
      </c>
      <c r="AD12" s="113" t="n">
        <f aca="false">IFERROR(IF(OR(R12&lt;&gt;"Yes",Q12&lt;&gt;"ESD"),0,IF(S12="Cash capital",IF(T12&lt;=10,IF(O12&lt;&gt;"",O12,MAX(0,N(G12)+N(K12))*IF(N12&lt;&gt;"",N12,M12)),0),IF(S12="Debt service",IF(T12&gt;10,0,AJ12*MAX(0,MIN(10-T12+1,U12))),IF(OR(S12="Annual O&amp;M",S12="Maintenance-only"),IF(T12&gt;10,0,IF(O12&lt;&gt;"",O12,MAX(0,N(G12)+N(K12))*IF(N12&lt;&gt;"",N12,M12))*MAX(0,10-T12+1)),0)))),0)</f>
        <v>0</v>
      </c>
      <c r="AE12" s="113" t="n">
        <f aca="false">IFERROR(IF(OR(R12&lt;&gt;"Yes",Q12&lt;&gt;"ESD"),0,IF(S12="Cash capital",IF(T12&lt;=15,IF(O12&lt;&gt;"",O12,MAX(0,N(H12)+N(K12))*IF(N12&lt;&gt;"",N12,M12)),0),IF(S12="Debt service",IF(T12&gt;15,0,AK12*MAX(0,MIN(15-T12+1,U12))),IF(OR(S12="Annual O&amp;M",S12="Maintenance-only"),IF(T12&gt;15,0,IF(O12&lt;&gt;"",O12,MAX(0,N(H12)+N(K12))*IF(N12&lt;&gt;"",N12,M12))*MAX(0,15-T12+1)),0)))),0)</f>
        <v>0</v>
      </c>
      <c r="AF12" s="113" t="n">
        <f aca="false">IFERROR(IF(OR(R12&lt;&gt;"Yes",Q12&lt;&gt;"ESD"),0,IF(S12="Cash capital",IF(T12&lt;=20,IF(O12&lt;&gt;"",O12,MAX(0,N(I12)+N(K12))*IF(N12&lt;&gt;"",N12,M12)),0),IF(S12="Debt service",IF(T12&gt;20,0,AL12*MAX(0,MIN(20-T12+1,U12))),IF(OR(S12="Annual O&amp;M",S12="Maintenance-only"),IF(T12&gt;20,0,IF(O12&lt;&gt;"",O12,MAX(0,N(I12)+N(K12))*IF(N12&lt;&gt;"",N12,M12))*MAX(0,20-T12+1)),0)))),0)</f>
        <v>0</v>
      </c>
      <c r="AG12" s="113" t="n">
        <f aca="false">IFERROR(IF(OR(R12&lt;&gt;"Yes",Q12&lt;&gt;"ESD"),0,IF(S12="Cash capital",IF(T12&lt;=30,IF(O12&lt;&gt;"",O12,MAX(0,N(J12)+N(K12))*IF(N12&lt;&gt;"",N12,M12)),0),IF(S12="Debt service",IF(T12&gt;30,0,AM12*MAX(0,MIN(30-T12+1,U12))),IF(OR(S12="Annual O&amp;M",S12="Maintenance-only"),IF(T12&gt;30,0,IF(O12&lt;&gt;"",O12,MAX(0,N(J12)+N(K12))*IF(N12&lt;&gt;"",N12,M12))*MAX(0,30-T12+1)),0)))),0)</f>
        <v>0</v>
      </c>
      <c r="AH12" s="114" t="s">
        <v>225</v>
      </c>
      <c r="AI12" s="106" t="n">
        <f aca="false">IFERROR(IF(U12&gt;0,IF(O12&lt;&gt;"",O12,MAX(0,N(F12)+N(K12))*IF(N12&lt;&gt;"",N12,M12))*IF(V12=0,1/U12,V12/(1-(1+V12)^(-U12))),0),0)</f>
        <v>33152.8372397458</v>
      </c>
      <c r="AJ12" s="106" t="n">
        <f aca="false">IFERROR(IF(U12&gt;0,IF(O12&lt;&gt;"",O12,MAX(0,N(G12)+N(K12))*IF(N12&lt;&gt;"",N12,M12))*IF(V12=0,1/U12,V12/(1-(1+V12)^(-U12))),0),0)</f>
        <v>33152.8372397458</v>
      </c>
      <c r="AK12" s="106" t="n">
        <f aca="false">IFERROR(IF(U12&gt;0,IF(O12&lt;&gt;"",O12,MAX(0,N(H12)+N(K12))*IF(N12&lt;&gt;"",N12,M12))*IF(V12=0,1/U12,V12/(1-(1+V12)^(-U12))),0),0)</f>
        <v>33152.8372397458</v>
      </c>
      <c r="AL12" s="106" t="n">
        <f aca="false">IFERROR(IF(U12&gt;0,IF(O12&lt;&gt;"",O12,MAX(0,N(I12)+N(K12))*IF(N12&lt;&gt;"",N12,M12))*IF(V12=0,1/U12,V12/(1-(1+V12)^(-U12))),0),0)</f>
        <v>33152.8372397458</v>
      </c>
      <c r="AM12" s="106" t="n">
        <f aca="false">IFERROR(IF(U12&gt;0,IF(O12&lt;&gt;"",O12,MAX(0,N(J12)+N(K12))*IF(N12&lt;&gt;"",N12,M12))*IF(V12=0,1/U12,V12/(1-(1+V12)^(-U12))),0),0)</f>
        <v>33152.8372397458</v>
      </c>
    </row>
    <row r="13" customFormat="false" ht="28.5" hidden="false" customHeight="true" outlineLevel="0" collapsed="false">
      <c r="A13" s="115" t="s">
        <v>226</v>
      </c>
      <c r="B13" s="115" t="s">
        <v>190</v>
      </c>
      <c r="C13" s="115" t="s">
        <v>191</v>
      </c>
      <c r="D13" s="115" t="s">
        <v>223</v>
      </c>
      <c r="E13" s="115" t="s">
        <v>227</v>
      </c>
      <c r="F13" s="116" t="n">
        <f aca="false">('03_Multi_Horizon_Results'!$B$5*'12_Takeoff_Assumptions'!$B$6/5280)*'12_Takeoff_Assumptions'!$B$8</f>
        <v>1.30681818181818</v>
      </c>
      <c r="G13" s="116" t="n">
        <f aca="false">('03_Multi_Horizon_Results'!$C$5*'12_Takeoff_Assumptions'!$B$6/5280)*'12_Takeoff_Assumptions'!$B$8</f>
        <v>1.30681818181818</v>
      </c>
      <c r="H13" s="116" t="n">
        <f aca="false">('03_Multi_Horizon_Results'!$D$5*'12_Takeoff_Assumptions'!$B$6/5280)*'12_Takeoff_Assumptions'!$B$8</f>
        <v>1.30681818181818</v>
      </c>
      <c r="I13" s="116" t="n">
        <f aca="false">('03_Multi_Horizon_Results'!$E$5*'12_Takeoff_Assumptions'!$B$6/5280)*'12_Takeoff_Assumptions'!$B$8</f>
        <v>1.30681818181818</v>
      </c>
      <c r="J13" s="116" t="n">
        <f aca="false">('03_Multi_Horizon_Results'!$F$5*'12_Takeoff_Assumptions'!$B$6/5280)*'12_Takeoff_Assumptions'!$B$8</f>
        <v>1.30681818181818</v>
      </c>
      <c r="K13" s="117"/>
      <c r="L13" s="116" t="n">
        <f aca="false">MAX(0,N(G13)+N(K13))</f>
        <v>1.30681818181818</v>
      </c>
      <c r="M13" s="118" t="n">
        <v>600000</v>
      </c>
      <c r="N13" s="119"/>
      <c r="O13" s="119"/>
      <c r="P13" s="118" t="n">
        <f aca="false">IFERROR(IF(O13&lt;&gt;"",O13,L13*IF(N13&lt;&gt;"",N13,M13)),0)</f>
        <v>784090.909090909</v>
      </c>
      <c r="Q13" s="120" t="s">
        <v>190</v>
      </c>
      <c r="R13" s="120" t="s">
        <v>31</v>
      </c>
      <c r="S13" s="120" t="s">
        <v>194</v>
      </c>
      <c r="T13" s="121" t="n">
        <v>1</v>
      </c>
      <c r="U13" s="121" t="n">
        <v>20</v>
      </c>
      <c r="V13" s="122" t="n">
        <v>0.045</v>
      </c>
      <c r="W13" s="118" t="n">
        <f aca="false">IFERROR(IF(AND(R13="Yes",S13="Debt service",U13&gt;0),IF(V13=0,P13/U13,P13*V13/(1-(1+V13)^(-U13))),0),0)</f>
        <v>60277.8858904468</v>
      </c>
      <c r="X13" s="123" t="n">
        <f aca="false">IFERROR(IF(OR(R13&lt;&gt;"Yes",Q13&lt;&gt;"City"),0,IF(S13="Cash capital",IF(T13&lt;=5,IF(O13&lt;&gt;"",O13,MAX(0,N(F13)+N(K13))*IF(N13&lt;&gt;"",N13,M13)),0),IF(S13="Debt service",IF(T13&gt;5,0,AI13*MAX(0,MIN(5-T13+1,U13))),IF(OR(S13="Annual O&amp;M",S13="Maintenance-only"),IF(T13&gt;5,0,IF(O13&lt;&gt;"",O13,MAX(0,N(F13)+N(K13))*IF(N13&lt;&gt;"",N13,M13))*MAX(0,5-T13+1)),0)))),0)</f>
        <v>301389.429452234</v>
      </c>
      <c r="Y13" s="123" t="n">
        <f aca="false">IFERROR(IF(OR(R13&lt;&gt;"Yes",Q13&lt;&gt;"City"),0,IF(S13="Cash capital",IF(T13&lt;=10,IF(O13&lt;&gt;"",O13,MAX(0,N(G13)+N(K13))*IF(N13&lt;&gt;"",N13,M13)),0),IF(S13="Debt service",IF(T13&gt;10,0,AJ13*MAX(0,MIN(10-T13+1,U13))),IF(OR(S13="Annual O&amp;M",S13="Maintenance-only"),IF(T13&gt;10,0,IF(O13&lt;&gt;"",O13,MAX(0,N(G13)+N(K13))*IF(N13&lt;&gt;"",N13,M13))*MAX(0,10-T13+1)),0)))),0)</f>
        <v>602778.858904468</v>
      </c>
      <c r="Z13" s="123" t="n">
        <f aca="false">IFERROR(IF(OR(R13&lt;&gt;"Yes",Q13&lt;&gt;"City"),0,IF(S13="Cash capital",IF(T13&lt;=15,IF(O13&lt;&gt;"",O13,MAX(0,N(H13)+N(K13))*IF(N13&lt;&gt;"",N13,M13)),0),IF(S13="Debt service",IF(T13&gt;15,0,AK13*MAX(0,MIN(15-T13+1,U13))),IF(OR(S13="Annual O&amp;M",S13="Maintenance-only"),IF(T13&gt;15,0,IF(O13&lt;&gt;"",O13,MAX(0,N(H13)+N(K13))*IF(N13&lt;&gt;"",N13,M13))*MAX(0,15-T13+1)),0)))),0)</f>
        <v>904168.288356703</v>
      </c>
      <c r="AA13" s="123" t="n">
        <f aca="false">IFERROR(IF(OR(R13&lt;&gt;"Yes",Q13&lt;&gt;"City"),0,IF(S13="Cash capital",IF(T13&lt;=20,IF(O13&lt;&gt;"",O13,MAX(0,N(I13)+N(K13))*IF(N13&lt;&gt;"",N13,M13)),0),IF(S13="Debt service",IF(T13&gt;20,0,AL13*MAX(0,MIN(20-T13+1,U13))),IF(OR(S13="Annual O&amp;M",S13="Maintenance-only"),IF(T13&gt;20,0,IF(O13&lt;&gt;"",O13,MAX(0,N(I13)+N(K13))*IF(N13&lt;&gt;"",N13,M13))*MAX(0,20-T13+1)),0)))),0)</f>
        <v>1205557.71780894</v>
      </c>
      <c r="AB13" s="123" t="n">
        <f aca="false">IFERROR(IF(OR(R13&lt;&gt;"Yes",Q13&lt;&gt;"City"),0,IF(S13="Cash capital",IF(T13&lt;=30,IF(O13&lt;&gt;"",O13,MAX(0,N(J13)+N(K13))*IF(N13&lt;&gt;"",N13,M13)),0),IF(S13="Debt service",IF(T13&gt;30,0,AM13*MAX(0,MIN(30-T13+1,U13))),IF(OR(S13="Annual O&amp;M",S13="Maintenance-only"),IF(T13&gt;30,0,IF(O13&lt;&gt;"",O13,MAX(0,N(J13)+N(K13))*IF(N13&lt;&gt;"",N13,M13))*MAX(0,30-T13+1)),0)))),0)</f>
        <v>1205557.71780894</v>
      </c>
      <c r="AC13" s="123" t="n">
        <f aca="false">IFERROR(IF(OR(R13&lt;&gt;"Yes",Q13&lt;&gt;"ESD"),0,IF(S13="Cash capital",IF(T13&lt;=5,IF(O13&lt;&gt;"",O13,MAX(0,N(F13)+N(K13))*IF(N13&lt;&gt;"",N13,M13)),0),IF(S13="Debt service",IF(T13&gt;5,0,AI13*MAX(0,MIN(5-T13+1,U13))),IF(OR(S13="Annual O&amp;M",S13="Maintenance-only"),IF(T13&gt;5,0,IF(O13&lt;&gt;"",O13,MAX(0,N(F13)+N(K13))*IF(N13&lt;&gt;"",N13,M13))*MAX(0,5-T13+1)),0)))),0)</f>
        <v>0</v>
      </c>
      <c r="AD13" s="123" t="n">
        <f aca="false">IFERROR(IF(OR(R13&lt;&gt;"Yes",Q13&lt;&gt;"ESD"),0,IF(S13="Cash capital",IF(T13&lt;=10,IF(O13&lt;&gt;"",O13,MAX(0,N(G13)+N(K13))*IF(N13&lt;&gt;"",N13,M13)),0),IF(S13="Debt service",IF(T13&gt;10,0,AJ13*MAX(0,MIN(10-T13+1,U13))),IF(OR(S13="Annual O&amp;M",S13="Maintenance-only"),IF(T13&gt;10,0,IF(O13&lt;&gt;"",O13,MAX(0,N(G13)+N(K13))*IF(N13&lt;&gt;"",N13,M13))*MAX(0,10-T13+1)),0)))),0)</f>
        <v>0</v>
      </c>
      <c r="AE13" s="123" t="n">
        <f aca="false">IFERROR(IF(OR(R13&lt;&gt;"Yes",Q13&lt;&gt;"ESD"),0,IF(S13="Cash capital",IF(T13&lt;=15,IF(O13&lt;&gt;"",O13,MAX(0,N(H13)+N(K13))*IF(N13&lt;&gt;"",N13,M13)),0),IF(S13="Debt service",IF(T13&gt;15,0,AK13*MAX(0,MIN(15-T13+1,U13))),IF(OR(S13="Annual O&amp;M",S13="Maintenance-only"),IF(T13&gt;15,0,IF(O13&lt;&gt;"",O13,MAX(0,N(H13)+N(K13))*IF(N13&lt;&gt;"",N13,M13))*MAX(0,15-T13+1)),0)))),0)</f>
        <v>0</v>
      </c>
      <c r="AF13" s="123" t="n">
        <f aca="false">IFERROR(IF(OR(R13&lt;&gt;"Yes",Q13&lt;&gt;"ESD"),0,IF(S13="Cash capital",IF(T13&lt;=20,IF(O13&lt;&gt;"",O13,MAX(0,N(I13)+N(K13))*IF(N13&lt;&gt;"",N13,M13)),0),IF(S13="Debt service",IF(T13&gt;20,0,AL13*MAX(0,MIN(20-T13+1,U13))),IF(OR(S13="Annual O&amp;M",S13="Maintenance-only"),IF(T13&gt;20,0,IF(O13&lt;&gt;"",O13,MAX(0,N(I13)+N(K13))*IF(N13&lt;&gt;"",N13,M13))*MAX(0,20-T13+1)),0)))),0)</f>
        <v>0</v>
      </c>
      <c r="AG13" s="123" t="n">
        <f aca="false">IFERROR(IF(OR(R13&lt;&gt;"Yes",Q13&lt;&gt;"ESD"),0,IF(S13="Cash capital",IF(T13&lt;=30,IF(O13&lt;&gt;"",O13,MAX(0,N(J13)+N(K13))*IF(N13&lt;&gt;"",N13,M13)),0),IF(S13="Debt service",IF(T13&gt;30,0,AM13*MAX(0,MIN(30-T13+1,U13))),IF(OR(S13="Annual O&amp;M",S13="Maintenance-only"),IF(T13&gt;30,0,IF(O13&lt;&gt;"",O13,MAX(0,N(J13)+N(K13))*IF(N13&lt;&gt;"",N13,M13))*MAX(0,30-T13+1)),0)))),0)</f>
        <v>0</v>
      </c>
      <c r="AH13" s="124" t="s">
        <v>228</v>
      </c>
      <c r="AI13" s="115" t="n">
        <f aca="false">IFERROR(IF(U13&gt;0,IF(O13&lt;&gt;"",O13,MAX(0,N(F13)+N(K13))*IF(N13&lt;&gt;"",N13,M13))*IF(V13=0,1/U13,V13/(1-(1+V13)^(-U13))),0),0)</f>
        <v>60277.8858904468</v>
      </c>
      <c r="AJ13" s="115" t="n">
        <f aca="false">IFERROR(IF(U13&gt;0,IF(O13&lt;&gt;"",O13,MAX(0,N(G13)+N(K13))*IF(N13&lt;&gt;"",N13,M13))*IF(V13=0,1/U13,V13/(1-(1+V13)^(-U13))),0),0)</f>
        <v>60277.8858904468</v>
      </c>
      <c r="AK13" s="115" t="n">
        <f aca="false">IFERROR(IF(U13&gt;0,IF(O13&lt;&gt;"",O13,MAX(0,N(H13)+N(K13))*IF(N13&lt;&gt;"",N13,M13))*IF(V13=0,1/U13,V13/(1-(1+V13)^(-U13))),0),0)</f>
        <v>60277.8858904468</v>
      </c>
      <c r="AL13" s="115" t="n">
        <f aca="false">IFERROR(IF(U13&gt;0,IF(O13&lt;&gt;"",O13,MAX(0,N(I13)+N(K13))*IF(N13&lt;&gt;"",N13,M13))*IF(V13=0,1/U13,V13/(1-(1+V13)^(-U13))),0),0)</f>
        <v>60277.8858904468</v>
      </c>
      <c r="AM13" s="106" t="n">
        <f aca="false">IFERROR(IF(U13&gt;0,IF(O13&lt;&gt;"",O13,MAX(0,N(J13)+N(K13))*IF(N13&lt;&gt;"",N13,M13))*IF(V13=0,1/U13,V13/(1-(1+V13)^(-U13))),0),0)</f>
        <v>60277.8858904468</v>
      </c>
    </row>
    <row r="14" customFormat="false" ht="14.25" hidden="false" customHeight="true" outlineLevel="0" collapsed="false">
      <c r="A14" s="106" t="s">
        <v>229</v>
      </c>
      <c r="B14" s="106" t="s">
        <v>190</v>
      </c>
      <c r="C14" s="106" t="s">
        <v>191</v>
      </c>
      <c r="D14" s="106" t="s">
        <v>192</v>
      </c>
      <c r="E14" s="106" t="s">
        <v>209</v>
      </c>
      <c r="F14" s="107" t="n">
        <f aca="false">'03_Multi_Horizon_Results'!$B$5*'12_Takeoff_Assumptions'!$B$24</f>
        <v>8625</v>
      </c>
      <c r="G14" s="107" t="n">
        <f aca="false">'03_Multi_Horizon_Results'!$C$5*'12_Takeoff_Assumptions'!$B$24</f>
        <v>8625</v>
      </c>
      <c r="H14" s="107" t="n">
        <f aca="false">'03_Multi_Horizon_Results'!$D$5*'12_Takeoff_Assumptions'!$B$24</f>
        <v>8625</v>
      </c>
      <c r="I14" s="107" t="n">
        <f aca="false">'03_Multi_Horizon_Results'!$E$5*'12_Takeoff_Assumptions'!$B$24</f>
        <v>8625</v>
      </c>
      <c r="J14" s="107" t="n">
        <f aca="false">'03_Multi_Horizon_Results'!$F$5*'12_Takeoff_Assumptions'!$B$24</f>
        <v>8625</v>
      </c>
      <c r="K14" s="108"/>
      <c r="L14" s="107" t="n">
        <f aca="false">MAX(0,N(G14)+N(K14))</f>
        <v>8625</v>
      </c>
      <c r="M14" s="109" t="n">
        <v>75</v>
      </c>
      <c r="N14" s="110"/>
      <c r="O14" s="110"/>
      <c r="P14" s="109" t="n">
        <f aca="false">IFERROR(IF(O14&lt;&gt;"",O14,L14*IF(N14&lt;&gt;"",N14,M14)),0)</f>
        <v>646875</v>
      </c>
      <c r="Q14" s="101" t="s">
        <v>190</v>
      </c>
      <c r="R14" s="101" t="s">
        <v>31</v>
      </c>
      <c r="S14" s="101" t="s">
        <v>194</v>
      </c>
      <c r="T14" s="111" t="n">
        <v>1</v>
      </c>
      <c r="U14" s="111" t="n">
        <v>20</v>
      </c>
      <c r="V14" s="112" t="n">
        <v>0.045</v>
      </c>
      <c r="W14" s="109" t="n">
        <f aca="false">IFERROR(IF(AND(R14="Yes",S14="Debt service",U14&gt;0),IF(V14=0,P14/U14,P14*V14/(1-(1+V14)^(-U14))),0),0)</f>
        <v>49729.2558596186</v>
      </c>
      <c r="X14" s="113" t="n">
        <f aca="false">IFERROR(IF(OR(R14&lt;&gt;"Yes",Q14&lt;&gt;"City"),0,IF(S14="Cash capital",IF(T14&lt;=5,IF(O14&lt;&gt;"",O14,MAX(0,N(F14)+N(K14))*IF(N14&lt;&gt;"",N14,M14)),0),IF(S14="Debt service",IF(T14&gt;5,0,AI14*MAX(0,MIN(5-T14+1,U14))),IF(OR(S14="Annual O&amp;M",S14="Maintenance-only"),IF(T14&gt;5,0,IF(O14&lt;&gt;"",O14,MAX(0,N(F14)+N(K14))*IF(N14&lt;&gt;"",N14,M14))*MAX(0,5-T14+1)),0)))),0)</f>
        <v>248646.279298093</v>
      </c>
      <c r="Y14" s="113" t="n">
        <f aca="false">IFERROR(IF(OR(R14&lt;&gt;"Yes",Q14&lt;&gt;"City"),0,IF(S14="Cash capital",IF(T14&lt;=10,IF(O14&lt;&gt;"",O14,MAX(0,N(G14)+N(K14))*IF(N14&lt;&gt;"",N14,M14)),0),IF(S14="Debt service",IF(T14&gt;10,0,AJ14*MAX(0,MIN(10-T14+1,U14))),IF(OR(S14="Annual O&amp;M",S14="Maintenance-only"),IF(T14&gt;10,0,IF(O14&lt;&gt;"",O14,MAX(0,N(G14)+N(K14))*IF(N14&lt;&gt;"",N14,M14))*MAX(0,10-T14+1)),0)))),0)</f>
        <v>497292.558596186</v>
      </c>
      <c r="Z14" s="113" t="n">
        <f aca="false">IFERROR(IF(OR(R14&lt;&gt;"Yes",Q14&lt;&gt;"City"),0,IF(S14="Cash capital",IF(T14&lt;=15,IF(O14&lt;&gt;"",O14,MAX(0,N(H14)+N(K14))*IF(N14&lt;&gt;"",N14,M14)),0),IF(S14="Debt service",IF(T14&gt;15,0,AK14*MAX(0,MIN(15-T14+1,U14))),IF(OR(S14="Annual O&amp;M",S14="Maintenance-only"),IF(T14&gt;15,0,IF(O14&lt;&gt;"",O14,MAX(0,N(H14)+N(K14))*IF(N14&lt;&gt;"",N14,M14))*MAX(0,15-T14+1)),0)))),0)</f>
        <v>745938.83789428</v>
      </c>
      <c r="AA14" s="113" t="n">
        <f aca="false">IFERROR(IF(OR(R14&lt;&gt;"Yes",Q14&lt;&gt;"City"),0,IF(S14="Cash capital",IF(T14&lt;=20,IF(O14&lt;&gt;"",O14,MAX(0,N(I14)+N(K14))*IF(N14&lt;&gt;"",N14,M14)),0),IF(S14="Debt service",IF(T14&gt;20,0,AL14*MAX(0,MIN(20-T14+1,U14))),IF(OR(S14="Annual O&amp;M",S14="Maintenance-only"),IF(T14&gt;20,0,IF(O14&lt;&gt;"",O14,MAX(0,N(I14)+N(K14))*IF(N14&lt;&gt;"",N14,M14))*MAX(0,20-T14+1)),0)))),0)</f>
        <v>994585.117192373</v>
      </c>
      <c r="AB14" s="113" t="n">
        <f aca="false">IFERROR(IF(OR(R14&lt;&gt;"Yes",Q14&lt;&gt;"City"),0,IF(S14="Cash capital",IF(T14&lt;=30,IF(O14&lt;&gt;"",O14,MAX(0,N(J14)+N(K14))*IF(N14&lt;&gt;"",N14,M14)),0),IF(S14="Debt service",IF(T14&gt;30,0,AM14*MAX(0,MIN(30-T14+1,U14))),IF(OR(S14="Annual O&amp;M",S14="Maintenance-only"),IF(T14&gt;30,0,IF(O14&lt;&gt;"",O14,MAX(0,N(J14)+N(K14))*IF(N14&lt;&gt;"",N14,M14))*MAX(0,30-T14+1)),0)))),0)</f>
        <v>994585.117192373</v>
      </c>
      <c r="AC14" s="113" t="n">
        <f aca="false">IFERROR(IF(OR(R14&lt;&gt;"Yes",Q14&lt;&gt;"ESD"),0,IF(S14="Cash capital",IF(T14&lt;=5,IF(O14&lt;&gt;"",O14,MAX(0,N(F14)+N(K14))*IF(N14&lt;&gt;"",N14,M14)),0),IF(S14="Debt service",IF(T14&gt;5,0,AI14*MAX(0,MIN(5-T14+1,U14))),IF(OR(S14="Annual O&amp;M",S14="Maintenance-only"),IF(T14&gt;5,0,IF(O14&lt;&gt;"",O14,MAX(0,N(F14)+N(K14))*IF(N14&lt;&gt;"",N14,M14))*MAX(0,5-T14+1)),0)))),0)</f>
        <v>0</v>
      </c>
      <c r="AD14" s="113" t="n">
        <f aca="false">IFERROR(IF(OR(R14&lt;&gt;"Yes",Q14&lt;&gt;"ESD"),0,IF(S14="Cash capital",IF(T14&lt;=10,IF(O14&lt;&gt;"",O14,MAX(0,N(G14)+N(K14))*IF(N14&lt;&gt;"",N14,M14)),0),IF(S14="Debt service",IF(T14&gt;10,0,AJ14*MAX(0,MIN(10-T14+1,U14))),IF(OR(S14="Annual O&amp;M",S14="Maintenance-only"),IF(T14&gt;10,0,IF(O14&lt;&gt;"",O14,MAX(0,N(G14)+N(K14))*IF(N14&lt;&gt;"",N14,M14))*MAX(0,10-T14+1)),0)))),0)</f>
        <v>0</v>
      </c>
      <c r="AE14" s="113" t="n">
        <f aca="false">IFERROR(IF(OR(R14&lt;&gt;"Yes",Q14&lt;&gt;"ESD"),0,IF(S14="Cash capital",IF(T14&lt;=15,IF(O14&lt;&gt;"",O14,MAX(0,N(H14)+N(K14))*IF(N14&lt;&gt;"",N14,M14)),0),IF(S14="Debt service",IF(T14&gt;15,0,AK14*MAX(0,MIN(15-T14+1,U14))),IF(OR(S14="Annual O&amp;M",S14="Maintenance-only"),IF(T14&gt;15,0,IF(O14&lt;&gt;"",O14,MAX(0,N(H14)+N(K14))*IF(N14&lt;&gt;"",N14,M14))*MAX(0,15-T14+1)),0)))),0)</f>
        <v>0</v>
      </c>
      <c r="AF14" s="113" t="n">
        <f aca="false">IFERROR(IF(OR(R14&lt;&gt;"Yes",Q14&lt;&gt;"ESD"),0,IF(S14="Cash capital",IF(T14&lt;=20,IF(O14&lt;&gt;"",O14,MAX(0,N(I14)+N(K14))*IF(N14&lt;&gt;"",N14,M14)),0),IF(S14="Debt service",IF(T14&gt;20,0,AL14*MAX(0,MIN(20-T14+1,U14))),IF(OR(S14="Annual O&amp;M",S14="Maintenance-only"),IF(T14&gt;20,0,IF(O14&lt;&gt;"",O14,MAX(0,N(I14)+N(K14))*IF(N14&lt;&gt;"",N14,M14))*MAX(0,20-T14+1)),0)))),0)</f>
        <v>0</v>
      </c>
      <c r="AG14" s="113" t="n">
        <f aca="false">IFERROR(IF(OR(R14&lt;&gt;"Yes",Q14&lt;&gt;"ESD"),0,IF(S14="Cash capital",IF(T14&lt;=30,IF(O14&lt;&gt;"",O14,MAX(0,N(J14)+N(K14))*IF(N14&lt;&gt;"",N14,M14)),0),IF(S14="Debt service",IF(T14&gt;30,0,AM14*MAX(0,MIN(30-T14+1,U14))),IF(OR(S14="Annual O&amp;M",S14="Maintenance-only"),IF(T14&gt;30,0,IF(O14&lt;&gt;"",O14,MAX(0,N(J14)+N(K14))*IF(N14&lt;&gt;"",N14,M14))*MAX(0,30-T14+1)),0)))),0)</f>
        <v>0</v>
      </c>
      <c r="AH14" s="114" t="s">
        <v>230</v>
      </c>
      <c r="AI14" s="106" t="n">
        <f aca="false">IFERROR(IF(U14&gt;0,IF(O14&lt;&gt;"",O14,MAX(0,N(F14)+N(K14))*IF(N14&lt;&gt;"",N14,M14))*IF(V14=0,1/U14,V14/(1-(1+V14)^(-U14))),0),0)</f>
        <v>49729.2558596186</v>
      </c>
      <c r="AJ14" s="106" t="n">
        <f aca="false">IFERROR(IF(U14&gt;0,IF(O14&lt;&gt;"",O14,MAX(0,N(G14)+N(K14))*IF(N14&lt;&gt;"",N14,M14))*IF(V14=0,1/U14,V14/(1-(1+V14)^(-U14))),0),0)</f>
        <v>49729.2558596186</v>
      </c>
      <c r="AK14" s="106" t="n">
        <f aca="false">IFERROR(IF(U14&gt;0,IF(O14&lt;&gt;"",O14,MAX(0,N(H14)+N(K14))*IF(N14&lt;&gt;"",N14,M14))*IF(V14=0,1/U14,V14/(1-(1+V14)^(-U14))),0),0)</f>
        <v>49729.2558596186</v>
      </c>
      <c r="AL14" s="106" t="n">
        <f aca="false">IFERROR(IF(U14&gt;0,IF(O14&lt;&gt;"",O14,MAX(0,N(I14)+N(K14))*IF(N14&lt;&gt;"",N14,M14))*IF(V14=0,1/U14,V14/(1-(1+V14)^(-U14))),0),0)</f>
        <v>49729.2558596186</v>
      </c>
      <c r="AM14" s="106" t="n">
        <f aca="false">IFERROR(IF(U14&gt;0,IF(O14&lt;&gt;"",O14,MAX(0,N(J14)+N(K14))*IF(N14&lt;&gt;"",N14,M14))*IF(V14=0,1/U14,V14/(1-(1+V14)^(-U14))),0),0)</f>
        <v>49729.2558596186</v>
      </c>
    </row>
    <row r="15" customFormat="false" ht="14.25" hidden="false" customHeight="true" outlineLevel="0" collapsed="false">
      <c r="A15" s="115" t="s">
        <v>231</v>
      </c>
      <c r="B15" s="115" t="s">
        <v>190</v>
      </c>
      <c r="C15" s="115" t="s">
        <v>191</v>
      </c>
      <c r="D15" s="115" t="s">
        <v>232</v>
      </c>
      <c r="E15" s="115" t="s">
        <v>233</v>
      </c>
      <c r="F15" s="116" t="n">
        <f aca="false">'03_Multi_Horizon_Results'!$B$5*'12_Takeoff_Assumptions'!$B$25</f>
        <v>2.875</v>
      </c>
      <c r="G15" s="116" t="n">
        <f aca="false">'03_Multi_Horizon_Results'!$C$5*'12_Takeoff_Assumptions'!$B$25</f>
        <v>2.875</v>
      </c>
      <c r="H15" s="116" t="n">
        <f aca="false">'03_Multi_Horizon_Results'!$D$5*'12_Takeoff_Assumptions'!$B$25</f>
        <v>2.875</v>
      </c>
      <c r="I15" s="116" t="n">
        <f aca="false">'03_Multi_Horizon_Results'!$E$5*'12_Takeoff_Assumptions'!$B$25</f>
        <v>2.875</v>
      </c>
      <c r="J15" s="116" t="n">
        <f aca="false">'03_Multi_Horizon_Results'!$F$5*'12_Takeoff_Assumptions'!$B$25</f>
        <v>2.875</v>
      </c>
      <c r="K15" s="117"/>
      <c r="L15" s="116" t="n">
        <f aca="false">MAX(0,N(G15)+N(K15))</f>
        <v>2.875</v>
      </c>
      <c r="M15" s="118" t="n">
        <v>150000</v>
      </c>
      <c r="N15" s="119"/>
      <c r="O15" s="119"/>
      <c r="P15" s="118" t="n">
        <f aca="false">IFERROR(IF(O15&lt;&gt;"",O15,L15*IF(N15&lt;&gt;"",N15,M15)),0)</f>
        <v>431250</v>
      </c>
      <c r="Q15" s="120" t="s">
        <v>190</v>
      </c>
      <c r="R15" s="120" t="s">
        <v>31</v>
      </c>
      <c r="S15" s="120" t="s">
        <v>194</v>
      </c>
      <c r="T15" s="121" t="n">
        <v>1</v>
      </c>
      <c r="U15" s="121" t="n">
        <v>20</v>
      </c>
      <c r="V15" s="122" t="n">
        <v>0.045</v>
      </c>
      <c r="W15" s="118" t="n">
        <f aca="false">IFERROR(IF(AND(R15="Yes",S15="Debt service",U15&gt;0),IF(V15=0,P15/U15,P15*V15/(1-(1+V15)^(-U15))),0),0)</f>
        <v>33152.8372397458</v>
      </c>
      <c r="X15" s="123" t="n">
        <f aca="false">IFERROR(IF(OR(R15&lt;&gt;"Yes",Q15&lt;&gt;"City"),0,IF(S15="Cash capital",IF(T15&lt;=5,IF(O15&lt;&gt;"",O15,MAX(0,N(F15)+N(K15))*IF(N15&lt;&gt;"",N15,M15)),0),IF(S15="Debt service",IF(T15&gt;5,0,AI15*MAX(0,MIN(5-T15+1,U15))),IF(OR(S15="Annual O&amp;M",S15="Maintenance-only"),IF(T15&gt;5,0,IF(O15&lt;&gt;"",O15,MAX(0,N(F15)+N(K15))*IF(N15&lt;&gt;"",N15,M15))*MAX(0,5-T15+1)),0)))),0)</f>
        <v>165764.186198729</v>
      </c>
      <c r="Y15" s="123" t="n">
        <f aca="false">IFERROR(IF(OR(R15&lt;&gt;"Yes",Q15&lt;&gt;"City"),0,IF(S15="Cash capital",IF(T15&lt;=10,IF(O15&lt;&gt;"",O15,MAX(0,N(G15)+N(K15))*IF(N15&lt;&gt;"",N15,M15)),0),IF(S15="Debt service",IF(T15&gt;10,0,AJ15*MAX(0,MIN(10-T15+1,U15))),IF(OR(S15="Annual O&amp;M",S15="Maintenance-only"),IF(T15&gt;10,0,IF(O15&lt;&gt;"",O15,MAX(0,N(G15)+N(K15))*IF(N15&lt;&gt;"",N15,M15))*MAX(0,10-T15+1)),0)))),0)</f>
        <v>331528.372397458</v>
      </c>
      <c r="Z15" s="123" t="n">
        <f aca="false">IFERROR(IF(OR(R15&lt;&gt;"Yes",Q15&lt;&gt;"City"),0,IF(S15="Cash capital",IF(T15&lt;=15,IF(O15&lt;&gt;"",O15,MAX(0,N(H15)+N(K15))*IF(N15&lt;&gt;"",N15,M15)),0),IF(S15="Debt service",IF(T15&gt;15,0,AK15*MAX(0,MIN(15-T15+1,U15))),IF(OR(S15="Annual O&amp;M",S15="Maintenance-only"),IF(T15&gt;15,0,IF(O15&lt;&gt;"",O15,MAX(0,N(H15)+N(K15))*IF(N15&lt;&gt;"",N15,M15))*MAX(0,15-T15+1)),0)))),0)</f>
        <v>497292.558596186</v>
      </c>
      <c r="AA15" s="123" t="n">
        <f aca="false">IFERROR(IF(OR(R15&lt;&gt;"Yes",Q15&lt;&gt;"City"),0,IF(S15="Cash capital",IF(T15&lt;=20,IF(O15&lt;&gt;"",O15,MAX(0,N(I15)+N(K15))*IF(N15&lt;&gt;"",N15,M15)),0),IF(S15="Debt service",IF(T15&gt;20,0,AL15*MAX(0,MIN(20-T15+1,U15))),IF(OR(S15="Annual O&amp;M",S15="Maintenance-only"),IF(T15&gt;20,0,IF(O15&lt;&gt;"",O15,MAX(0,N(I15)+N(K15))*IF(N15&lt;&gt;"",N15,M15))*MAX(0,20-T15+1)),0)))),0)</f>
        <v>663056.744794915</v>
      </c>
      <c r="AB15" s="123" t="n">
        <f aca="false">IFERROR(IF(OR(R15&lt;&gt;"Yes",Q15&lt;&gt;"City"),0,IF(S15="Cash capital",IF(T15&lt;=30,IF(O15&lt;&gt;"",O15,MAX(0,N(J15)+N(K15))*IF(N15&lt;&gt;"",N15,M15)),0),IF(S15="Debt service",IF(T15&gt;30,0,AM15*MAX(0,MIN(30-T15+1,U15))),IF(OR(S15="Annual O&amp;M",S15="Maintenance-only"),IF(T15&gt;30,0,IF(O15&lt;&gt;"",O15,MAX(0,N(J15)+N(K15))*IF(N15&lt;&gt;"",N15,M15))*MAX(0,30-T15+1)),0)))),0)</f>
        <v>663056.744794915</v>
      </c>
      <c r="AC15" s="123" t="n">
        <f aca="false">IFERROR(IF(OR(R15&lt;&gt;"Yes",Q15&lt;&gt;"ESD"),0,IF(S15="Cash capital",IF(T15&lt;=5,IF(O15&lt;&gt;"",O15,MAX(0,N(F15)+N(K15))*IF(N15&lt;&gt;"",N15,M15)),0),IF(S15="Debt service",IF(T15&gt;5,0,AI15*MAX(0,MIN(5-T15+1,U15))),IF(OR(S15="Annual O&amp;M",S15="Maintenance-only"),IF(T15&gt;5,0,IF(O15&lt;&gt;"",O15,MAX(0,N(F15)+N(K15))*IF(N15&lt;&gt;"",N15,M15))*MAX(0,5-T15+1)),0)))),0)</f>
        <v>0</v>
      </c>
      <c r="AD15" s="123" t="n">
        <f aca="false">IFERROR(IF(OR(R15&lt;&gt;"Yes",Q15&lt;&gt;"ESD"),0,IF(S15="Cash capital",IF(T15&lt;=10,IF(O15&lt;&gt;"",O15,MAX(0,N(G15)+N(K15))*IF(N15&lt;&gt;"",N15,M15)),0),IF(S15="Debt service",IF(T15&gt;10,0,AJ15*MAX(0,MIN(10-T15+1,U15))),IF(OR(S15="Annual O&amp;M",S15="Maintenance-only"),IF(T15&gt;10,0,IF(O15&lt;&gt;"",O15,MAX(0,N(G15)+N(K15))*IF(N15&lt;&gt;"",N15,M15))*MAX(0,10-T15+1)),0)))),0)</f>
        <v>0</v>
      </c>
      <c r="AE15" s="123" t="n">
        <f aca="false">IFERROR(IF(OR(R15&lt;&gt;"Yes",Q15&lt;&gt;"ESD"),0,IF(S15="Cash capital",IF(T15&lt;=15,IF(O15&lt;&gt;"",O15,MAX(0,N(H15)+N(K15))*IF(N15&lt;&gt;"",N15,M15)),0),IF(S15="Debt service",IF(T15&gt;15,0,AK15*MAX(0,MIN(15-T15+1,U15))),IF(OR(S15="Annual O&amp;M",S15="Maintenance-only"),IF(T15&gt;15,0,IF(O15&lt;&gt;"",O15,MAX(0,N(H15)+N(K15))*IF(N15&lt;&gt;"",N15,M15))*MAX(0,15-T15+1)),0)))),0)</f>
        <v>0</v>
      </c>
      <c r="AF15" s="123" t="n">
        <f aca="false">IFERROR(IF(OR(R15&lt;&gt;"Yes",Q15&lt;&gt;"ESD"),0,IF(S15="Cash capital",IF(T15&lt;=20,IF(O15&lt;&gt;"",O15,MAX(0,N(I15)+N(K15))*IF(N15&lt;&gt;"",N15,M15)),0),IF(S15="Debt service",IF(T15&gt;20,0,AL15*MAX(0,MIN(20-T15+1,U15))),IF(OR(S15="Annual O&amp;M",S15="Maintenance-only"),IF(T15&gt;20,0,IF(O15&lt;&gt;"",O15,MAX(0,N(I15)+N(K15))*IF(N15&lt;&gt;"",N15,M15))*MAX(0,20-T15+1)),0)))),0)</f>
        <v>0</v>
      </c>
      <c r="AG15" s="123" t="n">
        <f aca="false">IFERROR(IF(OR(R15&lt;&gt;"Yes",Q15&lt;&gt;"ESD"),0,IF(S15="Cash capital",IF(T15&lt;=30,IF(O15&lt;&gt;"",O15,MAX(0,N(J15)+N(K15))*IF(N15&lt;&gt;"",N15,M15)),0),IF(S15="Debt service",IF(T15&gt;30,0,AM15*MAX(0,MIN(30-T15+1,U15))),IF(OR(S15="Annual O&amp;M",S15="Maintenance-only"),IF(T15&gt;30,0,IF(O15&lt;&gt;"",O15,MAX(0,N(J15)+N(K15))*IF(N15&lt;&gt;"",N15,M15))*MAX(0,30-T15+1)),0)))),0)</f>
        <v>0</v>
      </c>
      <c r="AH15" s="124" t="s">
        <v>234</v>
      </c>
      <c r="AI15" s="115" t="n">
        <f aca="false">IFERROR(IF(U15&gt;0,IF(O15&lt;&gt;"",O15,MAX(0,N(F15)+N(K15))*IF(N15&lt;&gt;"",N15,M15))*IF(V15=0,1/U15,V15/(1-(1+V15)^(-U15))),0),0)</f>
        <v>33152.8372397458</v>
      </c>
      <c r="AJ15" s="115" t="n">
        <f aca="false">IFERROR(IF(U15&gt;0,IF(O15&lt;&gt;"",O15,MAX(0,N(G15)+N(K15))*IF(N15&lt;&gt;"",N15,M15))*IF(V15=0,1/U15,V15/(1-(1+V15)^(-U15))),0),0)</f>
        <v>33152.8372397458</v>
      </c>
      <c r="AK15" s="115" t="n">
        <f aca="false">IFERROR(IF(U15&gt;0,IF(O15&lt;&gt;"",O15,MAX(0,N(H15)+N(K15))*IF(N15&lt;&gt;"",N15,M15))*IF(V15=0,1/U15,V15/(1-(1+V15)^(-U15))),0),0)</f>
        <v>33152.8372397458</v>
      </c>
      <c r="AL15" s="115" t="n">
        <f aca="false">IFERROR(IF(U15&gt;0,IF(O15&lt;&gt;"",O15,MAX(0,N(I15)+N(K15))*IF(N15&lt;&gt;"",N15,M15))*IF(V15=0,1/U15,V15/(1-(1+V15)^(-U15))),0),0)</f>
        <v>33152.8372397458</v>
      </c>
      <c r="AM15" s="106" t="n">
        <f aca="false">IFERROR(IF(U15&gt;0,IF(O15&lt;&gt;"",O15,MAX(0,N(J15)+N(K15))*IF(N15&lt;&gt;"",N15,M15))*IF(V15=0,1/U15,V15/(1-(1+V15)^(-U15))),0),0)</f>
        <v>33152.8372397458</v>
      </c>
    </row>
    <row r="16" customFormat="false" ht="28.5" hidden="false" customHeight="true" outlineLevel="0" collapsed="false">
      <c r="A16" s="106" t="s">
        <v>235</v>
      </c>
      <c r="B16" s="106" t="s">
        <v>190</v>
      </c>
      <c r="C16" s="106" t="s">
        <v>236</v>
      </c>
      <c r="D16" s="106" t="s">
        <v>201</v>
      </c>
      <c r="E16" s="106" t="s">
        <v>237</v>
      </c>
      <c r="F16" s="107" t="n">
        <f aca="false">IF('03_Multi_Horizon_Results'!$B$10&gt;'12_Takeoff_Assumptions'!$B$26,ROUNDUP('03_Multi_Horizon_Results'!$B$10/'12_Takeoff_Assumptions'!$B$26,0),0)</f>
        <v>2</v>
      </c>
      <c r="G16" s="107" t="n">
        <f aca="false">IF('03_Multi_Horizon_Results'!$C$10&gt;'12_Takeoff_Assumptions'!$B$26,ROUNDUP('03_Multi_Horizon_Results'!$C$10/'12_Takeoff_Assumptions'!$B$26,0),0)</f>
        <v>2</v>
      </c>
      <c r="H16" s="107" t="n">
        <f aca="false">IF('03_Multi_Horizon_Results'!$D$10&gt;'12_Takeoff_Assumptions'!$B$26,ROUNDUP('03_Multi_Horizon_Results'!$D$10/'12_Takeoff_Assumptions'!$B$26,0),0)</f>
        <v>2</v>
      </c>
      <c r="I16" s="107" t="n">
        <f aca="false">IF('03_Multi_Horizon_Results'!$E$10&gt;'12_Takeoff_Assumptions'!$B$26,ROUNDUP('03_Multi_Horizon_Results'!$E$10/'12_Takeoff_Assumptions'!$B$26,0),0)</f>
        <v>2</v>
      </c>
      <c r="J16" s="107" t="n">
        <f aca="false">IF('03_Multi_Horizon_Results'!$F$10&gt;'12_Takeoff_Assumptions'!$B$26,ROUNDUP('03_Multi_Horizon_Results'!$F$10/'12_Takeoff_Assumptions'!$B$26,0),0)</f>
        <v>2</v>
      </c>
      <c r="K16" s="108"/>
      <c r="L16" s="107" t="n">
        <f aca="false">MAX(0,N(G16)+N(K16))</f>
        <v>2</v>
      </c>
      <c r="M16" s="109" t="n">
        <v>350000</v>
      </c>
      <c r="N16" s="110"/>
      <c r="O16" s="110"/>
      <c r="P16" s="109" t="n">
        <f aca="false">IFERROR(IF(O16&lt;&gt;"",O16,L16*IF(N16&lt;&gt;"",N16,M16)),0)</f>
        <v>700000</v>
      </c>
      <c r="Q16" s="101" t="s">
        <v>190</v>
      </c>
      <c r="R16" s="101" t="s">
        <v>31</v>
      </c>
      <c r="S16" s="101" t="s">
        <v>194</v>
      </c>
      <c r="T16" s="111" t="n">
        <v>1</v>
      </c>
      <c r="U16" s="111" t="n">
        <v>20</v>
      </c>
      <c r="V16" s="112" t="n">
        <v>0.045</v>
      </c>
      <c r="W16" s="109" t="n">
        <f aca="false">IFERROR(IF(AND(R16="Yes",S16="Debt service",U16&gt;0),IF(V16=0,P16/U16,P16*V16/(1-(1+V16)^(-U16))),0),0)</f>
        <v>53813.3010268337</v>
      </c>
      <c r="X16" s="113" t="n">
        <f aca="false">IFERROR(IF(OR(R16&lt;&gt;"Yes",Q16&lt;&gt;"City"),0,IF(S16="Cash capital",IF(T16&lt;=5,IF(O16&lt;&gt;"",O16,MAX(0,N(F16)+N(K16))*IF(N16&lt;&gt;"",N16,M16)),0),IF(S16="Debt service",IF(T16&gt;5,0,AI16*MAX(0,MIN(5-T16+1,U16))),IF(OR(S16="Annual O&amp;M",S16="Maintenance-only"),IF(T16&gt;5,0,IF(O16&lt;&gt;"",O16,MAX(0,N(F16)+N(K16))*IF(N16&lt;&gt;"",N16,M16))*MAX(0,5-T16+1)),0)))),0)</f>
        <v>269066.505134168</v>
      </c>
      <c r="Y16" s="113" t="n">
        <f aca="false">IFERROR(IF(OR(R16&lt;&gt;"Yes",Q16&lt;&gt;"City"),0,IF(S16="Cash capital",IF(T16&lt;=10,IF(O16&lt;&gt;"",O16,MAX(0,N(G16)+N(K16))*IF(N16&lt;&gt;"",N16,M16)),0),IF(S16="Debt service",IF(T16&gt;10,0,AJ16*MAX(0,MIN(10-T16+1,U16))),IF(OR(S16="Annual O&amp;M",S16="Maintenance-only"),IF(T16&gt;10,0,IF(O16&lt;&gt;"",O16,MAX(0,N(G16)+N(K16))*IF(N16&lt;&gt;"",N16,M16))*MAX(0,10-T16+1)),0)))),0)</f>
        <v>538133.010268337</v>
      </c>
      <c r="Z16" s="113" t="n">
        <f aca="false">IFERROR(IF(OR(R16&lt;&gt;"Yes",Q16&lt;&gt;"City"),0,IF(S16="Cash capital",IF(T16&lt;=15,IF(O16&lt;&gt;"",O16,MAX(0,N(H16)+N(K16))*IF(N16&lt;&gt;"",N16,M16)),0),IF(S16="Debt service",IF(T16&gt;15,0,AK16*MAX(0,MIN(15-T16+1,U16))),IF(OR(S16="Annual O&amp;M",S16="Maintenance-only"),IF(T16&gt;15,0,IF(O16&lt;&gt;"",O16,MAX(0,N(H16)+N(K16))*IF(N16&lt;&gt;"",N16,M16))*MAX(0,15-T16+1)),0)))),0)</f>
        <v>807199.515402505</v>
      </c>
      <c r="AA16" s="113" t="n">
        <f aca="false">IFERROR(IF(OR(R16&lt;&gt;"Yes",Q16&lt;&gt;"City"),0,IF(S16="Cash capital",IF(T16&lt;=20,IF(O16&lt;&gt;"",O16,MAX(0,N(I16)+N(K16))*IF(N16&lt;&gt;"",N16,M16)),0),IF(S16="Debt service",IF(T16&gt;20,0,AL16*MAX(0,MIN(20-T16+1,U16))),IF(OR(S16="Annual O&amp;M",S16="Maintenance-only"),IF(T16&gt;20,0,IF(O16&lt;&gt;"",O16,MAX(0,N(I16)+N(K16))*IF(N16&lt;&gt;"",N16,M16))*MAX(0,20-T16+1)),0)))),0)</f>
        <v>1076266.02053667</v>
      </c>
      <c r="AB16" s="113" t="n">
        <f aca="false">IFERROR(IF(OR(R16&lt;&gt;"Yes",Q16&lt;&gt;"City"),0,IF(S16="Cash capital",IF(T16&lt;=30,IF(O16&lt;&gt;"",O16,MAX(0,N(J16)+N(K16))*IF(N16&lt;&gt;"",N16,M16)),0),IF(S16="Debt service",IF(T16&gt;30,0,AM16*MAX(0,MIN(30-T16+1,U16))),IF(OR(S16="Annual O&amp;M",S16="Maintenance-only"),IF(T16&gt;30,0,IF(O16&lt;&gt;"",O16,MAX(0,N(J16)+N(K16))*IF(N16&lt;&gt;"",N16,M16))*MAX(0,30-T16+1)),0)))),0)</f>
        <v>1076266.02053667</v>
      </c>
      <c r="AC16" s="113" t="n">
        <f aca="false">IFERROR(IF(OR(R16&lt;&gt;"Yes",Q16&lt;&gt;"ESD"),0,IF(S16="Cash capital",IF(T16&lt;=5,IF(O16&lt;&gt;"",O16,MAX(0,N(F16)+N(K16))*IF(N16&lt;&gt;"",N16,M16)),0),IF(S16="Debt service",IF(T16&gt;5,0,AI16*MAX(0,MIN(5-T16+1,U16))),IF(OR(S16="Annual O&amp;M",S16="Maintenance-only"),IF(T16&gt;5,0,IF(O16&lt;&gt;"",O16,MAX(0,N(F16)+N(K16))*IF(N16&lt;&gt;"",N16,M16))*MAX(0,5-T16+1)),0)))),0)</f>
        <v>0</v>
      </c>
      <c r="AD16" s="113" t="n">
        <f aca="false">IFERROR(IF(OR(R16&lt;&gt;"Yes",Q16&lt;&gt;"ESD"),0,IF(S16="Cash capital",IF(T16&lt;=10,IF(O16&lt;&gt;"",O16,MAX(0,N(G16)+N(K16))*IF(N16&lt;&gt;"",N16,M16)),0),IF(S16="Debt service",IF(T16&gt;10,0,AJ16*MAX(0,MIN(10-T16+1,U16))),IF(OR(S16="Annual O&amp;M",S16="Maintenance-only"),IF(T16&gt;10,0,IF(O16&lt;&gt;"",O16,MAX(0,N(G16)+N(K16))*IF(N16&lt;&gt;"",N16,M16))*MAX(0,10-T16+1)),0)))),0)</f>
        <v>0</v>
      </c>
      <c r="AE16" s="113" t="n">
        <f aca="false">IFERROR(IF(OR(R16&lt;&gt;"Yes",Q16&lt;&gt;"ESD"),0,IF(S16="Cash capital",IF(T16&lt;=15,IF(O16&lt;&gt;"",O16,MAX(0,N(H16)+N(K16))*IF(N16&lt;&gt;"",N16,M16)),0),IF(S16="Debt service",IF(T16&gt;15,0,AK16*MAX(0,MIN(15-T16+1,U16))),IF(OR(S16="Annual O&amp;M",S16="Maintenance-only"),IF(T16&gt;15,0,IF(O16&lt;&gt;"",O16,MAX(0,N(H16)+N(K16))*IF(N16&lt;&gt;"",N16,M16))*MAX(0,15-T16+1)),0)))),0)</f>
        <v>0</v>
      </c>
      <c r="AF16" s="113" t="n">
        <f aca="false">IFERROR(IF(OR(R16&lt;&gt;"Yes",Q16&lt;&gt;"ESD"),0,IF(S16="Cash capital",IF(T16&lt;=20,IF(O16&lt;&gt;"",O16,MAX(0,N(I16)+N(K16))*IF(N16&lt;&gt;"",N16,M16)),0),IF(S16="Debt service",IF(T16&gt;20,0,AL16*MAX(0,MIN(20-T16+1,U16))),IF(OR(S16="Annual O&amp;M",S16="Maintenance-only"),IF(T16&gt;20,0,IF(O16&lt;&gt;"",O16,MAX(0,N(I16)+N(K16))*IF(N16&lt;&gt;"",N16,M16))*MAX(0,20-T16+1)),0)))),0)</f>
        <v>0</v>
      </c>
      <c r="AG16" s="113" t="n">
        <f aca="false">IFERROR(IF(OR(R16&lt;&gt;"Yes",Q16&lt;&gt;"ESD"),0,IF(S16="Cash capital",IF(T16&lt;=30,IF(O16&lt;&gt;"",O16,MAX(0,N(J16)+N(K16))*IF(N16&lt;&gt;"",N16,M16)),0),IF(S16="Debt service",IF(T16&gt;30,0,AM16*MAX(0,MIN(30-T16+1,U16))),IF(OR(S16="Annual O&amp;M",S16="Maintenance-only"),IF(T16&gt;30,0,IF(O16&lt;&gt;"",O16,MAX(0,N(J16)+N(K16))*IF(N16&lt;&gt;"",N16,M16))*MAX(0,30-T16+1)),0)))),0)</f>
        <v>0</v>
      </c>
      <c r="AH16" s="114" t="s">
        <v>238</v>
      </c>
      <c r="AI16" s="106" t="n">
        <f aca="false">IFERROR(IF(U16&gt;0,IF(O16&lt;&gt;"",O16,MAX(0,N(F16)+N(K16))*IF(N16&lt;&gt;"",N16,M16))*IF(V16=0,1/U16,V16/(1-(1+V16)^(-U16))),0),0)</f>
        <v>53813.3010268337</v>
      </c>
      <c r="AJ16" s="106" t="n">
        <f aca="false">IFERROR(IF(U16&gt;0,IF(O16&lt;&gt;"",O16,MAX(0,N(G16)+N(K16))*IF(N16&lt;&gt;"",N16,M16))*IF(V16=0,1/U16,V16/(1-(1+V16)^(-U16))),0),0)</f>
        <v>53813.3010268337</v>
      </c>
      <c r="AK16" s="106" t="n">
        <f aca="false">IFERROR(IF(U16&gt;0,IF(O16&lt;&gt;"",O16,MAX(0,N(H16)+N(K16))*IF(N16&lt;&gt;"",N16,M16))*IF(V16=0,1/U16,V16/(1-(1+V16)^(-U16))),0),0)</f>
        <v>53813.3010268337</v>
      </c>
      <c r="AL16" s="106" t="n">
        <f aca="false">IFERROR(IF(U16&gt;0,IF(O16&lt;&gt;"",O16,MAX(0,N(I16)+N(K16))*IF(N16&lt;&gt;"",N16,M16))*IF(V16=0,1/U16,V16/(1-(1+V16)^(-U16))),0),0)</f>
        <v>53813.3010268337</v>
      </c>
      <c r="AM16" s="106" t="n">
        <f aca="false">IFERROR(IF(U16&gt;0,IF(O16&lt;&gt;"",O16,MAX(0,N(J16)+N(K16))*IF(N16&lt;&gt;"",N16,M16))*IF(V16=0,1/U16,V16/(1-(1+V16)^(-U16))),0),0)</f>
        <v>53813.3010268337</v>
      </c>
    </row>
    <row r="17" customFormat="false" ht="28.5" hidden="false" customHeight="true" outlineLevel="0" collapsed="false">
      <c r="A17" s="115" t="s">
        <v>239</v>
      </c>
      <c r="B17" s="115" t="s">
        <v>190</v>
      </c>
      <c r="C17" s="115" t="s">
        <v>240</v>
      </c>
      <c r="D17" s="115" t="s">
        <v>241</v>
      </c>
      <c r="E17" s="115" t="s">
        <v>242</v>
      </c>
      <c r="F17" s="116" t="n">
        <f aca="false">('03_Multi_Horizon_Results'!$B$7/1000*'12_Takeoff_Assumptions'!$B$11)</f>
        <v>0.54</v>
      </c>
      <c r="G17" s="116" t="n">
        <f aca="false">('03_Multi_Horizon_Results'!$C$7/1000*'12_Takeoff_Assumptions'!$B$11)</f>
        <v>0.54</v>
      </c>
      <c r="H17" s="116" t="n">
        <f aca="false">('03_Multi_Horizon_Results'!$D$7/1000*'12_Takeoff_Assumptions'!$B$11)</f>
        <v>0.54</v>
      </c>
      <c r="I17" s="116" t="n">
        <f aca="false">('03_Multi_Horizon_Results'!$E$7/1000*'12_Takeoff_Assumptions'!$B$11)</f>
        <v>0.54</v>
      </c>
      <c r="J17" s="116" t="n">
        <f aca="false">('03_Multi_Horizon_Results'!$F$7/1000*'12_Takeoff_Assumptions'!$B$11)</f>
        <v>0.54</v>
      </c>
      <c r="K17" s="117"/>
      <c r="L17" s="116" t="n">
        <f aca="false">MAX(0,N(G17)+N(K17))</f>
        <v>0.54</v>
      </c>
      <c r="M17" s="118" t="n">
        <v>120000</v>
      </c>
      <c r="N17" s="119"/>
      <c r="O17" s="119"/>
      <c r="P17" s="118" t="n">
        <f aca="false">IFERROR(IF(O17&lt;&gt;"",O17,L17*IF(N17&lt;&gt;"",N17,M17)),0)</f>
        <v>64800</v>
      </c>
      <c r="Q17" s="120" t="s">
        <v>190</v>
      </c>
      <c r="R17" s="120" t="s">
        <v>31</v>
      </c>
      <c r="S17" s="120" t="s">
        <v>243</v>
      </c>
      <c r="T17" s="121" t="n">
        <v>1</v>
      </c>
      <c r="U17" s="121" t="n">
        <v>20</v>
      </c>
      <c r="V17" s="122" t="n">
        <v>0.045</v>
      </c>
      <c r="W17" s="118" t="n">
        <f aca="false">IFERROR(IF(AND(R17="Yes",S17="Debt service",U17&gt;0),IF(V17=0,P17/U17,P17*V17/(1-(1+V17)^(-U17))),0),0)</f>
        <v>0</v>
      </c>
      <c r="X17" s="123" t="n">
        <f aca="false">IFERROR(IF(OR(R17&lt;&gt;"Yes",Q17&lt;&gt;"City"),0,IF(S17="Cash capital",IF(T17&lt;=5,IF(O17&lt;&gt;"",O17,MAX(0,N(F17)+N(K17))*IF(N17&lt;&gt;"",N17,M17)),0),IF(S17="Debt service",IF(T17&gt;5,0,AI17*MAX(0,MIN(5-T17+1,U17))),IF(OR(S17="Annual O&amp;M",S17="Maintenance-only"),IF(T17&gt;5,0,IF(O17&lt;&gt;"",O17,MAX(0,N(F17)+N(K17))*IF(N17&lt;&gt;"",N17,M17))*MAX(0,5-T17+1)),0)))),0)</f>
        <v>324000</v>
      </c>
      <c r="Y17" s="123" t="n">
        <f aca="false">IFERROR(IF(OR(R17&lt;&gt;"Yes",Q17&lt;&gt;"City"),0,IF(S17="Cash capital",IF(T17&lt;=10,IF(O17&lt;&gt;"",O17,MAX(0,N(G17)+N(K17))*IF(N17&lt;&gt;"",N17,M17)),0),IF(S17="Debt service",IF(T17&gt;10,0,AJ17*MAX(0,MIN(10-T17+1,U17))),IF(OR(S17="Annual O&amp;M",S17="Maintenance-only"),IF(T17&gt;10,0,IF(O17&lt;&gt;"",O17,MAX(0,N(G17)+N(K17))*IF(N17&lt;&gt;"",N17,M17))*MAX(0,10-T17+1)),0)))),0)</f>
        <v>648000</v>
      </c>
      <c r="Z17" s="123" t="n">
        <f aca="false">IFERROR(IF(OR(R17&lt;&gt;"Yes",Q17&lt;&gt;"City"),0,IF(S17="Cash capital",IF(T17&lt;=15,IF(O17&lt;&gt;"",O17,MAX(0,N(H17)+N(K17))*IF(N17&lt;&gt;"",N17,M17)),0),IF(S17="Debt service",IF(T17&gt;15,0,AK17*MAX(0,MIN(15-T17+1,U17))),IF(OR(S17="Annual O&amp;M",S17="Maintenance-only"),IF(T17&gt;15,0,IF(O17&lt;&gt;"",O17,MAX(0,N(H17)+N(K17))*IF(N17&lt;&gt;"",N17,M17))*MAX(0,15-T17+1)),0)))),0)</f>
        <v>972000</v>
      </c>
      <c r="AA17" s="123" t="n">
        <f aca="false">IFERROR(IF(OR(R17&lt;&gt;"Yes",Q17&lt;&gt;"City"),0,IF(S17="Cash capital",IF(T17&lt;=20,IF(O17&lt;&gt;"",O17,MAX(0,N(I17)+N(K17))*IF(N17&lt;&gt;"",N17,M17)),0),IF(S17="Debt service",IF(T17&gt;20,0,AL17*MAX(0,MIN(20-T17+1,U17))),IF(OR(S17="Annual O&amp;M",S17="Maintenance-only"),IF(T17&gt;20,0,IF(O17&lt;&gt;"",O17,MAX(0,N(I17)+N(K17))*IF(N17&lt;&gt;"",N17,M17))*MAX(0,20-T17+1)),0)))),0)</f>
        <v>1296000</v>
      </c>
      <c r="AB17" s="123" t="n">
        <f aca="false">IFERROR(IF(OR(R17&lt;&gt;"Yes",Q17&lt;&gt;"City"),0,IF(S17="Cash capital",IF(T17&lt;=30,IF(O17&lt;&gt;"",O17,MAX(0,N(J17)+N(K17))*IF(N17&lt;&gt;"",N17,M17)),0),IF(S17="Debt service",IF(T17&gt;30,0,AM17*MAX(0,MIN(30-T17+1,U17))),IF(OR(S17="Annual O&amp;M",S17="Maintenance-only"),IF(T17&gt;30,0,IF(O17&lt;&gt;"",O17,MAX(0,N(J17)+N(K17))*IF(N17&lt;&gt;"",N17,M17))*MAX(0,30-T17+1)),0)))),0)</f>
        <v>1944000</v>
      </c>
      <c r="AC17" s="123" t="n">
        <f aca="false">IFERROR(IF(OR(R17&lt;&gt;"Yes",Q17&lt;&gt;"ESD"),0,IF(S17="Cash capital",IF(T17&lt;=5,IF(O17&lt;&gt;"",O17,MAX(0,N(F17)+N(K17))*IF(N17&lt;&gt;"",N17,M17)),0),IF(S17="Debt service",IF(T17&gt;5,0,AI17*MAX(0,MIN(5-T17+1,U17))),IF(OR(S17="Annual O&amp;M",S17="Maintenance-only"),IF(T17&gt;5,0,IF(O17&lt;&gt;"",O17,MAX(0,N(F17)+N(K17))*IF(N17&lt;&gt;"",N17,M17))*MAX(0,5-T17+1)),0)))),0)</f>
        <v>0</v>
      </c>
      <c r="AD17" s="123" t="n">
        <f aca="false">IFERROR(IF(OR(R17&lt;&gt;"Yes",Q17&lt;&gt;"ESD"),0,IF(S17="Cash capital",IF(T17&lt;=10,IF(O17&lt;&gt;"",O17,MAX(0,N(G17)+N(K17))*IF(N17&lt;&gt;"",N17,M17)),0),IF(S17="Debt service",IF(T17&gt;10,0,AJ17*MAX(0,MIN(10-T17+1,U17))),IF(OR(S17="Annual O&amp;M",S17="Maintenance-only"),IF(T17&gt;10,0,IF(O17&lt;&gt;"",O17,MAX(0,N(G17)+N(K17))*IF(N17&lt;&gt;"",N17,M17))*MAX(0,10-T17+1)),0)))),0)</f>
        <v>0</v>
      </c>
      <c r="AE17" s="123" t="n">
        <f aca="false">IFERROR(IF(OR(R17&lt;&gt;"Yes",Q17&lt;&gt;"ESD"),0,IF(S17="Cash capital",IF(T17&lt;=15,IF(O17&lt;&gt;"",O17,MAX(0,N(H17)+N(K17))*IF(N17&lt;&gt;"",N17,M17)),0),IF(S17="Debt service",IF(T17&gt;15,0,AK17*MAX(0,MIN(15-T17+1,U17))),IF(OR(S17="Annual O&amp;M",S17="Maintenance-only"),IF(T17&gt;15,0,IF(O17&lt;&gt;"",O17,MAX(0,N(H17)+N(K17))*IF(N17&lt;&gt;"",N17,M17))*MAX(0,15-T17+1)),0)))),0)</f>
        <v>0</v>
      </c>
      <c r="AF17" s="123" t="n">
        <f aca="false">IFERROR(IF(OR(R17&lt;&gt;"Yes",Q17&lt;&gt;"ESD"),0,IF(S17="Cash capital",IF(T17&lt;=20,IF(O17&lt;&gt;"",O17,MAX(0,N(I17)+N(K17))*IF(N17&lt;&gt;"",N17,M17)),0),IF(S17="Debt service",IF(T17&gt;20,0,AL17*MAX(0,MIN(20-T17+1,U17))),IF(OR(S17="Annual O&amp;M",S17="Maintenance-only"),IF(T17&gt;20,0,IF(O17&lt;&gt;"",O17,MAX(0,N(I17)+N(K17))*IF(N17&lt;&gt;"",N17,M17))*MAX(0,20-T17+1)),0)))),0)</f>
        <v>0</v>
      </c>
      <c r="AG17" s="123" t="n">
        <f aca="false">IFERROR(IF(OR(R17&lt;&gt;"Yes",Q17&lt;&gt;"ESD"),0,IF(S17="Cash capital",IF(T17&lt;=30,IF(O17&lt;&gt;"",O17,MAX(0,N(J17)+N(K17))*IF(N17&lt;&gt;"",N17,M17)),0),IF(S17="Debt service",IF(T17&gt;30,0,AM17*MAX(0,MIN(30-T17+1,U17))),IF(OR(S17="Annual O&amp;M",S17="Maintenance-only"),IF(T17&gt;30,0,IF(O17&lt;&gt;"",O17,MAX(0,N(J17)+N(K17))*IF(N17&lt;&gt;"",N17,M17))*MAX(0,30-T17+1)),0)))),0)</f>
        <v>0</v>
      </c>
      <c r="AH17" s="124" t="s">
        <v>244</v>
      </c>
      <c r="AI17" s="115" t="n">
        <f aca="false">IFERROR(IF(U17&gt;0,IF(O17&lt;&gt;"",O17,MAX(0,N(F17)+N(K17))*IF(N17&lt;&gt;"",N17,M17))*IF(V17=0,1/U17,V17/(1-(1+V17)^(-U17))),0),0)</f>
        <v>4981.57415219832</v>
      </c>
      <c r="AJ17" s="115" t="n">
        <f aca="false">IFERROR(IF(U17&gt;0,IF(O17&lt;&gt;"",O17,MAX(0,N(G17)+N(K17))*IF(N17&lt;&gt;"",N17,M17))*IF(V17=0,1/U17,V17/(1-(1+V17)^(-U17))),0),0)</f>
        <v>4981.57415219832</v>
      </c>
      <c r="AK17" s="115" t="n">
        <f aca="false">IFERROR(IF(U17&gt;0,IF(O17&lt;&gt;"",O17,MAX(0,N(H17)+N(K17))*IF(N17&lt;&gt;"",N17,M17))*IF(V17=0,1/U17,V17/(1-(1+V17)^(-U17))),0),0)</f>
        <v>4981.57415219832</v>
      </c>
      <c r="AL17" s="115" t="n">
        <f aca="false">IFERROR(IF(U17&gt;0,IF(O17&lt;&gt;"",O17,MAX(0,N(I17)+N(K17))*IF(N17&lt;&gt;"",N17,M17))*IF(V17=0,1/U17,V17/(1-(1+V17)^(-U17))),0),0)</f>
        <v>4981.57415219832</v>
      </c>
      <c r="AM17" s="106" t="n">
        <f aca="false">IFERROR(IF(U17&gt;0,IF(O17&lt;&gt;"",O17,MAX(0,N(J17)+N(K17))*IF(N17&lt;&gt;"",N17,M17))*IF(V17=0,1/U17,V17/(1-(1+V17)^(-U17))),0),0)</f>
        <v>4981.57415219832</v>
      </c>
    </row>
    <row r="18" customFormat="false" ht="14.25" hidden="false" customHeight="true" outlineLevel="0" collapsed="false">
      <c r="A18" s="106" t="s">
        <v>245</v>
      </c>
      <c r="B18" s="106" t="s">
        <v>190</v>
      </c>
      <c r="C18" s="106" t="s">
        <v>246</v>
      </c>
      <c r="D18" s="106" t="s">
        <v>201</v>
      </c>
      <c r="E18" s="106" t="s">
        <v>247</v>
      </c>
      <c r="F18" s="107" t="n">
        <f aca="false">IF(('03_Multi_Horizon_Results'!$B$7/1000*'12_Takeoff_Assumptions'!$B$11)&gt;=1,ROUNDUP(('03_Multi_Horizon_Results'!$B$7/1000*'12_Takeoff_Assumptions'!$B$11)/2,0),0)</f>
        <v>0</v>
      </c>
      <c r="G18" s="107" t="n">
        <f aca="false">IF(('03_Multi_Horizon_Results'!$C$7/1000*'12_Takeoff_Assumptions'!$B$11)&gt;=1,ROUNDUP(('03_Multi_Horizon_Results'!$C$7/1000*'12_Takeoff_Assumptions'!$B$11)/2,0),0)</f>
        <v>0</v>
      </c>
      <c r="H18" s="107" t="n">
        <f aca="false">IF(('03_Multi_Horizon_Results'!$D$7/1000*'12_Takeoff_Assumptions'!$B$11)&gt;=1,ROUNDUP(('03_Multi_Horizon_Results'!$D$7/1000*'12_Takeoff_Assumptions'!$B$11)/2,0),0)</f>
        <v>0</v>
      </c>
      <c r="I18" s="107" t="n">
        <f aca="false">IF(('03_Multi_Horizon_Results'!$E$7/1000*'12_Takeoff_Assumptions'!$B$11)&gt;=1,ROUNDUP(('03_Multi_Horizon_Results'!$E$7/1000*'12_Takeoff_Assumptions'!$B$11)/2,0),0)</f>
        <v>0</v>
      </c>
      <c r="J18" s="107" t="n">
        <f aca="false">IF(('03_Multi_Horizon_Results'!$F$7/1000*'12_Takeoff_Assumptions'!$B$11)&gt;=1,ROUNDUP(('03_Multi_Horizon_Results'!$F$7/1000*'12_Takeoff_Assumptions'!$B$11)/2,0),0)</f>
        <v>0</v>
      </c>
      <c r="K18" s="108"/>
      <c r="L18" s="107" t="n">
        <f aca="false">MAX(0,N(G18)+N(K18))</f>
        <v>0</v>
      </c>
      <c r="M18" s="109" t="n">
        <v>65000</v>
      </c>
      <c r="N18" s="110"/>
      <c r="O18" s="110"/>
      <c r="P18" s="109" t="n">
        <f aca="false">IFERROR(IF(O18&lt;&gt;"",O18,L18*IF(N18&lt;&gt;"",N18,M18)),0)</f>
        <v>0</v>
      </c>
      <c r="Q18" s="101" t="s">
        <v>190</v>
      </c>
      <c r="R18" s="101" t="s">
        <v>31</v>
      </c>
      <c r="S18" s="101" t="s">
        <v>248</v>
      </c>
      <c r="T18" s="111" t="n">
        <v>1</v>
      </c>
      <c r="U18" s="111" t="n">
        <v>20</v>
      </c>
      <c r="V18" s="112" t="n">
        <v>0.045</v>
      </c>
      <c r="W18" s="109" t="n">
        <f aca="false">IFERROR(IF(AND(R18="Yes",S18="Debt service",U18&gt;0),IF(V18=0,P18/U18,P18*V18/(1-(1+V18)^(-U18))),0),0)</f>
        <v>0</v>
      </c>
      <c r="X18" s="113" t="n">
        <f aca="false">IFERROR(IF(OR(R18&lt;&gt;"Yes",Q18&lt;&gt;"City"),0,IF(S18="Cash capital",IF(T18&lt;=5,IF(O18&lt;&gt;"",O18,MAX(0,N(F18)+N(K18))*IF(N18&lt;&gt;"",N18,M18)),0),IF(S18="Debt service",IF(T18&gt;5,0,AI18*MAX(0,MIN(5-T18+1,U18))),IF(OR(S18="Annual O&amp;M",S18="Maintenance-only"),IF(T18&gt;5,0,IF(O18&lt;&gt;"",O18,MAX(0,N(F18)+N(K18))*IF(N18&lt;&gt;"",N18,M18))*MAX(0,5-T18+1)),0)))),0)</f>
        <v>0</v>
      </c>
      <c r="Y18" s="113" t="n">
        <f aca="false">IFERROR(IF(OR(R18&lt;&gt;"Yes",Q18&lt;&gt;"City"),0,IF(S18="Cash capital",IF(T18&lt;=10,IF(O18&lt;&gt;"",O18,MAX(0,N(G18)+N(K18))*IF(N18&lt;&gt;"",N18,M18)),0),IF(S18="Debt service",IF(T18&gt;10,0,AJ18*MAX(0,MIN(10-T18+1,U18))),IF(OR(S18="Annual O&amp;M",S18="Maintenance-only"),IF(T18&gt;10,0,IF(O18&lt;&gt;"",O18,MAX(0,N(G18)+N(K18))*IF(N18&lt;&gt;"",N18,M18))*MAX(0,10-T18+1)),0)))),0)</f>
        <v>0</v>
      </c>
      <c r="Z18" s="113" t="n">
        <f aca="false">IFERROR(IF(OR(R18&lt;&gt;"Yes",Q18&lt;&gt;"City"),0,IF(S18="Cash capital",IF(T18&lt;=15,IF(O18&lt;&gt;"",O18,MAX(0,N(H18)+N(K18))*IF(N18&lt;&gt;"",N18,M18)),0),IF(S18="Debt service",IF(T18&gt;15,0,AK18*MAX(0,MIN(15-T18+1,U18))),IF(OR(S18="Annual O&amp;M",S18="Maintenance-only"),IF(T18&gt;15,0,IF(O18&lt;&gt;"",O18,MAX(0,N(H18)+N(K18))*IF(N18&lt;&gt;"",N18,M18))*MAX(0,15-T18+1)),0)))),0)</f>
        <v>0</v>
      </c>
      <c r="AA18" s="113" t="n">
        <f aca="false">IFERROR(IF(OR(R18&lt;&gt;"Yes",Q18&lt;&gt;"City"),0,IF(S18="Cash capital",IF(T18&lt;=20,IF(O18&lt;&gt;"",O18,MAX(0,N(I18)+N(K18))*IF(N18&lt;&gt;"",N18,M18)),0),IF(S18="Debt service",IF(T18&gt;20,0,AL18*MAX(0,MIN(20-T18+1,U18))),IF(OR(S18="Annual O&amp;M",S18="Maintenance-only"),IF(T18&gt;20,0,IF(O18&lt;&gt;"",O18,MAX(0,N(I18)+N(K18))*IF(N18&lt;&gt;"",N18,M18))*MAX(0,20-T18+1)),0)))),0)</f>
        <v>0</v>
      </c>
      <c r="AB18" s="113" t="n">
        <f aca="false">IFERROR(IF(OR(R18&lt;&gt;"Yes",Q18&lt;&gt;"City"),0,IF(S18="Cash capital",IF(T18&lt;=30,IF(O18&lt;&gt;"",O18,MAX(0,N(J18)+N(K18))*IF(N18&lt;&gt;"",N18,M18)),0),IF(S18="Debt service",IF(T18&gt;30,0,AM18*MAX(0,MIN(30-T18+1,U18))),IF(OR(S18="Annual O&amp;M",S18="Maintenance-only"),IF(T18&gt;30,0,IF(O18&lt;&gt;"",O18,MAX(0,N(J18)+N(K18))*IF(N18&lt;&gt;"",N18,M18))*MAX(0,30-T18+1)),0)))),0)</f>
        <v>0</v>
      </c>
      <c r="AC18" s="113" t="n">
        <f aca="false">IFERROR(IF(OR(R18&lt;&gt;"Yes",Q18&lt;&gt;"ESD"),0,IF(S18="Cash capital",IF(T18&lt;=5,IF(O18&lt;&gt;"",O18,MAX(0,N(F18)+N(K18))*IF(N18&lt;&gt;"",N18,M18)),0),IF(S18="Debt service",IF(T18&gt;5,0,AI18*MAX(0,MIN(5-T18+1,U18))),IF(OR(S18="Annual O&amp;M",S18="Maintenance-only"),IF(T18&gt;5,0,IF(O18&lt;&gt;"",O18,MAX(0,N(F18)+N(K18))*IF(N18&lt;&gt;"",N18,M18))*MAX(0,5-T18+1)),0)))),0)</f>
        <v>0</v>
      </c>
      <c r="AD18" s="113" t="n">
        <f aca="false">IFERROR(IF(OR(R18&lt;&gt;"Yes",Q18&lt;&gt;"ESD"),0,IF(S18="Cash capital",IF(T18&lt;=10,IF(O18&lt;&gt;"",O18,MAX(0,N(G18)+N(K18))*IF(N18&lt;&gt;"",N18,M18)),0),IF(S18="Debt service",IF(T18&gt;10,0,AJ18*MAX(0,MIN(10-T18+1,U18))),IF(OR(S18="Annual O&amp;M",S18="Maintenance-only"),IF(T18&gt;10,0,IF(O18&lt;&gt;"",O18,MAX(0,N(G18)+N(K18))*IF(N18&lt;&gt;"",N18,M18))*MAX(0,10-T18+1)),0)))),0)</f>
        <v>0</v>
      </c>
      <c r="AE18" s="113" t="n">
        <f aca="false">IFERROR(IF(OR(R18&lt;&gt;"Yes",Q18&lt;&gt;"ESD"),0,IF(S18="Cash capital",IF(T18&lt;=15,IF(O18&lt;&gt;"",O18,MAX(0,N(H18)+N(K18))*IF(N18&lt;&gt;"",N18,M18)),0),IF(S18="Debt service",IF(T18&gt;15,0,AK18*MAX(0,MIN(15-T18+1,U18))),IF(OR(S18="Annual O&amp;M",S18="Maintenance-only"),IF(T18&gt;15,0,IF(O18&lt;&gt;"",O18,MAX(0,N(H18)+N(K18))*IF(N18&lt;&gt;"",N18,M18))*MAX(0,15-T18+1)),0)))),0)</f>
        <v>0</v>
      </c>
      <c r="AF18" s="113" t="n">
        <f aca="false">IFERROR(IF(OR(R18&lt;&gt;"Yes",Q18&lt;&gt;"ESD"),0,IF(S18="Cash capital",IF(T18&lt;=20,IF(O18&lt;&gt;"",O18,MAX(0,N(I18)+N(K18))*IF(N18&lt;&gt;"",N18,M18)),0),IF(S18="Debt service",IF(T18&gt;20,0,AL18*MAX(0,MIN(20-T18+1,U18))),IF(OR(S18="Annual O&amp;M",S18="Maintenance-only"),IF(T18&gt;20,0,IF(O18&lt;&gt;"",O18,MAX(0,N(I18)+N(K18))*IF(N18&lt;&gt;"",N18,M18))*MAX(0,20-T18+1)),0)))),0)</f>
        <v>0</v>
      </c>
      <c r="AG18" s="113" t="n">
        <f aca="false">IFERROR(IF(OR(R18&lt;&gt;"Yes",Q18&lt;&gt;"ESD"),0,IF(S18="Cash capital",IF(T18&lt;=30,IF(O18&lt;&gt;"",O18,MAX(0,N(J18)+N(K18))*IF(N18&lt;&gt;"",N18,M18)),0),IF(S18="Debt service",IF(T18&gt;30,0,AM18*MAX(0,MIN(30-T18+1,U18))),IF(OR(S18="Annual O&amp;M",S18="Maintenance-only"),IF(T18&gt;30,0,IF(O18&lt;&gt;"",O18,MAX(0,N(J18)+N(K18))*IF(N18&lt;&gt;"",N18,M18))*MAX(0,30-T18+1)),0)))),0)</f>
        <v>0</v>
      </c>
      <c r="AH18" s="114" t="s">
        <v>249</v>
      </c>
      <c r="AI18" s="106" t="n">
        <f aca="false">IFERROR(IF(U18&gt;0,IF(O18&lt;&gt;"",O18,MAX(0,N(F18)+N(K18))*IF(N18&lt;&gt;"",N18,M18))*IF(V18=0,1/U18,V18/(1-(1+V18)^(-U18))),0),0)</f>
        <v>0</v>
      </c>
      <c r="AJ18" s="106" t="n">
        <f aca="false">IFERROR(IF(U18&gt;0,IF(O18&lt;&gt;"",O18,MAX(0,N(G18)+N(K18))*IF(N18&lt;&gt;"",N18,M18))*IF(V18=0,1/U18,V18/(1-(1+V18)^(-U18))),0),0)</f>
        <v>0</v>
      </c>
      <c r="AK18" s="106" t="n">
        <f aca="false">IFERROR(IF(U18&gt;0,IF(O18&lt;&gt;"",O18,MAX(0,N(H18)+N(K18))*IF(N18&lt;&gt;"",N18,M18))*IF(V18=0,1/U18,V18/(1-(1+V18)^(-U18))),0),0)</f>
        <v>0</v>
      </c>
      <c r="AL18" s="106" t="n">
        <f aca="false">IFERROR(IF(U18&gt;0,IF(O18&lt;&gt;"",O18,MAX(0,N(I18)+N(K18))*IF(N18&lt;&gt;"",N18,M18))*IF(V18=0,1/U18,V18/(1-(1+V18)^(-U18))),0),0)</f>
        <v>0</v>
      </c>
      <c r="AM18" s="106" t="n">
        <f aca="false">IFERROR(IF(U18&gt;0,IF(O18&lt;&gt;"",O18,MAX(0,N(J18)+N(K18))*IF(N18&lt;&gt;"",N18,M18))*IF(V18=0,1/U18,V18/(1-(1+V18)^(-U18))),0),0)</f>
        <v>0</v>
      </c>
    </row>
    <row r="19" customFormat="false" ht="14.25" hidden="false" customHeight="true" outlineLevel="0" collapsed="false">
      <c r="A19" s="115" t="s">
        <v>250</v>
      </c>
      <c r="B19" s="115" t="s">
        <v>190</v>
      </c>
      <c r="C19" s="115" t="s">
        <v>240</v>
      </c>
      <c r="D19" s="115" t="s">
        <v>232</v>
      </c>
      <c r="E19" s="115" t="s">
        <v>251</v>
      </c>
      <c r="F19" s="116" t="n">
        <f aca="false">'03_Multi_Horizon_Results'!$B$7/1000*'12_Takeoff_Assumptions'!$B$10</f>
        <v>1.35</v>
      </c>
      <c r="G19" s="116" t="n">
        <f aca="false">'03_Multi_Horizon_Results'!$C$7/1000*'12_Takeoff_Assumptions'!$B$10</f>
        <v>1.35</v>
      </c>
      <c r="H19" s="116" t="n">
        <f aca="false">'03_Multi_Horizon_Results'!$D$7/1000*'12_Takeoff_Assumptions'!$B$10</f>
        <v>1.35</v>
      </c>
      <c r="I19" s="116" t="n">
        <f aca="false">'03_Multi_Horizon_Results'!$E$7/1000*'12_Takeoff_Assumptions'!$B$10</f>
        <v>1.35</v>
      </c>
      <c r="J19" s="116" t="n">
        <f aca="false">'03_Multi_Horizon_Results'!$F$7/1000*'12_Takeoff_Assumptions'!$B$10</f>
        <v>1.35</v>
      </c>
      <c r="K19" s="117"/>
      <c r="L19" s="116" t="n">
        <f aca="false">MAX(0,N(G19)+N(K19))</f>
        <v>1.35</v>
      </c>
      <c r="M19" s="118" t="n">
        <v>100000</v>
      </c>
      <c r="N19" s="119"/>
      <c r="O19" s="119"/>
      <c r="P19" s="118" t="n">
        <f aca="false">IFERROR(IF(O19&lt;&gt;"",O19,L19*IF(N19&lt;&gt;"",N19,M19)),0)</f>
        <v>135000</v>
      </c>
      <c r="Q19" s="120" t="s">
        <v>190</v>
      </c>
      <c r="R19" s="120" t="s">
        <v>31</v>
      </c>
      <c r="S19" s="120" t="s">
        <v>194</v>
      </c>
      <c r="T19" s="121" t="n">
        <v>1</v>
      </c>
      <c r="U19" s="121" t="n">
        <v>20</v>
      </c>
      <c r="V19" s="122" t="n">
        <v>0.045</v>
      </c>
      <c r="W19" s="118" t="n">
        <f aca="false">IFERROR(IF(AND(R19="Yes",S19="Debt service",U19&gt;0),IF(V19=0,P19/U19,P19*V19/(1-(1+V19)^(-U19))),0),0)</f>
        <v>10378.2794837465</v>
      </c>
      <c r="X19" s="123" t="n">
        <f aca="false">IFERROR(IF(OR(R19&lt;&gt;"Yes",Q19&lt;&gt;"City"),0,IF(S19="Cash capital",IF(T19&lt;=5,IF(O19&lt;&gt;"",O19,MAX(0,N(F19)+N(K19))*IF(N19&lt;&gt;"",N19,M19)),0),IF(S19="Debt service",IF(T19&gt;5,0,AI19*MAX(0,MIN(5-T19+1,U19))),IF(OR(S19="Annual O&amp;M",S19="Maintenance-only"),IF(T19&gt;5,0,IF(O19&lt;&gt;"",O19,MAX(0,N(F19)+N(K19))*IF(N19&lt;&gt;"",N19,M19))*MAX(0,5-T19+1)),0)))),0)</f>
        <v>51891.3974187325</v>
      </c>
      <c r="Y19" s="123" t="n">
        <f aca="false">IFERROR(IF(OR(R19&lt;&gt;"Yes",Q19&lt;&gt;"City"),0,IF(S19="Cash capital",IF(T19&lt;=10,IF(O19&lt;&gt;"",O19,MAX(0,N(G19)+N(K19))*IF(N19&lt;&gt;"",N19,M19)),0),IF(S19="Debt service",IF(T19&gt;10,0,AJ19*MAX(0,MIN(10-T19+1,U19))),IF(OR(S19="Annual O&amp;M",S19="Maintenance-only"),IF(T19&gt;10,0,IF(O19&lt;&gt;"",O19,MAX(0,N(G19)+N(K19))*IF(N19&lt;&gt;"",N19,M19))*MAX(0,10-T19+1)),0)))),0)</f>
        <v>103782.794837465</v>
      </c>
      <c r="Z19" s="123" t="n">
        <f aca="false">IFERROR(IF(OR(R19&lt;&gt;"Yes",Q19&lt;&gt;"City"),0,IF(S19="Cash capital",IF(T19&lt;=15,IF(O19&lt;&gt;"",O19,MAX(0,N(H19)+N(K19))*IF(N19&lt;&gt;"",N19,M19)),0),IF(S19="Debt service",IF(T19&gt;15,0,AK19*MAX(0,MIN(15-T19+1,U19))),IF(OR(S19="Annual O&amp;M",S19="Maintenance-only"),IF(T19&gt;15,0,IF(O19&lt;&gt;"",O19,MAX(0,N(H19)+N(K19))*IF(N19&lt;&gt;"",N19,M19))*MAX(0,15-T19+1)),0)))),0)</f>
        <v>155674.192256197</v>
      </c>
      <c r="AA19" s="123" t="n">
        <f aca="false">IFERROR(IF(OR(R19&lt;&gt;"Yes",Q19&lt;&gt;"City"),0,IF(S19="Cash capital",IF(T19&lt;=20,IF(O19&lt;&gt;"",O19,MAX(0,N(I19)+N(K19))*IF(N19&lt;&gt;"",N19,M19)),0),IF(S19="Debt service",IF(T19&gt;20,0,AL19*MAX(0,MIN(20-T19+1,U19))),IF(OR(S19="Annual O&amp;M",S19="Maintenance-only"),IF(T19&gt;20,0,IF(O19&lt;&gt;"",O19,MAX(0,N(I19)+N(K19))*IF(N19&lt;&gt;"",N19,M19))*MAX(0,20-T19+1)),0)))),0)</f>
        <v>207565.58967493</v>
      </c>
      <c r="AB19" s="123" t="n">
        <f aca="false">IFERROR(IF(OR(R19&lt;&gt;"Yes",Q19&lt;&gt;"City"),0,IF(S19="Cash capital",IF(T19&lt;=30,IF(O19&lt;&gt;"",O19,MAX(0,N(J19)+N(K19))*IF(N19&lt;&gt;"",N19,M19)),0),IF(S19="Debt service",IF(T19&gt;30,0,AM19*MAX(0,MIN(30-T19+1,U19))),IF(OR(S19="Annual O&amp;M",S19="Maintenance-only"),IF(T19&gt;30,0,IF(O19&lt;&gt;"",O19,MAX(0,N(J19)+N(K19))*IF(N19&lt;&gt;"",N19,M19))*MAX(0,30-T19+1)),0)))),0)</f>
        <v>207565.58967493</v>
      </c>
      <c r="AC19" s="123" t="n">
        <f aca="false">IFERROR(IF(OR(R19&lt;&gt;"Yes",Q19&lt;&gt;"ESD"),0,IF(S19="Cash capital",IF(T19&lt;=5,IF(O19&lt;&gt;"",O19,MAX(0,N(F19)+N(K19))*IF(N19&lt;&gt;"",N19,M19)),0),IF(S19="Debt service",IF(T19&gt;5,0,AI19*MAX(0,MIN(5-T19+1,U19))),IF(OR(S19="Annual O&amp;M",S19="Maintenance-only"),IF(T19&gt;5,0,IF(O19&lt;&gt;"",O19,MAX(0,N(F19)+N(K19))*IF(N19&lt;&gt;"",N19,M19))*MAX(0,5-T19+1)),0)))),0)</f>
        <v>0</v>
      </c>
      <c r="AD19" s="123" t="n">
        <f aca="false">IFERROR(IF(OR(R19&lt;&gt;"Yes",Q19&lt;&gt;"ESD"),0,IF(S19="Cash capital",IF(T19&lt;=10,IF(O19&lt;&gt;"",O19,MAX(0,N(G19)+N(K19))*IF(N19&lt;&gt;"",N19,M19)),0),IF(S19="Debt service",IF(T19&gt;10,0,AJ19*MAX(0,MIN(10-T19+1,U19))),IF(OR(S19="Annual O&amp;M",S19="Maintenance-only"),IF(T19&gt;10,0,IF(O19&lt;&gt;"",O19,MAX(0,N(G19)+N(K19))*IF(N19&lt;&gt;"",N19,M19))*MAX(0,10-T19+1)),0)))),0)</f>
        <v>0</v>
      </c>
      <c r="AE19" s="123" t="n">
        <f aca="false">IFERROR(IF(OR(R19&lt;&gt;"Yes",Q19&lt;&gt;"ESD"),0,IF(S19="Cash capital",IF(T19&lt;=15,IF(O19&lt;&gt;"",O19,MAX(0,N(H19)+N(K19))*IF(N19&lt;&gt;"",N19,M19)),0),IF(S19="Debt service",IF(T19&gt;15,0,AK19*MAX(0,MIN(15-T19+1,U19))),IF(OR(S19="Annual O&amp;M",S19="Maintenance-only"),IF(T19&gt;15,0,IF(O19&lt;&gt;"",O19,MAX(0,N(H19)+N(K19))*IF(N19&lt;&gt;"",N19,M19))*MAX(0,15-T19+1)),0)))),0)</f>
        <v>0</v>
      </c>
      <c r="AF19" s="123" t="n">
        <f aca="false">IFERROR(IF(OR(R19&lt;&gt;"Yes",Q19&lt;&gt;"ESD"),0,IF(S19="Cash capital",IF(T19&lt;=20,IF(O19&lt;&gt;"",O19,MAX(0,N(I19)+N(K19))*IF(N19&lt;&gt;"",N19,M19)),0),IF(S19="Debt service",IF(T19&gt;20,0,AL19*MAX(0,MIN(20-T19+1,U19))),IF(OR(S19="Annual O&amp;M",S19="Maintenance-only"),IF(T19&gt;20,0,IF(O19&lt;&gt;"",O19,MAX(0,N(I19)+N(K19))*IF(N19&lt;&gt;"",N19,M19))*MAX(0,20-T19+1)),0)))),0)</f>
        <v>0</v>
      </c>
      <c r="AG19" s="123" t="n">
        <f aca="false">IFERROR(IF(OR(R19&lt;&gt;"Yes",Q19&lt;&gt;"ESD"),0,IF(S19="Cash capital",IF(T19&lt;=30,IF(O19&lt;&gt;"",O19,MAX(0,N(J19)+N(K19))*IF(N19&lt;&gt;"",N19,M19)),0),IF(S19="Debt service",IF(T19&gt;30,0,AM19*MAX(0,MIN(30-T19+1,U19))),IF(OR(S19="Annual O&amp;M",S19="Maintenance-only"),IF(T19&gt;30,0,IF(O19&lt;&gt;"",O19,MAX(0,N(J19)+N(K19))*IF(N19&lt;&gt;"",N19,M19))*MAX(0,30-T19+1)),0)))),0)</f>
        <v>0</v>
      </c>
      <c r="AH19" s="124" t="s">
        <v>252</v>
      </c>
      <c r="AI19" s="115" t="n">
        <f aca="false">IFERROR(IF(U19&gt;0,IF(O19&lt;&gt;"",O19,MAX(0,N(F19)+N(K19))*IF(N19&lt;&gt;"",N19,M19))*IF(V19=0,1/U19,V19/(1-(1+V19)^(-U19))),0),0)</f>
        <v>10378.2794837465</v>
      </c>
      <c r="AJ19" s="115" t="n">
        <f aca="false">IFERROR(IF(U19&gt;0,IF(O19&lt;&gt;"",O19,MAX(0,N(G19)+N(K19))*IF(N19&lt;&gt;"",N19,M19))*IF(V19=0,1/U19,V19/(1-(1+V19)^(-U19))),0),0)</f>
        <v>10378.2794837465</v>
      </c>
      <c r="AK19" s="115" t="n">
        <f aca="false">IFERROR(IF(U19&gt;0,IF(O19&lt;&gt;"",O19,MAX(0,N(H19)+N(K19))*IF(N19&lt;&gt;"",N19,M19))*IF(V19=0,1/U19,V19/(1-(1+V19)^(-U19))),0),0)</f>
        <v>10378.2794837465</v>
      </c>
      <c r="AL19" s="115" t="n">
        <f aca="false">IFERROR(IF(U19&gt;0,IF(O19&lt;&gt;"",O19,MAX(0,N(I19)+N(K19))*IF(N19&lt;&gt;"",N19,M19))*IF(V19=0,1/U19,V19/(1-(1+V19)^(-U19))),0),0)</f>
        <v>10378.2794837465</v>
      </c>
      <c r="AM19" s="106" t="n">
        <f aca="false">IFERROR(IF(U19&gt;0,IF(O19&lt;&gt;"",O19,MAX(0,N(J19)+N(K19))*IF(N19&lt;&gt;"",N19,M19))*IF(V19=0,1/U19,V19/(1-(1+V19)^(-U19))),0),0)</f>
        <v>10378.2794837465</v>
      </c>
    </row>
    <row r="20" customFormat="false" ht="14.25" hidden="false" customHeight="true" outlineLevel="0" collapsed="false">
      <c r="A20" s="106" t="s">
        <v>253</v>
      </c>
      <c r="B20" s="106" t="s">
        <v>190</v>
      </c>
      <c r="C20" s="106" t="s">
        <v>191</v>
      </c>
      <c r="D20" s="106" t="s">
        <v>201</v>
      </c>
      <c r="E20" s="106" t="s">
        <v>254</v>
      </c>
      <c r="F20" s="107" t="n">
        <f aca="false">IF('03_Multi_Horizon_Results'!$B$5&gt;='12_Takeoff_Assumptions'!$B$17,ROUNDUP('03_Multi_Horizon_Results'!$B$5/'12_Takeoff_Assumptions'!$B$17,0),0)</f>
        <v>0</v>
      </c>
      <c r="G20" s="107" t="n">
        <f aca="false">IF('03_Multi_Horizon_Results'!$C$5&gt;='12_Takeoff_Assumptions'!$B$17,ROUNDUP('03_Multi_Horizon_Results'!$C$5/'12_Takeoff_Assumptions'!$B$17,0),0)</f>
        <v>0</v>
      </c>
      <c r="H20" s="107" t="n">
        <f aca="false">IF('03_Multi_Horizon_Results'!$D$5&gt;='12_Takeoff_Assumptions'!$B$17,ROUNDUP('03_Multi_Horizon_Results'!$D$5/'12_Takeoff_Assumptions'!$B$17,0),0)</f>
        <v>0</v>
      </c>
      <c r="I20" s="107" t="n">
        <f aca="false">IF('03_Multi_Horizon_Results'!$E$5&gt;='12_Takeoff_Assumptions'!$B$17,ROUNDUP('03_Multi_Horizon_Results'!$E$5/'12_Takeoff_Assumptions'!$B$17,0),0)</f>
        <v>0</v>
      </c>
      <c r="J20" s="107" t="n">
        <f aca="false">IF('03_Multi_Horizon_Results'!$F$5&gt;='12_Takeoff_Assumptions'!$B$17,ROUNDUP('03_Multi_Horizon_Results'!$F$5/'12_Takeoff_Assumptions'!$B$17,0),0)</f>
        <v>0</v>
      </c>
      <c r="K20" s="108"/>
      <c r="L20" s="107" t="n">
        <f aca="false">MAX(0,N(G20)+N(K20))</f>
        <v>0</v>
      </c>
      <c r="M20" s="109" t="n">
        <v>150000</v>
      </c>
      <c r="N20" s="110"/>
      <c r="O20" s="110"/>
      <c r="P20" s="109" t="n">
        <f aca="false">IFERROR(IF(O20&lt;&gt;"",O20,L20*IF(N20&lt;&gt;"",N20,M20)),0)</f>
        <v>0</v>
      </c>
      <c r="Q20" s="101" t="s">
        <v>190</v>
      </c>
      <c r="R20" s="101" t="s">
        <v>31</v>
      </c>
      <c r="S20" s="101" t="s">
        <v>248</v>
      </c>
      <c r="T20" s="111" t="n">
        <v>1</v>
      </c>
      <c r="U20" s="111" t="n">
        <v>20</v>
      </c>
      <c r="V20" s="112" t="n">
        <v>0.045</v>
      </c>
      <c r="W20" s="109" t="n">
        <f aca="false">IFERROR(IF(AND(R20="Yes",S20="Debt service",U20&gt;0),IF(V20=0,P20/U20,P20*V20/(1-(1+V20)^(-U20))),0),0)</f>
        <v>0</v>
      </c>
      <c r="X20" s="113" t="n">
        <f aca="false">IFERROR(IF(OR(R20&lt;&gt;"Yes",Q20&lt;&gt;"City"),0,IF(S20="Cash capital",IF(T20&lt;=5,IF(O20&lt;&gt;"",O20,MAX(0,N(F20)+N(K20))*IF(N20&lt;&gt;"",N20,M20)),0),IF(S20="Debt service",IF(T20&gt;5,0,AI20*MAX(0,MIN(5-T20+1,U20))),IF(OR(S20="Annual O&amp;M",S20="Maintenance-only"),IF(T20&gt;5,0,IF(O20&lt;&gt;"",O20,MAX(0,N(F20)+N(K20))*IF(N20&lt;&gt;"",N20,M20))*MAX(0,5-T20+1)),0)))),0)</f>
        <v>0</v>
      </c>
      <c r="Y20" s="113" t="n">
        <f aca="false">IFERROR(IF(OR(R20&lt;&gt;"Yes",Q20&lt;&gt;"City"),0,IF(S20="Cash capital",IF(T20&lt;=10,IF(O20&lt;&gt;"",O20,MAX(0,N(G20)+N(K20))*IF(N20&lt;&gt;"",N20,M20)),0),IF(S20="Debt service",IF(T20&gt;10,0,AJ20*MAX(0,MIN(10-T20+1,U20))),IF(OR(S20="Annual O&amp;M",S20="Maintenance-only"),IF(T20&gt;10,0,IF(O20&lt;&gt;"",O20,MAX(0,N(G20)+N(K20))*IF(N20&lt;&gt;"",N20,M20))*MAX(0,10-T20+1)),0)))),0)</f>
        <v>0</v>
      </c>
      <c r="Z20" s="113" t="n">
        <f aca="false">IFERROR(IF(OR(R20&lt;&gt;"Yes",Q20&lt;&gt;"City"),0,IF(S20="Cash capital",IF(T20&lt;=15,IF(O20&lt;&gt;"",O20,MAX(0,N(H20)+N(K20))*IF(N20&lt;&gt;"",N20,M20)),0),IF(S20="Debt service",IF(T20&gt;15,0,AK20*MAX(0,MIN(15-T20+1,U20))),IF(OR(S20="Annual O&amp;M",S20="Maintenance-only"),IF(T20&gt;15,0,IF(O20&lt;&gt;"",O20,MAX(0,N(H20)+N(K20))*IF(N20&lt;&gt;"",N20,M20))*MAX(0,15-T20+1)),0)))),0)</f>
        <v>0</v>
      </c>
      <c r="AA20" s="113" t="n">
        <f aca="false">IFERROR(IF(OR(R20&lt;&gt;"Yes",Q20&lt;&gt;"City"),0,IF(S20="Cash capital",IF(T20&lt;=20,IF(O20&lt;&gt;"",O20,MAX(0,N(I20)+N(K20))*IF(N20&lt;&gt;"",N20,M20)),0),IF(S20="Debt service",IF(T20&gt;20,0,AL20*MAX(0,MIN(20-T20+1,U20))),IF(OR(S20="Annual O&amp;M",S20="Maintenance-only"),IF(T20&gt;20,0,IF(O20&lt;&gt;"",O20,MAX(0,N(I20)+N(K20))*IF(N20&lt;&gt;"",N20,M20))*MAX(0,20-T20+1)),0)))),0)</f>
        <v>0</v>
      </c>
      <c r="AB20" s="113" t="n">
        <f aca="false">IFERROR(IF(OR(R20&lt;&gt;"Yes",Q20&lt;&gt;"City"),0,IF(S20="Cash capital",IF(T20&lt;=30,IF(O20&lt;&gt;"",O20,MAX(0,N(J20)+N(K20))*IF(N20&lt;&gt;"",N20,M20)),0),IF(S20="Debt service",IF(T20&gt;30,0,AM20*MAX(0,MIN(30-T20+1,U20))),IF(OR(S20="Annual O&amp;M",S20="Maintenance-only"),IF(T20&gt;30,0,IF(O20&lt;&gt;"",O20,MAX(0,N(J20)+N(K20))*IF(N20&lt;&gt;"",N20,M20))*MAX(0,30-T20+1)),0)))),0)</f>
        <v>0</v>
      </c>
      <c r="AC20" s="113" t="n">
        <f aca="false">IFERROR(IF(OR(R20&lt;&gt;"Yes",Q20&lt;&gt;"ESD"),0,IF(S20="Cash capital",IF(T20&lt;=5,IF(O20&lt;&gt;"",O20,MAX(0,N(F20)+N(K20))*IF(N20&lt;&gt;"",N20,M20)),0),IF(S20="Debt service",IF(T20&gt;5,0,AI20*MAX(0,MIN(5-T20+1,U20))),IF(OR(S20="Annual O&amp;M",S20="Maintenance-only"),IF(T20&gt;5,0,IF(O20&lt;&gt;"",O20,MAX(0,N(F20)+N(K20))*IF(N20&lt;&gt;"",N20,M20))*MAX(0,5-T20+1)),0)))),0)</f>
        <v>0</v>
      </c>
      <c r="AD20" s="113" t="n">
        <f aca="false">IFERROR(IF(OR(R20&lt;&gt;"Yes",Q20&lt;&gt;"ESD"),0,IF(S20="Cash capital",IF(T20&lt;=10,IF(O20&lt;&gt;"",O20,MAX(0,N(G20)+N(K20))*IF(N20&lt;&gt;"",N20,M20)),0),IF(S20="Debt service",IF(T20&gt;10,0,AJ20*MAX(0,MIN(10-T20+1,U20))),IF(OR(S20="Annual O&amp;M",S20="Maintenance-only"),IF(T20&gt;10,0,IF(O20&lt;&gt;"",O20,MAX(0,N(G20)+N(K20))*IF(N20&lt;&gt;"",N20,M20))*MAX(0,10-T20+1)),0)))),0)</f>
        <v>0</v>
      </c>
      <c r="AE20" s="113" t="n">
        <f aca="false">IFERROR(IF(OR(R20&lt;&gt;"Yes",Q20&lt;&gt;"ESD"),0,IF(S20="Cash capital",IF(T20&lt;=15,IF(O20&lt;&gt;"",O20,MAX(0,N(H20)+N(K20))*IF(N20&lt;&gt;"",N20,M20)),0),IF(S20="Debt service",IF(T20&gt;15,0,AK20*MAX(0,MIN(15-T20+1,U20))),IF(OR(S20="Annual O&amp;M",S20="Maintenance-only"),IF(T20&gt;15,0,IF(O20&lt;&gt;"",O20,MAX(0,N(H20)+N(K20))*IF(N20&lt;&gt;"",N20,M20))*MAX(0,15-T20+1)),0)))),0)</f>
        <v>0</v>
      </c>
      <c r="AF20" s="113" t="n">
        <f aca="false">IFERROR(IF(OR(R20&lt;&gt;"Yes",Q20&lt;&gt;"ESD"),0,IF(S20="Cash capital",IF(T20&lt;=20,IF(O20&lt;&gt;"",O20,MAX(0,N(I20)+N(K20))*IF(N20&lt;&gt;"",N20,M20)),0),IF(S20="Debt service",IF(T20&gt;20,0,AL20*MAX(0,MIN(20-T20+1,U20))),IF(OR(S20="Annual O&amp;M",S20="Maintenance-only"),IF(T20&gt;20,0,IF(O20&lt;&gt;"",O20,MAX(0,N(I20)+N(K20))*IF(N20&lt;&gt;"",N20,M20))*MAX(0,20-T20+1)),0)))),0)</f>
        <v>0</v>
      </c>
      <c r="AG20" s="113" t="n">
        <f aca="false">IFERROR(IF(OR(R20&lt;&gt;"Yes",Q20&lt;&gt;"ESD"),0,IF(S20="Cash capital",IF(T20&lt;=30,IF(O20&lt;&gt;"",O20,MAX(0,N(J20)+N(K20))*IF(N20&lt;&gt;"",N20,M20)),0),IF(S20="Debt service",IF(T20&gt;30,0,AM20*MAX(0,MIN(30-T20+1,U20))),IF(OR(S20="Annual O&amp;M",S20="Maintenance-only"),IF(T20&gt;30,0,IF(O20&lt;&gt;"",O20,MAX(0,N(J20)+N(K20))*IF(N20&lt;&gt;"",N20,M20))*MAX(0,30-T20+1)),0)))),0)</f>
        <v>0</v>
      </c>
      <c r="AH20" s="114" t="s">
        <v>255</v>
      </c>
      <c r="AI20" s="106" t="n">
        <f aca="false">IFERROR(IF(U20&gt;0,IF(O20&lt;&gt;"",O20,MAX(0,N(F20)+N(K20))*IF(N20&lt;&gt;"",N20,M20))*IF(V20=0,1/U20,V20/(1-(1+V20)^(-U20))),0),0)</f>
        <v>0</v>
      </c>
      <c r="AJ20" s="106" t="n">
        <f aca="false">IFERROR(IF(U20&gt;0,IF(O20&lt;&gt;"",O20,MAX(0,N(G20)+N(K20))*IF(N20&lt;&gt;"",N20,M20))*IF(V20=0,1/U20,V20/(1-(1+V20)^(-U20))),0),0)</f>
        <v>0</v>
      </c>
      <c r="AK20" s="106" t="n">
        <f aca="false">IFERROR(IF(U20&gt;0,IF(O20&lt;&gt;"",O20,MAX(0,N(H20)+N(K20))*IF(N20&lt;&gt;"",N20,M20))*IF(V20=0,1/U20,V20/(1-(1+V20)^(-U20))),0),0)</f>
        <v>0</v>
      </c>
      <c r="AL20" s="106" t="n">
        <f aca="false">IFERROR(IF(U20&gt;0,IF(O20&lt;&gt;"",O20,MAX(0,N(I20)+N(K20))*IF(N20&lt;&gt;"",N20,M20))*IF(V20=0,1/U20,V20/(1-(1+V20)^(-U20))),0),0)</f>
        <v>0</v>
      </c>
      <c r="AM20" s="106" t="n">
        <f aca="false">IFERROR(IF(U20&gt;0,IF(O20&lt;&gt;"",O20,MAX(0,N(J20)+N(K20))*IF(N20&lt;&gt;"",N20,M20))*IF(V20=0,1/U20,V20/(1-(1+V20)^(-U20))),0),0)</f>
        <v>0</v>
      </c>
    </row>
    <row r="21" customFormat="false" ht="28.5" hidden="false" customHeight="true" outlineLevel="0" collapsed="false">
      <c r="A21" s="115" t="s">
        <v>256</v>
      </c>
      <c r="B21" s="115" t="s">
        <v>257</v>
      </c>
      <c r="C21" s="115" t="s">
        <v>240</v>
      </c>
      <c r="D21" s="115" t="s">
        <v>201</v>
      </c>
      <c r="E21" s="115" t="s">
        <v>258</v>
      </c>
      <c r="F21" s="116" t="n">
        <f aca="false">IF('03_Multi_Horizon_Results'!$B$7&gt;='12_Takeoff_Assumptions'!$B$18,INT('03_Multi_Horizon_Results'!$B$7/'12_Takeoff_Assumptions'!$B$18),0)</f>
        <v>0</v>
      </c>
      <c r="G21" s="116" t="n">
        <f aca="false">IF('03_Multi_Horizon_Results'!$C$7&gt;='12_Takeoff_Assumptions'!$B$18,INT('03_Multi_Horizon_Results'!$C$7/'12_Takeoff_Assumptions'!$B$18),0)</f>
        <v>0</v>
      </c>
      <c r="H21" s="116" t="n">
        <f aca="false">IF('03_Multi_Horizon_Results'!$D$7&gt;='12_Takeoff_Assumptions'!$B$18,INT('03_Multi_Horizon_Results'!$D$7/'12_Takeoff_Assumptions'!$B$18),0)</f>
        <v>0</v>
      </c>
      <c r="I21" s="116" t="n">
        <f aca="false">IF('03_Multi_Horizon_Results'!$E$7&gt;='12_Takeoff_Assumptions'!$B$18,INT('03_Multi_Horizon_Results'!$E$7/'12_Takeoff_Assumptions'!$B$18),0)</f>
        <v>0</v>
      </c>
      <c r="J21" s="116" t="n">
        <f aca="false">IF('03_Multi_Horizon_Results'!$F$7&gt;='12_Takeoff_Assumptions'!$B$18,INT('03_Multi_Horizon_Results'!$F$7/'12_Takeoff_Assumptions'!$B$18),0)</f>
        <v>0</v>
      </c>
      <c r="K21" s="117"/>
      <c r="L21" s="116" t="n">
        <f aca="false">MAX(0,N(G21)+N(K21))</f>
        <v>0</v>
      </c>
      <c r="M21" s="118" t="n">
        <v>5000000</v>
      </c>
      <c r="N21" s="119"/>
      <c r="O21" s="119"/>
      <c r="P21" s="118" t="n">
        <f aca="false">IFERROR(IF(O21&lt;&gt;"",O21,L21*IF(N21&lt;&gt;"",N21,M21)),0)</f>
        <v>0</v>
      </c>
      <c r="Q21" s="120" t="s">
        <v>257</v>
      </c>
      <c r="R21" s="120" t="s">
        <v>31</v>
      </c>
      <c r="S21" s="120" t="s">
        <v>194</v>
      </c>
      <c r="T21" s="121" t="n">
        <v>1</v>
      </c>
      <c r="U21" s="121" t="n">
        <v>20</v>
      </c>
      <c r="V21" s="122" t="n">
        <v>0.045</v>
      </c>
      <c r="W21" s="118" t="n">
        <f aca="false">IFERROR(IF(AND(R21="Yes",S21="Debt service",U21&gt;0),IF(V21=0,P21/U21,P21*V21/(1-(1+V21)^(-U21))),0),0)</f>
        <v>0</v>
      </c>
      <c r="X21" s="123" t="n">
        <f aca="false">IFERROR(IF(OR(R21&lt;&gt;"Yes",Q21&lt;&gt;"City"),0,IF(S21="Cash capital",IF(T21&lt;=5,IF(O21&lt;&gt;"",O21,MAX(0,N(F21)+N(K21))*IF(N21&lt;&gt;"",N21,M21)),0),IF(S21="Debt service",IF(T21&gt;5,0,AI21*MAX(0,MIN(5-T21+1,U21))),IF(OR(S21="Annual O&amp;M",S21="Maintenance-only"),IF(T21&gt;5,0,IF(O21&lt;&gt;"",O21,MAX(0,N(F21)+N(K21))*IF(N21&lt;&gt;"",N21,M21))*MAX(0,5-T21+1)),0)))),0)</f>
        <v>0</v>
      </c>
      <c r="Y21" s="123" t="n">
        <f aca="false">IFERROR(IF(OR(R21&lt;&gt;"Yes",Q21&lt;&gt;"City"),0,IF(S21="Cash capital",IF(T21&lt;=10,IF(O21&lt;&gt;"",O21,MAX(0,N(G21)+N(K21))*IF(N21&lt;&gt;"",N21,M21)),0),IF(S21="Debt service",IF(T21&gt;10,0,AJ21*MAX(0,MIN(10-T21+1,U21))),IF(OR(S21="Annual O&amp;M",S21="Maintenance-only"),IF(T21&gt;10,0,IF(O21&lt;&gt;"",O21,MAX(0,N(G21)+N(K21))*IF(N21&lt;&gt;"",N21,M21))*MAX(0,10-T21+1)),0)))),0)</f>
        <v>0</v>
      </c>
      <c r="Z21" s="123" t="n">
        <f aca="false">IFERROR(IF(OR(R21&lt;&gt;"Yes",Q21&lt;&gt;"City"),0,IF(S21="Cash capital",IF(T21&lt;=15,IF(O21&lt;&gt;"",O21,MAX(0,N(H21)+N(K21))*IF(N21&lt;&gt;"",N21,M21)),0),IF(S21="Debt service",IF(T21&gt;15,0,AK21*MAX(0,MIN(15-T21+1,U21))),IF(OR(S21="Annual O&amp;M",S21="Maintenance-only"),IF(T21&gt;15,0,IF(O21&lt;&gt;"",O21,MAX(0,N(H21)+N(K21))*IF(N21&lt;&gt;"",N21,M21))*MAX(0,15-T21+1)),0)))),0)</f>
        <v>0</v>
      </c>
      <c r="AA21" s="123" t="n">
        <f aca="false">IFERROR(IF(OR(R21&lt;&gt;"Yes",Q21&lt;&gt;"City"),0,IF(S21="Cash capital",IF(T21&lt;=20,IF(O21&lt;&gt;"",O21,MAX(0,N(I21)+N(K21))*IF(N21&lt;&gt;"",N21,M21)),0),IF(S21="Debt service",IF(T21&gt;20,0,AL21*MAX(0,MIN(20-T21+1,U21))),IF(OR(S21="Annual O&amp;M",S21="Maintenance-only"),IF(T21&gt;20,0,IF(O21&lt;&gt;"",O21,MAX(0,N(I21)+N(K21))*IF(N21&lt;&gt;"",N21,M21))*MAX(0,20-T21+1)),0)))),0)</f>
        <v>0</v>
      </c>
      <c r="AB21" s="123" t="n">
        <f aca="false">IFERROR(IF(OR(R21&lt;&gt;"Yes",Q21&lt;&gt;"City"),0,IF(S21="Cash capital",IF(T21&lt;=30,IF(O21&lt;&gt;"",O21,MAX(0,N(J21)+N(K21))*IF(N21&lt;&gt;"",N21,M21)),0),IF(S21="Debt service",IF(T21&gt;30,0,AM21*MAX(0,MIN(30-T21+1,U21))),IF(OR(S21="Annual O&amp;M",S21="Maintenance-only"),IF(T21&gt;30,0,IF(O21&lt;&gt;"",O21,MAX(0,N(J21)+N(K21))*IF(N21&lt;&gt;"",N21,M21))*MAX(0,30-T21+1)),0)))),0)</f>
        <v>0</v>
      </c>
      <c r="AC21" s="123" t="n">
        <f aca="false">IFERROR(IF(OR(R21&lt;&gt;"Yes",Q21&lt;&gt;"ESD"),0,IF(S21="Cash capital",IF(T21&lt;=5,IF(O21&lt;&gt;"",O21,MAX(0,N(F21)+N(K21))*IF(N21&lt;&gt;"",N21,M21)),0),IF(S21="Debt service",IF(T21&gt;5,0,AI21*MAX(0,MIN(5-T21+1,U21))),IF(OR(S21="Annual O&amp;M",S21="Maintenance-only"),IF(T21&gt;5,0,IF(O21&lt;&gt;"",O21,MAX(0,N(F21)+N(K21))*IF(N21&lt;&gt;"",N21,M21))*MAX(0,5-T21+1)),0)))),0)</f>
        <v>0</v>
      </c>
      <c r="AD21" s="123" t="n">
        <f aca="false">IFERROR(IF(OR(R21&lt;&gt;"Yes",Q21&lt;&gt;"ESD"),0,IF(S21="Cash capital",IF(T21&lt;=10,IF(O21&lt;&gt;"",O21,MAX(0,N(G21)+N(K21))*IF(N21&lt;&gt;"",N21,M21)),0),IF(S21="Debt service",IF(T21&gt;10,0,AJ21*MAX(0,MIN(10-T21+1,U21))),IF(OR(S21="Annual O&amp;M",S21="Maintenance-only"),IF(T21&gt;10,0,IF(O21&lt;&gt;"",O21,MAX(0,N(G21)+N(K21))*IF(N21&lt;&gt;"",N21,M21))*MAX(0,10-T21+1)),0)))),0)</f>
        <v>0</v>
      </c>
      <c r="AE21" s="123" t="n">
        <f aca="false">IFERROR(IF(OR(R21&lt;&gt;"Yes",Q21&lt;&gt;"ESD"),0,IF(S21="Cash capital",IF(T21&lt;=15,IF(O21&lt;&gt;"",O21,MAX(0,N(H21)+N(K21))*IF(N21&lt;&gt;"",N21,M21)),0),IF(S21="Debt service",IF(T21&gt;15,0,AK21*MAX(0,MIN(15-T21+1,U21))),IF(OR(S21="Annual O&amp;M",S21="Maintenance-only"),IF(T21&gt;15,0,IF(O21&lt;&gt;"",O21,MAX(0,N(H21)+N(K21))*IF(N21&lt;&gt;"",N21,M21))*MAX(0,15-T21+1)),0)))),0)</f>
        <v>0</v>
      </c>
      <c r="AF21" s="123" t="n">
        <f aca="false">IFERROR(IF(OR(R21&lt;&gt;"Yes",Q21&lt;&gt;"ESD"),0,IF(S21="Cash capital",IF(T21&lt;=20,IF(O21&lt;&gt;"",O21,MAX(0,N(I21)+N(K21))*IF(N21&lt;&gt;"",N21,M21)),0),IF(S21="Debt service",IF(T21&gt;20,0,AL21*MAX(0,MIN(20-T21+1,U21))),IF(OR(S21="Annual O&amp;M",S21="Maintenance-only"),IF(T21&gt;20,0,IF(O21&lt;&gt;"",O21,MAX(0,N(I21)+N(K21))*IF(N21&lt;&gt;"",N21,M21))*MAX(0,20-T21+1)),0)))),0)</f>
        <v>0</v>
      </c>
      <c r="AG21" s="123" t="n">
        <f aca="false">IFERROR(IF(OR(R21&lt;&gt;"Yes",Q21&lt;&gt;"ESD"),0,IF(S21="Cash capital",IF(T21&lt;=30,IF(O21&lt;&gt;"",O21,MAX(0,N(J21)+N(K21))*IF(N21&lt;&gt;"",N21,M21)),0),IF(S21="Debt service",IF(T21&gt;30,0,AM21*MAX(0,MIN(30-T21+1,U21))),IF(OR(S21="Annual O&amp;M",S21="Maintenance-only"),IF(T21&gt;30,0,IF(O21&lt;&gt;"",O21,MAX(0,N(J21)+N(K21))*IF(N21&lt;&gt;"",N21,M21))*MAX(0,30-T21+1)),0)))),0)</f>
        <v>0</v>
      </c>
      <c r="AH21" s="124" t="s">
        <v>259</v>
      </c>
      <c r="AI21" s="115" t="n">
        <f aca="false">IFERROR(IF(U21&gt;0,IF(O21&lt;&gt;"",O21,MAX(0,N(F21)+N(K21))*IF(N21&lt;&gt;"",N21,M21))*IF(V21=0,1/U21,V21/(1-(1+V21)^(-U21))),0),0)</f>
        <v>0</v>
      </c>
      <c r="AJ21" s="115" t="n">
        <f aca="false">IFERROR(IF(U21&gt;0,IF(O21&lt;&gt;"",O21,MAX(0,N(G21)+N(K21))*IF(N21&lt;&gt;"",N21,M21))*IF(V21=0,1/U21,V21/(1-(1+V21)^(-U21))),0),0)</f>
        <v>0</v>
      </c>
      <c r="AK21" s="115" t="n">
        <f aca="false">IFERROR(IF(U21&gt;0,IF(O21&lt;&gt;"",O21,MAX(0,N(H21)+N(K21))*IF(N21&lt;&gt;"",N21,M21))*IF(V21=0,1/U21,V21/(1-(1+V21)^(-U21))),0),0)</f>
        <v>0</v>
      </c>
      <c r="AL21" s="115" t="n">
        <f aca="false">IFERROR(IF(U21&gt;0,IF(O21&lt;&gt;"",O21,MAX(0,N(I21)+N(K21))*IF(N21&lt;&gt;"",N21,M21))*IF(V21=0,1/U21,V21/(1-(1+V21)^(-U21))),0),0)</f>
        <v>0</v>
      </c>
      <c r="AM21" s="106" t="n">
        <f aca="false">IFERROR(IF(U21&gt;0,IF(O21&lt;&gt;"",O21,MAX(0,N(J21)+N(K21))*IF(N21&lt;&gt;"",N21,M21))*IF(V21=0,1/U21,V21/(1-(1+V21)^(-U21))),0),0)</f>
        <v>0</v>
      </c>
    </row>
    <row r="22" customFormat="false" ht="28.5" hidden="false" customHeight="true" outlineLevel="0" collapsed="false">
      <c r="A22" s="106" t="s">
        <v>260</v>
      </c>
      <c r="B22" s="106" t="s">
        <v>257</v>
      </c>
      <c r="C22" s="106" t="s">
        <v>240</v>
      </c>
      <c r="D22" s="106" t="s">
        <v>201</v>
      </c>
      <c r="E22" s="106" t="s">
        <v>261</v>
      </c>
      <c r="F22" s="107" t="n">
        <f aca="false">IF('03_Multi_Horizon_Results'!$B$7&gt;='12_Takeoff_Assumptions'!$B$19,INT('03_Multi_Horizon_Results'!$B$7/'12_Takeoff_Assumptions'!$B$19),0)</f>
        <v>0</v>
      </c>
      <c r="G22" s="107" t="n">
        <f aca="false">IF('03_Multi_Horizon_Results'!$C$7&gt;='12_Takeoff_Assumptions'!$B$19,INT('03_Multi_Horizon_Results'!$C$7/'12_Takeoff_Assumptions'!$B$19),0)</f>
        <v>0</v>
      </c>
      <c r="H22" s="107" t="n">
        <f aca="false">IF('03_Multi_Horizon_Results'!$D$7&gt;='12_Takeoff_Assumptions'!$B$19,INT('03_Multi_Horizon_Results'!$D$7/'12_Takeoff_Assumptions'!$B$19),0)</f>
        <v>0</v>
      </c>
      <c r="I22" s="107" t="n">
        <f aca="false">IF('03_Multi_Horizon_Results'!$E$7&gt;='12_Takeoff_Assumptions'!$B$19,INT('03_Multi_Horizon_Results'!$E$7/'12_Takeoff_Assumptions'!$B$19),0)</f>
        <v>0</v>
      </c>
      <c r="J22" s="107" t="n">
        <f aca="false">IF('03_Multi_Horizon_Results'!$F$7&gt;='12_Takeoff_Assumptions'!$B$19,INT('03_Multi_Horizon_Results'!$F$7/'12_Takeoff_Assumptions'!$B$19),0)</f>
        <v>0</v>
      </c>
      <c r="K22" s="108"/>
      <c r="L22" s="107" t="n">
        <f aca="false">MAX(0,N(G22)+N(K22))</f>
        <v>0</v>
      </c>
      <c r="M22" s="109" t="n">
        <v>1200000</v>
      </c>
      <c r="N22" s="110"/>
      <c r="O22" s="110"/>
      <c r="P22" s="109" t="n">
        <f aca="false">IFERROR(IF(O22&lt;&gt;"",O22,L22*IF(N22&lt;&gt;"",N22,M22)),0)</f>
        <v>0</v>
      </c>
      <c r="Q22" s="101" t="s">
        <v>257</v>
      </c>
      <c r="R22" s="101" t="s">
        <v>31</v>
      </c>
      <c r="S22" s="101" t="s">
        <v>248</v>
      </c>
      <c r="T22" s="111" t="n">
        <v>1</v>
      </c>
      <c r="U22" s="111" t="n">
        <v>20</v>
      </c>
      <c r="V22" s="112" t="n">
        <v>0.045</v>
      </c>
      <c r="W22" s="109" t="n">
        <f aca="false">IFERROR(IF(AND(R22="Yes",S22="Debt service",U22&gt;0),IF(V22=0,P22/U22,P22*V22/(1-(1+V22)^(-U22))),0),0)</f>
        <v>0</v>
      </c>
      <c r="X22" s="113" t="n">
        <f aca="false">IFERROR(IF(OR(R22&lt;&gt;"Yes",Q22&lt;&gt;"City"),0,IF(S22="Cash capital",IF(T22&lt;=5,IF(O22&lt;&gt;"",O22,MAX(0,N(F22)+N(K22))*IF(N22&lt;&gt;"",N22,M22)),0),IF(S22="Debt service",IF(T22&gt;5,0,AI22*MAX(0,MIN(5-T22+1,U22))),IF(OR(S22="Annual O&amp;M",S22="Maintenance-only"),IF(T22&gt;5,0,IF(O22&lt;&gt;"",O22,MAX(0,N(F22)+N(K22))*IF(N22&lt;&gt;"",N22,M22))*MAX(0,5-T22+1)),0)))),0)</f>
        <v>0</v>
      </c>
      <c r="Y22" s="113" t="n">
        <f aca="false">IFERROR(IF(OR(R22&lt;&gt;"Yes",Q22&lt;&gt;"City"),0,IF(S22="Cash capital",IF(T22&lt;=10,IF(O22&lt;&gt;"",O22,MAX(0,N(G22)+N(K22))*IF(N22&lt;&gt;"",N22,M22)),0),IF(S22="Debt service",IF(T22&gt;10,0,AJ22*MAX(0,MIN(10-T22+1,U22))),IF(OR(S22="Annual O&amp;M",S22="Maintenance-only"),IF(T22&gt;10,0,IF(O22&lt;&gt;"",O22,MAX(0,N(G22)+N(K22))*IF(N22&lt;&gt;"",N22,M22))*MAX(0,10-T22+1)),0)))),0)</f>
        <v>0</v>
      </c>
      <c r="Z22" s="113" t="n">
        <f aca="false">IFERROR(IF(OR(R22&lt;&gt;"Yes",Q22&lt;&gt;"City"),0,IF(S22="Cash capital",IF(T22&lt;=15,IF(O22&lt;&gt;"",O22,MAX(0,N(H22)+N(K22))*IF(N22&lt;&gt;"",N22,M22)),0),IF(S22="Debt service",IF(T22&gt;15,0,AK22*MAX(0,MIN(15-T22+1,U22))),IF(OR(S22="Annual O&amp;M",S22="Maintenance-only"),IF(T22&gt;15,0,IF(O22&lt;&gt;"",O22,MAX(0,N(H22)+N(K22))*IF(N22&lt;&gt;"",N22,M22))*MAX(0,15-T22+1)),0)))),0)</f>
        <v>0</v>
      </c>
      <c r="AA22" s="113" t="n">
        <f aca="false">IFERROR(IF(OR(R22&lt;&gt;"Yes",Q22&lt;&gt;"City"),0,IF(S22="Cash capital",IF(T22&lt;=20,IF(O22&lt;&gt;"",O22,MAX(0,N(I22)+N(K22))*IF(N22&lt;&gt;"",N22,M22)),0),IF(S22="Debt service",IF(T22&gt;20,0,AL22*MAX(0,MIN(20-T22+1,U22))),IF(OR(S22="Annual O&amp;M",S22="Maintenance-only"),IF(T22&gt;20,0,IF(O22&lt;&gt;"",O22,MAX(0,N(I22)+N(K22))*IF(N22&lt;&gt;"",N22,M22))*MAX(0,20-T22+1)),0)))),0)</f>
        <v>0</v>
      </c>
      <c r="AB22" s="113" t="n">
        <f aca="false">IFERROR(IF(OR(R22&lt;&gt;"Yes",Q22&lt;&gt;"City"),0,IF(S22="Cash capital",IF(T22&lt;=30,IF(O22&lt;&gt;"",O22,MAX(0,N(J22)+N(K22))*IF(N22&lt;&gt;"",N22,M22)),0),IF(S22="Debt service",IF(T22&gt;30,0,AM22*MAX(0,MIN(30-T22+1,U22))),IF(OR(S22="Annual O&amp;M",S22="Maintenance-only"),IF(T22&gt;30,0,IF(O22&lt;&gt;"",O22,MAX(0,N(J22)+N(K22))*IF(N22&lt;&gt;"",N22,M22))*MAX(0,30-T22+1)),0)))),0)</f>
        <v>0</v>
      </c>
      <c r="AC22" s="113" t="n">
        <f aca="false">IFERROR(IF(OR(R22&lt;&gt;"Yes",Q22&lt;&gt;"ESD"),0,IF(S22="Cash capital",IF(T22&lt;=5,IF(O22&lt;&gt;"",O22,MAX(0,N(F22)+N(K22))*IF(N22&lt;&gt;"",N22,M22)),0),IF(S22="Debt service",IF(T22&gt;5,0,AI22*MAX(0,MIN(5-T22+1,U22))),IF(OR(S22="Annual O&amp;M",S22="Maintenance-only"),IF(T22&gt;5,0,IF(O22&lt;&gt;"",O22,MAX(0,N(F22)+N(K22))*IF(N22&lt;&gt;"",N22,M22))*MAX(0,5-T22+1)),0)))),0)</f>
        <v>0</v>
      </c>
      <c r="AD22" s="113" t="n">
        <f aca="false">IFERROR(IF(OR(R22&lt;&gt;"Yes",Q22&lt;&gt;"ESD"),0,IF(S22="Cash capital",IF(T22&lt;=10,IF(O22&lt;&gt;"",O22,MAX(0,N(G22)+N(K22))*IF(N22&lt;&gt;"",N22,M22)),0),IF(S22="Debt service",IF(T22&gt;10,0,AJ22*MAX(0,MIN(10-T22+1,U22))),IF(OR(S22="Annual O&amp;M",S22="Maintenance-only"),IF(T22&gt;10,0,IF(O22&lt;&gt;"",O22,MAX(0,N(G22)+N(K22))*IF(N22&lt;&gt;"",N22,M22))*MAX(0,10-T22+1)),0)))),0)</f>
        <v>0</v>
      </c>
      <c r="AE22" s="113" t="n">
        <f aca="false">IFERROR(IF(OR(R22&lt;&gt;"Yes",Q22&lt;&gt;"ESD"),0,IF(S22="Cash capital",IF(T22&lt;=15,IF(O22&lt;&gt;"",O22,MAX(0,N(H22)+N(K22))*IF(N22&lt;&gt;"",N22,M22)),0),IF(S22="Debt service",IF(T22&gt;15,0,AK22*MAX(0,MIN(15-T22+1,U22))),IF(OR(S22="Annual O&amp;M",S22="Maintenance-only"),IF(T22&gt;15,0,IF(O22&lt;&gt;"",O22,MAX(0,N(H22)+N(K22))*IF(N22&lt;&gt;"",N22,M22))*MAX(0,15-T22+1)),0)))),0)</f>
        <v>0</v>
      </c>
      <c r="AF22" s="113" t="n">
        <f aca="false">IFERROR(IF(OR(R22&lt;&gt;"Yes",Q22&lt;&gt;"ESD"),0,IF(S22="Cash capital",IF(T22&lt;=20,IF(O22&lt;&gt;"",O22,MAX(0,N(I22)+N(K22))*IF(N22&lt;&gt;"",N22,M22)),0),IF(S22="Debt service",IF(T22&gt;20,0,AL22*MAX(0,MIN(20-T22+1,U22))),IF(OR(S22="Annual O&amp;M",S22="Maintenance-only"),IF(T22&gt;20,0,IF(O22&lt;&gt;"",O22,MAX(0,N(I22)+N(K22))*IF(N22&lt;&gt;"",N22,M22))*MAX(0,20-T22+1)),0)))),0)</f>
        <v>0</v>
      </c>
      <c r="AG22" s="113" t="n">
        <f aca="false">IFERROR(IF(OR(R22&lt;&gt;"Yes",Q22&lt;&gt;"ESD"),0,IF(S22="Cash capital",IF(T22&lt;=30,IF(O22&lt;&gt;"",O22,MAX(0,N(J22)+N(K22))*IF(N22&lt;&gt;"",N22,M22)),0),IF(S22="Debt service",IF(T22&gt;30,0,AM22*MAX(0,MIN(30-T22+1,U22))),IF(OR(S22="Annual O&amp;M",S22="Maintenance-only"),IF(T22&gt;30,0,IF(O22&lt;&gt;"",O22,MAX(0,N(J22)+N(K22))*IF(N22&lt;&gt;"",N22,M22))*MAX(0,30-T22+1)),0)))),0)</f>
        <v>0</v>
      </c>
      <c r="AH22" s="114" t="s">
        <v>262</v>
      </c>
      <c r="AI22" s="106" t="n">
        <f aca="false">IFERROR(IF(U22&gt;0,IF(O22&lt;&gt;"",O22,MAX(0,N(F22)+N(K22))*IF(N22&lt;&gt;"",N22,M22))*IF(V22=0,1/U22,V22/(1-(1+V22)^(-U22))),0),0)</f>
        <v>0</v>
      </c>
      <c r="AJ22" s="106" t="n">
        <f aca="false">IFERROR(IF(U22&gt;0,IF(O22&lt;&gt;"",O22,MAX(0,N(G22)+N(K22))*IF(N22&lt;&gt;"",N22,M22))*IF(V22=0,1/U22,V22/(1-(1+V22)^(-U22))),0),0)</f>
        <v>0</v>
      </c>
      <c r="AK22" s="106" t="n">
        <f aca="false">IFERROR(IF(U22&gt;0,IF(O22&lt;&gt;"",O22,MAX(0,N(H22)+N(K22))*IF(N22&lt;&gt;"",N22,M22))*IF(V22=0,1/U22,V22/(1-(1+V22)^(-U22))),0),0)</f>
        <v>0</v>
      </c>
      <c r="AL22" s="106" t="n">
        <f aca="false">IFERROR(IF(U22&gt;0,IF(O22&lt;&gt;"",O22,MAX(0,N(I22)+N(K22))*IF(N22&lt;&gt;"",N22,M22))*IF(V22=0,1/U22,V22/(1-(1+V22)^(-U22))),0),0)</f>
        <v>0</v>
      </c>
      <c r="AM22" s="106" t="n">
        <f aca="false">IFERROR(IF(U22&gt;0,IF(O22&lt;&gt;"",O22,MAX(0,N(J22)+N(K22))*IF(N22&lt;&gt;"",N22,M22))*IF(V22=0,1/U22,V22/(1-(1+V22)^(-U22))),0),0)</f>
        <v>0</v>
      </c>
    </row>
    <row r="23" customFormat="false" ht="28.5" hidden="false" customHeight="true" outlineLevel="0" collapsed="false">
      <c r="A23" s="115" t="s">
        <v>263</v>
      </c>
      <c r="B23" s="115" t="s">
        <v>257</v>
      </c>
      <c r="C23" s="115" t="s">
        <v>240</v>
      </c>
      <c r="D23" s="115" t="s">
        <v>201</v>
      </c>
      <c r="E23" s="115" t="s">
        <v>264</v>
      </c>
      <c r="F23" s="116" t="n">
        <f aca="false">IF('03_Multi_Horizon_Results'!$B$7&gt;='12_Takeoff_Assumptions'!$B$20,INT('03_Multi_Horizon_Results'!$B$7/'12_Takeoff_Assumptions'!$B$20),0)</f>
        <v>0</v>
      </c>
      <c r="G23" s="116" t="n">
        <f aca="false">IF('03_Multi_Horizon_Results'!$C$7&gt;='12_Takeoff_Assumptions'!$B$20,INT('03_Multi_Horizon_Results'!$C$7/'12_Takeoff_Assumptions'!$B$20),0)</f>
        <v>0</v>
      </c>
      <c r="H23" s="116" t="n">
        <f aca="false">IF('03_Multi_Horizon_Results'!$D$7&gt;='12_Takeoff_Assumptions'!$B$20,INT('03_Multi_Horizon_Results'!$D$7/'12_Takeoff_Assumptions'!$B$20),0)</f>
        <v>0</v>
      </c>
      <c r="I23" s="116" t="n">
        <f aca="false">IF('03_Multi_Horizon_Results'!$E$7&gt;='12_Takeoff_Assumptions'!$B$20,INT('03_Multi_Horizon_Results'!$E$7/'12_Takeoff_Assumptions'!$B$20),0)</f>
        <v>0</v>
      </c>
      <c r="J23" s="116" t="n">
        <f aca="false">IF('03_Multi_Horizon_Results'!$F$7&gt;='12_Takeoff_Assumptions'!$B$20,INT('03_Multi_Horizon_Results'!$F$7/'12_Takeoff_Assumptions'!$B$20),0)</f>
        <v>0</v>
      </c>
      <c r="K23" s="117"/>
      <c r="L23" s="116" t="n">
        <f aca="false">MAX(0,N(G23)+N(K23))</f>
        <v>0</v>
      </c>
      <c r="M23" s="118" t="n">
        <v>1500000</v>
      </c>
      <c r="N23" s="119"/>
      <c r="O23" s="119"/>
      <c r="P23" s="118" t="n">
        <f aca="false">IFERROR(IF(O23&lt;&gt;"",O23,L23*IF(N23&lt;&gt;"",N23,M23)),0)</f>
        <v>0</v>
      </c>
      <c r="Q23" s="120" t="s">
        <v>257</v>
      </c>
      <c r="R23" s="120" t="s">
        <v>31</v>
      </c>
      <c r="S23" s="120" t="s">
        <v>248</v>
      </c>
      <c r="T23" s="121" t="n">
        <v>1</v>
      </c>
      <c r="U23" s="121" t="n">
        <v>20</v>
      </c>
      <c r="V23" s="122" t="n">
        <v>0.045</v>
      </c>
      <c r="W23" s="118" t="n">
        <f aca="false">IFERROR(IF(AND(R23="Yes",S23="Debt service",U23&gt;0),IF(V23=0,P23/U23,P23*V23/(1-(1+V23)^(-U23))),0),0)</f>
        <v>0</v>
      </c>
      <c r="X23" s="123" t="n">
        <f aca="false">IFERROR(IF(OR(R23&lt;&gt;"Yes",Q23&lt;&gt;"City"),0,IF(S23="Cash capital",IF(T23&lt;=5,IF(O23&lt;&gt;"",O23,MAX(0,N(F23)+N(K23))*IF(N23&lt;&gt;"",N23,M23)),0),IF(S23="Debt service",IF(T23&gt;5,0,AI23*MAX(0,MIN(5-T23+1,U23))),IF(OR(S23="Annual O&amp;M",S23="Maintenance-only"),IF(T23&gt;5,0,IF(O23&lt;&gt;"",O23,MAX(0,N(F23)+N(K23))*IF(N23&lt;&gt;"",N23,M23))*MAX(0,5-T23+1)),0)))),0)</f>
        <v>0</v>
      </c>
      <c r="Y23" s="123" t="n">
        <f aca="false">IFERROR(IF(OR(R23&lt;&gt;"Yes",Q23&lt;&gt;"City"),0,IF(S23="Cash capital",IF(T23&lt;=10,IF(O23&lt;&gt;"",O23,MAX(0,N(G23)+N(K23))*IF(N23&lt;&gt;"",N23,M23)),0),IF(S23="Debt service",IF(T23&gt;10,0,AJ23*MAX(0,MIN(10-T23+1,U23))),IF(OR(S23="Annual O&amp;M",S23="Maintenance-only"),IF(T23&gt;10,0,IF(O23&lt;&gt;"",O23,MAX(0,N(G23)+N(K23))*IF(N23&lt;&gt;"",N23,M23))*MAX(0,10-T23+1)),0)))),0)</f>
        <v>0</v>
      </c>
      <c r="Z23" s="123" t="n">
        <f aca="false">IFERROR(IF(OR(R23&lt;&gt;"Yes",Q23&lt;&gt;"City"),0,IF(S23="Cash capital",IF(T23&lt;=15,IF(O23&lt;&gt;"",O23,MAX(0,N(H23)+N(K23))*IF(N23&lt;&gt;"",N23,M23)),0),IF(S23="Debt service",IF(T23&gt;15,0,AK23*MAX(0,MIN(15-T23+1,U23))),IF(OR(S23="Annual O&amp;M",S23="Maintenance-only"),IF(T23&gt;15,0,IF(O23&lt;&gt;"",O23,MAX(0,N(H23)+N(K23))*IF(N23&lt;&gt;"",N23,M23))*MAX(0,15-T23+1)),0)))),0)</f>
        <v>0</v>
      </c>
      <c r="AA23" s="123" t="n">
        <f aca="false">IFERROR(IF(OR(R23&lt;&gt;"Yes",Q23&lt;&gt;"City"),0,IF(S23="Cash capital",IF(T23&lt;=20,IF(O23&lt;&gt;"",O23,MAX(0,N(I23)+N(K23))*IF(N23&lt;&gt;"",N23,M23)),0),IF(S23="Debt service",IF(T23&gt;20,0,AL23*MAX(0,MIN(20-T23+1,U23))),IF(OR(S23="Annual O&amp;M",S23="Maintenance-only"),IF(T23&gt;20,0,IF(O23&lt;&gt;"",O23,MAX(0,N(I23)+N(K23))*IF(N23&lt;&gt;"",N23,M23))*MAX(0,20-T23+1)),0)))),0)</f>
        <v>0</v>
      </c>
      <c r="AB23" s="123" t="n">
        <f aca="false">IFERROR(IF(OR(R23&lt;&gt;"Yes",Q23&lt;&gt;"City"),0,IF(S23="Cash capital",IF(T23&lt;=30,IF(O23&lt;&gt;"",O23,MAX(0,N(J23)+N(K23))*IF(N23&lt;&gt;"",N23,M23)),0),IF(S23="Debt service",IF(T23&gt;30,0,AM23*MAX(0,MIN(30-T23+1,U23))),IF(OR(S23="Annual O&amp;M",S23="Maintenance-only"),IF(T23&gt;30,0,IF(O23&lt;&gt;"",O23,MAX(0,N(J23)+N(K23))*IF(N23&lt;&gt;"",N23,M23))*MAX(0,30-T23+1)),0)))),0)</f>
        <v>0</v>
      </c>
      <c r="AC23" s="123" t="n">
        <f aca="false">IFERROR(IF(OR(R23&lt;&gt;"Yes",Q23&lt;&gt;"ESD"),0,IF(S23="Cash capital",IF(T23&lt;=5,IF(O23&lt;&gt;"",O23,MAX(0,N(F23)+N(K23))*IF(N23&lt;&gt;"",N23,M23)),0),IF(S23="Debt service",IF(T23&gt;5,0,AI23*MAX(0,MIN(5-T23+1,U23))),IF(OR(S23="Annual O&amp;M",S23="Maintenance-only"),IF(T23&gt;5,0,IF(O23&lt;&gt;"",O23,MAX(0,N(F23)+N(K23))*IF(N23&lt;&gt;"",N23,M23))*MAX(0,5-T23+1)),0)))),0)</f>
        <v>0</v>
      </c>
      <c r="AD23" s="123" t="n">
        <f aca="false">IFERROR(IF(OR(R23&lt;&gt;"Yes",Q23&lt;&gt;"ESD"),0,IF(S23="Cash capital",IF(T23&lt;=10,IF(O23&lt;&gt;"",O23,MAX(0,N(G23)+N(K23))*IF(N23&lt;&gt;"",N23,M23)),0),IF(S23="Debt service",IF(T23&gt;10,0,AJ23*MAX(0,MIN(10-T23+1,U23))),IF(OR(S23="Annual O&amp;M",S23="Maintenance-only"),IF(T23&gt;10,0,IF(O23&lt;&gt;"",O23,MAX(0,N(G23)+N(K23))*IF(N23&lt;&gt;"",N23,M23))*MAX(0,10-T23+1)),0)))),0)</f>
        <v>0</v>
      </c>
      <c r="AE23" s="123" t="n">
        <f aca="false">IFERROR(IF(OR(R23&lt;&gt;"Yes",Q23&lt;&gt;"ESD"),0,IF(S23="Cash capital",IF(T23&lt;=15,IF(O23&lt;&gt;"",O23,MAX(0,N(H23)+N(K23))*IF(N23&lt;&gt;"",N23,M23)),0),IF(S23="Debt service",IF(T23&gt;15,0,AK23*MAX(0,MIN(15-T23+1,U23))),IF(OR(S23="Annual O&amp;M",S23="Maintenance-only"),IF(T23&gt;15,0,IF(O23&lt;&gt;"",O23,MAX(0,N(H23)+N(K23))*IF(N23&lt;&gt;"",N23,M23))*MAX(0,15-T23+1)),0)))),0)</f>
        <v>0</v>
      </c>
      <c r="AF23" s="123" t="n">
        <f aca="false">IFERROR(IF(OR(R23&lt;&gt;"Yes",Q23&lt;&gt;"ESD"),0,IF(S23="Cash capital",IF(T23&lt;=20,IF(O23&lt;&gt;"",O23,MAX(0,N(I23)+N(K23))*IF(N23&lt;&gt;"",N23,M23)),0),IF(S23="Debt service",IF(T23&gt;20,0,AL23*MAX(0,MIN(20-T23+1,U23))),IF(OR(S23="Annual O&amp;M",S23="Maintenance-only"),IF(T23&gt;20,0,IF(O23&lt;&gt;"",O23,MAX(0,N(I23)+N(K23))*IF(N23&lt;&gt;"",N23,M23))*MAX(0,20-T23+1)),0)))),0)</f>
        <v>0</v>
      </c>
      <c r="AG23" s="123" t="n">
        <f aca="false">IFERROR(IF(OR(R23&lt;&gt;"Yes",Q23&lt;&gt;"ESD"),0,IF(S23="Cash capital",IF(T23&lt;=30,IF(O23&lt;&gt;"",O23,MAX(0,N(J23)+N(K23))*IF(N23&lt;&gt;"",N23,M23)),0),IF(S23="Debt service",IF(T23&gt;30,0,AM23*MAX(0,MIN(30-T23+1,U23))),IF(OR(S23="Annual O&amp;M",S23="Maintenance-only"),IF(T23&gt;30,0,IF(O23&lt;&gt;"",O23,MAX(0,N(J23)+N(K23))*IF(N23&lt;&gt;"",N23,M23))*MAX(0,30-T23+1)),0)))),0)</f>
        <v>0</v>
      </c>
      <c r="AH23" s="124" t="s">
        <v>265</v>
      </c>
      <c r="AI23" s="115" t="n">
        <f aca="false">IFERROR(IF(U23&gt;0,IF(O23&lt;&gt;"",O23,MAX(0,N(F23)+N(K23))*IF(N23&lt;&gt;"",N23,M23))*IF(V23=0,1/U23,V23/(1-(1+V23)^(-U23))),0),0)</f>
        <v>0</v>
      </c>
      <c r="AJ23" s="115" t="n">
        <f aca="false">IFERROR(IF(U23&gt;0,IF(O23&lt;&gt;"",O23,MAX(0,N(G23)+N(K23))*IF(N23&lt;&gt;"",N23,M23))*IF(V23=0,1/U23,V23/(1-(1+V23)^(-U23))),0),0)</f>
        <v>0</v>
      </c>
      <c r="AK23" s="115" t="n">
        <f aca="false">IFERROR(IF(U23&gt;0,IF(O23&lt;&gt;"",O23,MAX(0,N(H23)+N(K23))*IF(N23&lt;&gt;"",N23,M23))*IF(V23=0,1/U23,V23/(1-(1+V23)^(-U23))),0),0)</f>
        <v>0</v>
      </c>
      <c r="AL23" s="115" t="n">
        <f aca="false">IFERROR(IF(U23&gt;0,IF(O23&lt;&gt;"",O23,MAX(0,N(I23)+N(K23))*IF(N23&lt;&gt;"",N23,M23))*IF(V23=0,1/U23,V23/(1-(1+V23)^(-U23))),0),0)</f>
        <v>0</v>
      </c>
      <c r="AM23" s="106" t="n">
        <f aca="false">IFERROR(IF(U23&gt;0,IF(O23&lt;&gt;"",O23,MAX(0,N(J23)+N(K23))*IF(N23&lt;&gt;"",N23,M23))*IF(V23=0,1/U23,V23/(1-(1+V23)^(-U23))),0),0)</f>
        <v>0</v>
      </c>
    </row>
    <row r="24" customFormat="false" ht="14.25" hidden="false" customHeight="true" outlineLevel="0" collapsed="false">
      <c r="A24" s="106" t="s">
        <v>266</v>
      </c>
      <c r="B24" s="106" t="s">
        <v>257</v>
      </c>
      <c r="C24" s="106" t="s">
        <v>191</v>
      </c>
      <c r="D24" s="106" t="s">
        <v>201</v>
      </c>
      <c r="E24" s="106" t="s">
        <v>267</v>
      </c>
      <c r="F24" s="107" t="n">
        <f aca="false">IF('03_Multi_Horizon_Results'!$B$5&gt;='12_Takeoff_Assumptions'!$B$21,INT('03_Multi_Horizon_Results'!$B$5/'12_Takeoff_Assumptions'!$B$21),0)</f>
        <v>0</v>
      </c>
      <c r="G24" s="107" t="n">
        <f aca="false">IF('03_Multi_Horizon_Results'!$C$5&gt;='12_Takeoff_Assumptions'!$B$21,INT('03_Multi_Horizon_Results'!$C$5/'12_Takeoff_Assumptions'!$B$21),0)</f>
        <v>0</v>
      </c>
      <c r="H24" s="107" t="n">
        <f aca="false">IF('03_Multi_Horizon_Results'!$D$5&gt;='12_Takeoff_Assumptions'!$B$21,INT('03_Multi_Horizon_Results'!$D$5/'12_Takeoff_Assumptions'!$B$21),0)</f>
        <v>0</v>
      </c>
      <c r="I24" s="107" t="n">
        <f aca="false">IF('03_Multi_Horizon_Results'!$E$5&gt;='12_Takeoff_Assumptions'!$B$21,INT('03_Multi_Horizon_Results'!$E$5/'12_Takeoff_Assumptions'!$B$21),0)</f>
        <v>0</v>
      </c>
      <c r="J24" s="107" t="n">
        <f aca="false">IF('03_Multi_Horizon_Results'!$F$5&gt;='12_Takeoff_Assumptions'!$B$21,INT('03_Multi_Horizon_Results'!$F$5/'12_Takeoff_Assumptions'!$B$21),0)</f>
        <v>0</v>
      </c>
      <c r="K24" s="108"/>
      <c r="L24" s="107" t="n">
        <f aca="false">MAX(0,N(G24)+N(K24))</f>
        <v>0</v>
      </c>
      <c r="M24" s="109" t="n">
        <v>400000</v>
      </c>
      <c r="N24" s="110"/>
      <c r="O24" s="110"/>
      <c r="P24" s="109" t="n">
        <f aca="false">IFERROR(IF(O24&lt;&gt;"",O24,L24*IF(N24&lt;&gt;"",N24,M24)),0)</f>
        <v>0</v>
      </c>
      <c r="Q24" s="101" t="s">
        <v>257</v>
      </c>
      <c r="R24" s="101" t="s">
        <v>31</v>
      </c>
      <c r="S24" s="101" t="s">
        <v>248</v>
      </c>
      <c r="T24" s="111" t="n">
        <v>1</v>
      </c>
      <c r="U24" s="111" t="n">
        <v>20</v>
      </c>
      <c r="V24" s="112" t="n">
        <v>0.045</v>
      </c>
      <c r="W24" s="109" t="n">
        <f aca="false">IFERROR(IF(AND(R24="Yes",S24="Debt service",U24&gt;0),IF(V24=0,P24/U24,P24*V24/(1-(1+V24)^(-U24))),0),0)</f>
        <v>0</v>
      </c>
      <c r="X24" s="113" t="n">
        <f aca="false">IFERROR(IF(OR(R24&lt;&gt;"Yes",Q24&lt;&gt;"City"),0,IF(S24="Cash capital",IF(T24&lt;=5,IF(O24&lt;&gt;"",O24,MAX(0,N(F24)+N(K24))*IF(N24&lt;&gt;"",N24,M24)),0),IF(S24="Debt service",IF(T24&gt;5,0,AI24*MAX(0,MIN(5-T24+1,U24))),IF(OR(S24="Annual O&amp;M",S24="Maintenance-only"),IF(T24&gt;5,0,IF(O24&lt;&gt;"",O24,MAX(0,N(F24)+N(K24))*IF(N24&lt;&gt;"",N24,M24))*MAX(0,5-T24+1)),0)))),0)</f>
        <v>0</v>
      </c>
      <c r="Y24" s="113" t="n">
        <f aca="false">IFERROR(IF(OR(R24&lt;&gt;"Yes",Q24&lt;&gt;"City"),0,IF(S24="Cash capital",IF(T24&lt;=10,IF(O24&lt;&gt;"",O24,MAX(0,N(G24)+N(K24))*IF(N24&lt;&gt;"",N24,M24)),0),IF(S24="Debt service",IF(T24&gt;10,0,AJ24*MAX(0,MIN(10-T24+1,U24))),IF(OR(S24="Annual O&amp;M",S24="Maintenance-only"),IF(T24&gt;10,0,IF(O24&lt;&gt;"",O24,MAX(0,N(G24)+N(K24))*IF(N24&lt;&gt;"",N24,M24))*MAX(0,10-T24+1)),0)))),0)</f>
        <v>0</v>
      </c>
      <c r="Z24" s="113" t="n">
        <f aca="false">IFERROR(IF(OR(R24&lt;&gt;"Yes",Q24&lt;&gt;"City"),0,IF(S24="Cash capital",IF(T24&lt;=15,IF(O24&lt;&gt;"",O24,MAX(0,N(H24)+N(K24))*IF(N24&lt;&gt;"",N24,M24)),0),IF(S24="Debt service",IF(T24&gt;15,0,AK24*MAX(0,MIN(15-T24+1,U24))),IF(OR(S24="Annual O&amp;M",S24="Maintenance-only"),IF(T24&gt;15,0,IF(O24&lt;&gt;"",O24,MAX(0,N(H24)+N(K24))*IF(N24&lt;&gt;"",N24,M24))*MAX(0,15-T24+1)),0)))),0)</f>
        <v>0</v>
      </c>
      <c r="AA24" s="113" t="n">
        <f aca="false">IFERROR(IF(OR(R24&lt;&gt;"Yes",Q24&lt;&gt;"City"),0,IF(S24="Cash capital",IF(T24&lt;=20,IF(O24&lt;&gt;"",O24,MAX(0,N(I24)+N(K24))*IF(N24&lt;&gt;"",N24,M24)),0),IF(S24="Debt service",IF(T24&gt;20,0,AL24*MAX(0,MIN(20-T24+1,U24))),IF(OR(S24="Annual O&amp;M",S24="Maintenance-only"),IF(T24&gt;20,0,IF(O24&lt;&gt;"",O24,MAX(0,N(I24)+N(K24))*IF(N24&lt;&gt;"",N24,M24))*MAX(0,20-T24+1)),0)))),0)</f>
        <v>0</v>
      </c>
      <c r="AB24" s="113" t="n">
        <f aca="false">IFERROR(IF(OR(R24&lt;&gt;"Yes",Q24&lt;&gt;"City"),0,IF(S24="Cash capital",IF(T24&lt;=30,IF(O24&lt;&gt;"",O24,MAX(0,N(J24)+N(K24))*IF(N24&lt;&gt;"",N24,M24)),0),IF(S24="Debt service",IF(T24&gt;30,0,AM24*MAX(0,MIN(30-T24+1,U24))),IF(OR(S24="Annual O&amp;M",S24="Maintenance-only"),IF(T24&gt;30,0,IF(O24&lt;&gt;"",O24,MAX(0,N(J24)+N(K24))*IF(N24&lt;&gt;"",N24,M24))*MAX(0,30-T24+1)),0)))),0)</f>
        <v>0</v>
      </c>
      <c r="AC24" s="113" t="n">
        <f aca="false">IFERROR(IF(OR(R24&lt;&gt;"Yes",Q24&lt;&gt;"ESD"),0,IF(S24="Cash capital",IF(T24&lt;=5,IF(O24&lt;&gt;"",O24,MAX(0,N(F24)+N(K24))*IF(N24&lt;&gt;"",N24,M24)),0),IF(S24="Debt service",IF(T24&gt;5,0,AI24*MAX(0,MIN(5-T24+1,U24))),IF(OR(S24="Annual O&amp;M",S24="Maintenance-only"),IF(T24&gt;5,0,IF(O24&lt;&gt;"",O24,MAX(0,N(F24)+N(K24))*IF(N24&lt;&gt;"",N24,M24))*MAX(0,5-T24+1)),0)))),0)</f>
        <v>0</v>
      </c>
      <c r="AD24" s="113" t="n">
        <f aca="false">IFERROR(IF(OR(R24&lt;&gt;"Yes",Q24&lt;&gt;"ESD"),0,IF(S24="Cash capital",IF(T24&lt;=10,IF(O24&lt;&gt;"",O24,MAX(0,N(G24)+N(K24))*IF(N24&lt;&gt;"",N24,M24)),0),IF(S24="Debt service",IF(T24&gt;10,0,AJ24*MAX(0,MIN(10-T24+1,U24))),IF(OR(S24="Annual O&amp;M",S24="Maintenance-only"),IF(T24&gt;10,0,IF(O24&lt;&gt;"",O24,MAX(0,N(G24)+N(K24))*IF(N24&lt;&gt;"",N24,M24))*MAX(0,10-T24+1)),0)))),0)</f>
        <v>0</v>
      </c>
      <c r="AE24" s="113" t="n">
        <f aca="false">IFERROR(IF(OR(R24&lt;&gt;"Yes",Q24&lt;&gt;"ESD"),0,IF(S24="Cash capital",IF(T24&lt;=15,IF(O24&lt;&gt;"",O24,MAX(0,N(H24)+N(K24))*IF(N24&lt;&gt;"",N24,M24)),0),IF(S24="Debt service",IF(T24&gt;15,0,AK24*MAX(0,MIN(15-T24+1,U24))),IF(OR(S24="Annual O&amp;M",S24="Maintenance-only"),IF(T24&gt;15,0,IF(O24&lt;&gt;"",O24,MAX(0,N(H24)+N(K24))*IF(N24&lt;&gt;"",N24,M24))*MAX(0,15-T24+1)),0)))),0)</f>
        <v>0</v>
      </c>
      <c r="AF24" s="113" t="n">
        <f aca="false">IFERROR(IF(OR(R24&lt;&gt;"Yes",Q24&lt;&gt;"ESD"),0,IF(S24="Cash capital",IF(T24&lt;=20,IF(O24&lt;&gt;"",O24,MAX(0,N(I24)+N(K24))*IF(N24&lt;&gt;"",N24,M24)),0),IF(S24="Debt service",IF(T24&gt;20,0,AL24*MAX(0,MIN(20-T24+1,U24))),IF(OR(S24="Annual O&amp;M",S24="Maintenance-only"),IF(T24&gt;20,0,IF(O24&lt;&gt;"",O24,MAX(0,N(I24)+N(K24))*IF(N24&lt;&gt;"",N24,M24))*MAX(0,20-T24+1)),0)))),0)</f>
        <v>0</v>
      </c>
      <c r="AG24" s="113" t="n">
        <f aca="false">IFERROR(IF(OR(R24&lt;&gt;"Yes",Q24&lt;&gt;"ESD"),0,IF(S24="Cash capital",IF(T24&lt;=30,IF(O24&lt;&gt;"",O24,MAX(0,N(J24)+N(K24))*IF(N24&lt;&gt;"",N24,M24)),0),IF(S24="Debt service",IF(T24&gt;30,0,AM24*MAX(0,MIN(30-T24+1,U24))),IF(OR(S24="Annual O&amp;M",S24="Maintenance-only"),IF(T24&gt;30,0,IF(O24&lt;&gt;"",O24,MAX(0,N(J24)+N(K24))*IF(N24&lt;&gt;"",N24,M24))*MAX(0,30-T24+1)),0)))),0)</f>
        <v>0</v>
      </c>
      <c r="AH24" s="114" t="s">
        <v>268</v>
      </c>
      <c r="AI24" s="106" t="n">
        <f aca="false">IFERROR(IF(U24&gt;0,IF(O24&lt;&gt;"",O24,MAX(0,N(F24)+N(K24))*IF(N24&lt;&gt;"",N24,M24))*IF(V24=0,1/U24,V24/(1-(1+V24)^(-U24))),0),0)</f>
        <v>0</v>
      </c>
      <c r="AJ24" s="106" t="n">
        <f aca="false">IFERROR(IF(U24&gt;0,IF(O24&lt;&gt;"",O24,MAX(0,N(G24)+N(K24))*IF(N24&lt;&gt;"",N24,M24))*IF(V24=0,1/U24,V24/(1-(1+V24)^(-U24))),0),0)</f>
        <v>0</v>
      </c>
      <c r="AK24" s="106" t="n">
        <f aca="false">IFERROR(IF(U24&gt;0,IF(O24&lt;&gt;"",O24,MAX(0,N(H24)+N(K24))*IF(N24&lt;&gt;"",N24,M24))*IF(V24=0,1/U24,V24/(1-(1+V24)^(-U24))),0),0)</f>
        <v>0</v>
      </c>
      <c r="AL24" s="106" t="n">
        <f aca="false">IFERROR(IF(U24&gt;0,IF(O24&lt;&gt;"",O24,MAX(0,N(I24)+N(K24))*IF(N24&lt;&gt;"",N24,M24))*IF(V24=0,1/U24,V24/(1-(1+V24)^(-U24))),0),0)</f>
        <v>0</v>
      </c>
      <c r="AM24" s="106" t="n">
        <f aca="false">IFERROR(IF(U24&gt;0,IF(O24&lt;&gt;"",O24,MAX(0,N(J24)+N(K24))*IF(N24&lt;&gt;"",N24,M24))*IF(V24=0,1/U24,V24/(1-(1+V24)^(-U24))),0),0)</f>
        <v>0</v>
      </c>
    </row>
    <row r="25" customFormat="false" ht="14.25" hidden="false" customHeight="true" outlineLevel="0" collapsed="false">
      <c r="A25" s="115" t="s">
        <v>269</v>
      </c>
      <c r="B25" s="115" t="s">
        <v>257</v>
      </c>
      <c r="C25" s="115" t="s">
        <v>270</v>
      </c>
      <c r="D25" s="115" t="s">
        <v>201</v>
      </c>
      <c r="E25" s="115" t="s">
        <v>271</v>
      </c>
      <c r="F25" s="116" t="n">
        <f aca="false">IF('03_Multi_Horizon_Results'!$B$7&gt;='12_Takeoff_Assumptions'!$B$18,INT('03_Multi_Horizon_Results'!$B$7/'12_Takeoff_Assumptions'!$B$18),0)</f>
        <v>0</v>
      </c>
      <c r="G25" s="116" t="n">
        <f aca="false">IF('03_Multi_Horizon_Results'!$C$7&gt;='12_Takeoff_Assumptions'!$B$18,INT('03_Multi_Horizon_Results'!$C$7/'12_Takeoff_Assumptions'!$B$18),0)</f>
        <v>0</v>
      </c>
      <c r="H25" s="116" t="n">
        <f aca="false">IF('03_Multi_Horizon_Results'!$D$7&gt;='12_Takeoff_Assumptions'!$B$18,INT('03_Multi_Horizon_Results'!$D$7/'12_Takeoff_Assumptions'!$B$18),0)</f>
        <v>0</v>
      </c>
      <c r="I25" s="116" t="n">
        <f aca="false">IF('03_Multi_Horizon_Results'!$E$7&gt;='12_Takeoff_Assumptions'!$B$18,INT('03_Multi_Horizon_Results'!$E$7/'12_Takeoff_Assumptions'!$B$18),0)</f>
        <v>0</v>
      </c>
      <c r="J25" s="116" t="n">
        <f aca="false">IF('03_Multi_Horizon_Results'!$F$7&gt;='12_Takeoff_Assumptions'!$B$18,INT('03_Multi_Horizon_Results'!$F$7/'12_Takeoff_Assumptions'!$B$18),0)</f>
        <v>0</v>
      </c>
      <c r="K25" s="117"/>
      <c r="L25" s="116" t="n">
        <f aca="false">MAX(0,N(G25)+N(K25))</f>
        <v>0</v>
      </c>
      <c r="M25" s="118" t="n">
        <v>85000</v>
      </c>
      <c r="N25" s="119"/>
      <c r="O25" s="119"/>
      <c r="P25" s="118" t="n">
        <f aca="false">IFERROR(IF(O25&lt;&gt;"",O25,L25*IF(N25&lt;&gt;"",N25,M25)),0)</f>
        <v>0</v>
      </c>
      <c r="Q25" s="120" t="s">
        <v>257</v>
      </c>
      <c r="R25" s="120" t="s">
        <v>31</v>
      </c>
      <c r="S25" s="120" t="s">
        <v>248</v>
      </c>
      <c r="T25" s="121" t="n">
        <v>1</v>
      </c>
      <c r="U25" s="121" t="n">
        <v>20</v>
      </c>
      <c r="V25" s="122" t="n">
        <v>0.045</v>
      </c>
      <c r="W25" s="118" t="n">
        <f aca="false">IFERROR(IF(AND(R25="Yes",S25="Debt service",U25&gt;0),IF(V25=0,P25/U25,P25*V25/(1-(1+V25)^(-U25))),0),0)</f>
        <v>0</v>
      </c>
      <c r="X25" s="123" t="n">
        <f aca="false">IFERROR(IF(OR(R25&lt;&gt;"Yes",Q25&lt;&gt;"City"),0,IF(S25="Cash capital",IF(T25&lt;=5,IF(O25&lt;&gt;"",O25,MAX(0,N(F25)+N(K25))*IF(N25&lt;&gt;"",N25,M25)),0),IF(S25="Debt service",IF(T25&gt;5,0,AI25*MAX(0,MIN(5-T25+1,U25))),IF(OR(S25="Annual O&amp;M",S25="Maintenance-only"),IF(T25&gt;5,0,IF(O25&lt;&gt;"",O25,MAX(0,N(F25)+N(K25))*IF(N25&lt;&gt;"",N25,M25))*MAX(0,5-T25+1)),0)))),0)</f>
        <v>0</v>
      </c>
      <c r="Y25" s="123" t="n">
        <f aca="false">IFERROR(IF(OR(R25&lt;&gt;"Yes",Q25&lt;&gt;"City"),0,IF(S25="Cash capital",IF(T25&lt;=10,IF(O25&lt;&gt;"",O25,MAX(0,N(G25)+N(K25))*IF(N25&lt;&gt;"",N25,M25)),0),IF(S25="Debt service",IF(T25&gt;10,0,AJ25*MAX(0,MIN(10-T25+1,U25))),IF(OR(S25="Annual O&amp;M",S25="Maintenance-only"),IF(T25&gt;10,0,IF(O25&lt;&gt;"",O25,MAX(0,N(G25)+N(K25))*IF(N25&lt;&gt;"",N25,M25))*MAX(0,10-T25+1)),0)))),0)</f>
        <v>0</v>
      </c>
      <c r="Z25" s="123" t="n">
        <f aca="false">IFERROR(IF(OR(R25&lt;&gt;"Yes",Q25&lt;&gt;"City"),0,IF(S25="Cash capital",IF(T25&lt;=15,IF(O25&lt;&gt;"",O25,MAX(0,N(H25)+N(K25))*IF(N25&lt;&gt;"",N25,M25)),0),IF(S25="Debt service",IF(T25&gt;15,0,AK25*MAX(0,MIN(15-T25+1,U25))),IF(OR(S25="Annual O&amp;M",S25="Maintenance-only"),IF(T25&gt;15,0,IF(O25&lt;&gt;"",O25,MAX(0,N(H25)+N(K25))*IF(N25&lt;&gt;"",N25,M25))*MAX(0,15-T25+1)),0)))),0)</f>
        <v>0</v>
      </c>
      <c r="AA25" s="123" t="n">
        <f aca="false">IFERROR(IF(OR(R25&lt;&gt;"Yes",Q25&lt;&gt;"City"),0,IF(S25="Cash capital",IF(T25&lt;=20,IF(O25&lt;&gt;"",O25,MAX(0,N(I25)+N(K25))*IF(N25&lt;&gt;"",N25,M25)),0),IF(S25="Debt service",IF(T25&gt;20,0,AL25*MAX(0,MIN(20-T25+1,U25))),IF(OR(S25="Annual O&amp;M",S25="Maintenance-only"),IF(T25&gt;20,0,IF(O25&lt;&gt;"",O25,MAX(0,N(I25)+N(K25))*IF(N25&lt;&gt;"",N25,M25))*MAX(0,20-T25+1)),0)))),0)</f>
        <v>0</v>
      </c>
      <c r="AB25" s="123" t="n">
        <f aca="false">IFERROR(IF(OR(R25&lt;&gt;"Yes",Q25&lt;&gt;"City"),0,IF(S25="Cash capital",IF(T25&lt;=30,IF(O25&lt;&gt;"",O25,MAX(0,N(J25)+N(K25))*IF(N25&lt;&gt;"",N25,M25)),0),IF(S25="Debt service",IF(T25&gt;30,0,AM25*MAX(0,MIN(30-T25+1,U25))),IF(OR(S25="Annual O&amp;M",S25="Maintenance-only"),IF(T25&gt;30,0,IF(O25&lt;&gt;"",O25,MAX(0,N(J25)+N(K25))*IF(N25&lt;&gt;"",N25,M25))*MAX(0,30-T25+1)),0)))),0)</f>
        <v>0</v>
      </c>
      <c r="AC25" s="123" t="n">
        <f aca="false">IFERROR(IF(OR(R25&lt;&gt;"Yes",Q25&lt;&gt;"ESD"),0,IF(S25="Cash capital",IF(T25&lt;=5,IF(O25&lt;&gt;"",O25,MAX(0,N(F25)+N(K25))*IF(N25&lt;&gt;"",N25,M25)),0),IF(S25="Debt service",IF(T25&gt;5,0,AI25*MAX(0,MIN(5-T25+1,U25))),IF(OR(S25="Annual O&amp;M",S25="Maintenance-only"),IF(T25&gt;5,0,IF(O25&lt;&gt;"",O25,MAX(0,N(F25)+N(K25))*IF(N25&lt;&gt;"",N25,M25))*MAX(0,5-T25+1)),0)))),0)</f>
        <v>0</v>
      </c>
      <c r="AD25" s="123" t="n">
        <f aca="false">IFERROR(IF(OR(R25&lt;&gt;"Yes",Q25&lt;&gt;"ESD"),0,IF(S25="Cash capital",IF(T25&lt;=10,IF(O25&lt;&gt;"",O25,MAX(0,N(G25)+N(K25))*IF(N25&lt;&gt;"",N25,M25)),0),IF(S25="Debt service",IF(T25&gt;10,0,AJ25*MAX(0,MIN(10-T25+1,U25))),IF(OR(S25="Annual O&amp;M",S25="Maintenance-only"),IF(T25&gt;10,0,IF(O25&lt;&gt;"",O25,MAX(0,N(G25)+N(K25))*IF(N25&lt;&gt;"",N25,M25))*MAX(0,10-T25+1)),0)))),0)</f>
        <v>0</v>
      </c>
      <c r="AE25" s="123" t="n">
        <f aca="false">IFERROR(IF(OR(R25&lt;&gt;"Yes",Q25&lt;&gt;"ESD"),0,IF(S25="Cash capital",IF(T25&lt;=15,IF(O25&lt;&gt;"",O25,MAX(0,N(H25)+N(K25))*IF(N25&lt;&gt;"",N25,M25)),0),IF(S25="Debt service",IF(T25&gt;15,0,AK25*MAX(0,MIN(15-T25+1,U25))),IF(OR(S25="Annual O&amp;M",S25="Maintenance-only"),IF(T25&gt;15,0,IF(O25&lt;&gt;"",O25,MAX(0,N(H25)+N(K25))*IF(N25&lt;&gt;"",N25,M25))*MAX(0,15-T25+1)),0)))),0)</f>
        <v>0</v>
      </c>
      <c r="AF25" s="123" t="n">
        <f aca="false">IFERROR(IF(OR(R25&lt;&gt;"Yes",Q25&lt;&gt;"ESD"),0,IF(S25="Cash capital",IF(T25&lt;=20,IF(O25&lt;&gt;"",O25,MAX(0,N(I25)+N(K25))*IF(N25&lt;&gt;"",N25,M25)),0),IF(S25="Debt service",IF(T25&gt;20,0,AL25*MAX(0,MIN(20-T25+1,U25))),IF(OR(S25="Annual O&amp;M",S25="Maintenance-only"),IF(T25&gt;20,0,IF(O25&lt;&gt;"",O25,MAX(0,N(I25)+N(K25))*IF(N25&lt;&gt;"",N25,M25))*MAX(0,20-T25+1)),0)))),0)</f>
        <v>0</v>
      </c>
      <c r="AG25" s="123" t="n">
        <f aca="false">IFERROR(IF(OR(R25&lt;&gt;"Yes",Q25&lt;&gt;"ESD"),0,IF(S25="Cash capital",IF(T25&lt;=30,IF(O25&lt;&gt;"",O25,MAX(0,N(J25)+N(K25))*IF(N25&lt;&gt;"",N25,M25)),0),IF(S25="Debt service",IF(T25&gt;30,0,AM25*MAX(0,MIN(30-T25+1,U25))),IF(OR(S25="Annual O&amp;M",S25="Maintenance-only"),IF(T25&gt;30,0,IF(O25&lt;&gt;"",O25,MAX(0,N(J25)+N(K25))*IF(N25&lt;&gt;"",N25,M25))*MAX(0,30-T25+1)),0)))),0)</f>
        <v>0</v>
      </c>
      <c r="AH25" s="124" t="s">
        <v>272</v>
      </c>
      <c r="AI25" s="115" t="n">
        <f aca="false">IFERROR(IF(U25&gt;0,IF(O25&lt;&gt;"",O25,MAX(0,N(F25)+N(K25))*IF(N25&lt;&gt;"",N25,M25))*IF(V25=0,1/U25,V25/(1-(1+V25)^(-U25))),0),0)</f>
        <v>0</v>
      </c>
      <c r="AJ25" s="115" t="n">
        <f aca="false">IFERROR(IF(U25&gt;0,IF(O25&lt;&gt;"",O25,MAX(0,N(G25)+N(K25))*IF(N25&lt;&gt;"",N25,M25))*IF(V25=0,1/U25,V25/(1-(1+V25)^(-U25))),0),0)</f>
        <v>0</v>
      </c>
      <c r="AK25" s="115" t="n">
        <f aca="false">IFERROR(IF(U25&gt;0,IF(O25&lt;&gt;"",O25,MAX(0,N(H25)+N(K25))*IF(N25&lt;&gt;"",N25,M25))*IF(V25=0,1/U25,V25/(1-(1+V25)^(-U25))),0),0)</f>
        <v>0</v>
      </c>
      <c r="AL25" s="115" t="n">
        <f aca="false">IFERROR(IF(U25&gt;0,IF(O25&lt;&gt;"",O25,MAX(0,N(I25)+N(K25))*IF(N25&lt;&gt;"",N25,M25))*IF(V25=0,1/U25,V25/(1-(1+V25)^(-U25))),0),0)</f>
        <v>0</v>
      </c>
      <c r="AM25" s="106" t="n">
        <f aca="false">IFERROR(IF(U25&gt;0,IF(O25&lt;&gt;"",O25,MAX(0,N(J25)+N(K25))*IF(N25&lt;&gt;"",N25,M25))*IF(V25=0,1/U25,V25/(1-(1+V25)^(-U25))),0),0)</f>
        <v>0</v>
      </c>
    </row>
    <row r="26" customFormat="false" ht="14.25" hidden="false" customHeight="true" outlineLevel="0" collapsed="false">
      <c r="A26" s="106" t="s">
        <v>273</v>
      </c>
      <c r="B26" s="106" t="s">
        <v>257</v>
      </c>
      <c r="C26" s="106" t="s">
        <v>274</v>
      </c>
      <c r="D26" s="106" t="s">
        <v>275</v>
      </c>
      <c r="E26" s="106" t="s">
        <v>276</v>
      </c>
      <c r="F26" s="107" t="n">
        <f aca="false">('03_Multi_Horizon_Results'!$B$7/1000*'12_Takeoff_Assumptions'!$B$22)*'12_Takeoff_Assumptions'!$B$27</f>
        <v>0.27</v>
      </c>
      <c r="G26" s="107" t="n">
        <f aca="false">('03_Multi_Horizon_Results'!$C$7/1000*'12_Takeoff_Assumptions'!$B$22)*'12_Takeoff_Assumptions'!$B$27</f>
        <v>0.27</v>
      </c>
      <c r="H26" s="107" t="n">
        <f aca="false">('03_Multi_Horizon_Results'!$D$7/1000*'12_Takeoff_Assumptions'!$B$22)*'12_Takeoff_Assumptions'!$B$27</f>
        <v>0.27</v>
      </c>
      <c r="I26" s="107" t="n">
        <f aca="false">('03_Multi_Horizon_Results'!$E$7/1000*'12_Takeoff_Assumptions'!$B$22)*'12_Takeoff_Assumptions'!$B$27</f>
        <v>0.27</v>
      </c>
      <c r="J26" s="107" t="n">
        <f aca="false">('03_Multi_Horizon_Results'!$F$7/1000*'12_Takeoff_Assumptions'!$B$22)*'12_Takeoff_Assumptions'!$B$27</f>
        <v>0.27</v>
      </c>
      <c r="K26" s="108"/>
      <c r="L26" s="107" t="n">
        <f aca="false">MAX(0,N(G26)+N(K26))</f>
        <v>0.27</v>
      </c>
      <c r="M26" s="109" t="n">
        <v>12500</v>
      </c>
      <c r="N26" s="110"/>
      <c r="O26" s="110"/>
      <c r="P26" s="109" t="n">
        <f aca="false">IFERROR(IF(O26&lt;&gt;"",O26,L26*IF(N26&lt;&gt;"",N26,M26)),0)</f>
        <v>3375</v>
      </c>
      <c r="Q26" s="101" t="s">
        <v>257</v>
      </c>
      <c r="R26" s="101" t="s">
        <v>31</v>
      </c>
      <c r="S26" s="101" t="s">
        <v>248</v>
      </c>
      <c r="T26" s="111" t="n">
        <v>1</v>
      </c>
      <c r="U26" s="111" t="n">
        <v>20</v>
      </c>
      <c r="V26" s="112" t="n">
        <v>0.045</v>
      </c>
      <c r="W26" s="109" t="n">
        <f aca="false">IFERROR(IF(AND(R26="Yes",S26="Debt service",U26&gt;0),IF(V26=0,P26/U26,P26*V26/(1-(1+V26)^(-U26))),0),0)</f>
        <v>0</v>
      </c>
      <c r="X26" s="113" t="n">
        <f aca="false">IFERROR(IF(OR(R26&lt;&gt;"Yes",Q26&lt;&gt;"City"),0,IF(S26="Cash capital",IF(T26&lt;=5,IF(O26&lt;&gt;"",O26,MAX(0,N(F26)+N(K26))*IF(N26&lt;&gt;"",N26,M26)),0),IF(S26="Debt service",IF(T26&gt;5,0,AI26*MAX(0,MIN(5-T26+1,U26))),IF(OR(S26="Annual O&amp;M",S26="Maintenance-only"),IF(T26&gt;5,0,IF(O26&lt;&gt;"",O26,MAX(0,N(F26)+N(K26))*IF(N26&lt;&gt;"",N26,M26))*MAX(0,5-T26+1)),0)))),0)</f>
        <v>0</v>
      </c>
      <c r="Y26" s="113" t="n">
        <f aca="false">IFERROR(IF(OR(R26&lt;&gt;"Yes",Q26&lt;&gt;"City"),0,IF(S26="Cash capital",IF(T26&lt;=10,IF(O26&lt;&gt;"",O26,MAX(0,N(G26)+N(K26))*IF(N26&lt;&gt;"",N26,M26)),0),IF(S26="Debt service",IF(T26&gt;10,0,AJ26*MAX(0,MIN(10-T26+1,U26))),IF(OR(S26="Annual O&amp;M",S26="Maintenance-only"),IF(T26&gt;10,0,IF(O26&lt;&gt;"",O26,MAX(0,N(G26)+N(K26))*IF(N26&lt;&gt;"",N26,M26))*MAX(0,10-T26+1)),0)))),0)</f>
        <v>0</v>
      </c>
      <c r="Z26" s="113" t="n">
        <f aca="false">IFERROR(IF(OR(R26&lt;&gt;"Yes",Q26&lt;&gt;"City"),0,IF(S26="Cash capital",IF(T26&lt;=15,IF(O26&lt;&gt;"",O26,MAX(0,N(H26)+N(K26))*IF(N26&lt;&gt;"",N26,M26)),0),IF(S26="Debt service",IF(T26&gt;15,0,AK26*MAX(0,MIN(15-T26+1,U26))),IF(OR(S26="Annual O&amp;M",S26="Maintenance-only"),IF(T26&gt;15,0,IF(O26&lt;&gt;"",O26,MAX(0,N(H26)+N(K26))*IF(N26&lt;&gt;"",N26,M26))*MAX(0,15-T26+1)),0)))),0)</f>
        <v>0</v>
      </c>
      <c r="AA26" s="113" t="n">
        <f aca="false">IFERROR(IF(OR(R26&lt;&gt;"Yes",Q26&lt;&gt;"City"),0,IF(S26="Cash capital",IF(T26&lt;=20,IF(O26&lt;&gt;"",O26,MAX(0,N(I26)+N(K26))*IF(N26&lt;&gt;"",N26,M26)),0),IF(S26="Debt service",IF(T26&gt;20,0,AL26*MAX(0,MIN(20-T26+1,U26))),IF(OR(S26="Annual O&amp;M",S26="Maintenance-only"),IF(T26&gt;20,0,IF(O26&lt;&gt;"",O26,MAX(0,N(I26)+N(K26))*IF(N26&lt;&gt;"",N26,M26))*MAX(0,20-T26+1)),0)))),0)</f>
        <v>0</v>
      </c>
      <c r="AB26" s="113" t="n">
        <f aca="false">IFERROR(IF(OR(R26&lt;&gt;"Yes",Q26&lt;&gt;"City"),0,IF(S26="Cash capital",IF(T26&lt;=30,IF(O26&lt;&gt;"",O26,MAX(0,N(J26)+N(K26))*IF(N26&lt;&gt;"",N26,M26)),0),IF(S26="Debt service",IF(T26&gt;30,0,AM26*MAX(0,MIN(30-T26+1,U26))),IF(OR(S26="Annual O&amp;M",S26="Maintenance-only"),IF(T26&gt;30,0,IF(O26&lt;&gt;"",O26,MAX(0,N(J26)+N(K26))*IF(N26&lt;&gt;"",N26,M26))*MAX(0,30-T26+1)),0)))),0)</f>
        <v>0</v>
      </c>
      <c r="AC26" s="113" t="n">
        <f aca="false">IFERROR(IF(OR(R26&lt;&gt;"Yes",Q26&lt;&gt;"ESD"),0,IF(S26="Cash capital",IF(T26&lt;=5,IF(O26&lt;&gt;"",O26,MAX(0,N(F26)+N(K26))*IF(N26&lt;&gt;"",N26,M26)),0),IF(S26="Debt service",IF(T26&gt;5,0,AI26*MAX(0,MIN(5-T26+1,U26))),IF(OR(S26="Annual O&amp;M",S26="Maintenance-only"),IF(T26&gt;5,0,IF(O26&lt;&gt;"",O26,MAX(0,N(F26)+N(K26))*IF(N26&lt;&gt;"",N26,M26))*MAX(0,5-T26+1)),0)))),0)</f>
        <v>3375</v>
      </c>
      <c r="AD26" s="113" t="n">
        <f aca="false">IFERROR(IF(OR(R26&lt;&gt;"Yes",Q26&lt;&gt;"ESD"),0,IF(S26="Cash capital",IF(T26&lt;=10,IF(O26&lt;&gt;"",O26,MAX(0,N(G26)+N(K26))*IF(N26&lt;&gt;"",N26,M26)),0),IF(S26="Debt service",IF(T26&gt;10,0,AJ26*MAX(0,MIN(10-T26+1,U26))),IF(OR(S26="Annual O&amp;M",S26="Maintenance-only"),IF(T26&gt;10,0,IF(O26&lt;&gt;"",O26,MAX(0,N(G26)+N(K26))*IF(N26&lt;&gt;"",N26,M26))*MAX(0,10-T26+1)),0)))),0)</f>
        <v>3375</v>
      </c>
      <c r="AE26" s="113" t="n">
        <f aca="false">IFERROR(IF(OR(R26&lt;&gt;"Yes",Q26&lt;&gt;"ESD"),0,IF(S26="Cash capital",IF(T26&lt;=15,IF(O26&lt;&gt;"",O26,MAX(0,N(H26)+N(K26))*IF(N26&lt;&gt;"",N26,M26)),0),IF(S26="Debt service",IF(T26&gt;15,0,AK26*MAX(0,MIN(15-T26+1,U26))),IF(OR(S26="Annual O&amp;M",S26="Maintenance-only"),IF(T26&gt;15,0,IF(O26&lt;&gt;"",O26,MAX(0,N(H26)+N(K26))*IF(N26&lt;&gt;"",N26,M26))*MAX(0,15-T26+1)),0)))),0)</f>
        <v>3375</v>
      </c>
      <c r="AF26" s="113" t="n">
        <f aca="false">IFERROR(IF(OR(R26&lt;&gt;"Yes",Q26&lt;&gt;"ESD"),0,IF(S26="Cash capital",IF(T26&lt;=20,IF(O26&lt;&gt;"",O26,MAX(0,N(I26)+N(K26))*IF(N26&lt;&gt;"",N26,M26)),0),IF(S26="Debt service",IF(T26&gt;20,0,AL26*MAX(0,MIN(20-T26+1,U26))),IF(OR(S26="Annual O&amp;M",S26="Maintenance-only"),IF(T26&gt;20,0,IF(O26&lt;&gt;"",O26,MAX(0,N(I26)+N(K26))*IF(N26&lt;&gt;"",N26,M26))*MAX(0,20-T26+1)),0)))),0)</f>
        <v>3375</v>
      </c>
      <c r="AG26" s="113" t="n">
        <f aca="false">IFERROR(IF(OR(R26&lt;&gt;"Yes",Q26&lt;&gt;"ESD"),0,IF(S26="Cash capital",IF(T26&lt;=30,IF(O26&lt;&gt;"",O26,MAX(0,N(J26)+N(K26))*IF(N26&lt;&gt;"",N26,M26)),0),IF(S26="Debt service",IF(T26&gt;30,0,AM26*MAX(0,MIN(30-T26+1,U26))),IF(OR(S26="Annual O&amp;M",S26="Maintenance-only"),IF(T26&gt;30,0,IF(O26&lt;&gt;"",O26,MAX(0,N(J26)+N(K26))*IF(N26&lt;&gt;"",N26,M26))*MAX(0,30-T26+1)),0)))),0)</f>
        <v>3375</v>
      </c>
      <c r="AH26" s="114" t="s">
        <v>277</v>
      </c>
      <c r="AI26" s="106" t="n">
        <f aca="false">IFERROR(IF(U26&gt;0,IF(O26&lt;&gt;"",O26,MAX(0,N(F26)+N(K26))*IF(N26&lt;&gt;"",N26,M26))*IF(V26=0,1/U26,V26/(1-(1+V26)^(-U26))),0),0)</f>
        <v>259.456987093662</v>
      </c>
      <c r="AJ26" s="106" t="n">
        <f aca="false">IFERROR(IF(U26&gt;0,IF(O26&lt;&gt;"",O26,MAX(0,N(G26)+N(K26))*IF(N26&lt;&gt;"",N26,M26))*IF(V26=0,1/U26,V26/(1-(1+V26)^(-U26))),0),0)</f>
        <v>259.456987093662</v>
      </c>
      <c r="AK26" s="106" t="n">
        <f aca="false">IFERROR(IF(U26&gt;0,IF(O26&lt;&gt;"",O26,MAX(0,N(H26)+N(K26))*IF(N26&lt;&gt;"",N26,M26))*IF(V26=0,1/U26,V26/(1-(1+V26)^(-U26))),0),0)</f>
        <v>259.456987093662</v>
      </c>
      <c r="AL26" s="106" t="n">
        <f aca="false">IFERROR(IF(U26&gt;0,IF(O26&lt;&gt;"",O26,MAX(0,N(I26)+N(K26))*IF(N26&lt;&gt;"",N26,M26))*IF(V26=0,1/U26,V26/(1-(1+V26)^(-U26))),0),0)</f>
        <v>259.456987093662</v>
      </c>
      <c r="AM26" s="106" t="n">
        <f aca="false">IFERROR(IF(U26&gt;0,IF(O26&lt;&gt;"",O26,MAX(0,N(J26)+N(K26))*IF(N26&lt;&gt;"",N26,M26))*IF(V26=0,1/U26,V26/(1-(1+V26)^(-U26))),0),0)</f>
        <v>259.456987093662</v>
      </c>
    </row>
    <row r="27" customFormat="false" ht="28.5" hidden="false" customHeight="true" outlineLevel="0" collapsed="false">
      <c r="A27" s="115" t="s">
        <v>278</v>
      </c>
      <c r="B27" s="115" t="s">
        <v>257</v>
      </c>
      <c r="C27" s="115" t="s">
        <v>240</v>
      </c>
      <c r="D27" s="115" t="s">
        <v>241</v>
      </c>
      <c r="E27" s="115" t="s">
        <v>279</v>
      </c>
      <c r="F27" s="116" t="n">
        <f aca="false">('03_Multi_Horizon_Results'!$B$7/1000*'12_Takeoff_Assumptions'!$B$22)</f>
        <v>0.27</v>
      </c>
      <c r="G27" s="116" t="n">
        <f aca="false">('03_Multi_Horizon_Results'!$C$7/1000*'12_Takeoff_Assumptions'!$B$22)</f>
        <v>0.27</v>
      </c>
      <c r="H27" s="116" t="n">
        <f aca="false">('03_Multi_Horizon_Results'!$D$7/1000*'12_Takeoff_Assumptions'!$B$22)</f>
        <v>0.27</v>
      </c>
      <c r="I27" s="116" t="n">
        <f aca="false">('03_Multi_Horizon_Results'!$E$7/1000*'12_Takeoff_Assumptions'!$B$22)</f>
        <v>0.27</v>
      </c>
      <c r="J27" s="116" t="n">
        <f aca="false">('03_Multi_Horizon_Results'!$F$7/1000*'12_Takeoff_Assumptions'!$B$22)</f>
        <v>0.27</v>
      </c>
      <c r="K27" s="117"/>
      <c r="L27" s="116" t="n">
        <f aca="false">MAX(0,N(G27)+N(K27))</f>
        <v>0.27</v>
      </c>
      <c r="M27" s="118" t="n">
        <v>110000</v>
      </c>
      <c r="N27" s="119"/>
      <c r="O27" s="119"/>
      <c r="P27" s="118" t="n">
        <f aca="false">IFERROR(IF(O27&lt;&gt;"",O27,L27*IF(N27&lt;&gt;"",N27,M27)),0)</f>
        <v>29700</v>
      </c>
      <c r="Q27" s="120" t="s">
        <v>257</v>
      </c>
      <c r="R27" s="120" t="s">
        <v>31</v>
      </c>
      <c r="S27" s="120" t="s">
        <v>243</v>
      </c>
      <c r="T27" s="121" t="n">
        <v>1</v>
      </c>
      <c r="U27" s="121" t="n">
        <v>20</v>
      </c>
      <c r="V27" s="122" t="n">
        <v>0.045</v>
      </c>
      <c r="W27" s="118" t="n">
        <f aca="false">IFERROR(IF(AND(R27="Yes",S27="Debt service",U27&gt;0),IF(V27=0,P27/U27,P27*V27/(1-(1+V27)^(-U27))),0),0)</f>
        <v>0</v>
      </c>
      <c r="X27" s="123" t="n">
        <f aca="false">IFERROR(IF(OR(R27&lt;&gt;"Yes",Q27&lt;&gt;"City"),0,IF(S27="Cash capital",IF(T27&lt;=5,IF(O27&lt;&gt;"",O27,MAX(0,N(F27)+N(K27))*IF(N27&lt;&gt;"",N27,M27)),0),IF(S27="Debt service",IF(T27&gt;5,0,AI27*MAX(0,MIN(5-T27+1,U27))),IF(OR(S27="Annual O&amp;M",S27="Maintenance-only"),IF(T27&gt;5,0,IF(O27&lt;&gt;"",O27,MAX(0,N(F27)+N(K27))*IF(N27&lt;&gt;"",N27,M27))*MAX(0,5-T27+1)),0)))),0)</f>
        <v>0</v>
      </c>
      <c r="Y27" s="123" t="n">
        <f aca="false">IFERROR(IF(OR(R27&lt;&gt;"Yes",Q27&lt;&gt;"City"),0,IF(S27="Cash capital",IF(T27&lt;=10,IF(O27&lt;&gt;"",O27,MAX(0,N(G27)+N(K27))*IF(N27&lt;&gt;"",N27,M27)),0),IF(S27="Debt service",IF(T27&gt;10,0,AJ27*MAX(0,MIN(10-T27+1,U27))),IF(OR(S27="Annual O&amp;M",S27="Maintenance-only"),IF(T27&gt;10,0,IF(O27&lt;&gt;"",O27,MAX(0,N(G27)+N(K27))*IF(N27&lt;&gt;"",N27,M27))*MAX(0,10-T27+1)),0)))),0)</f>
        <v>0</v>
      </c>
      <c r="Z27" s="123" t="n">
        <f aca="false">IFERROR(IF(OR(R27&lt;&gt;"Yes",Q27&lt;&gt;"City"),0,IF(S27="Cash capital",IF(T27&lt;=15,IF(O27&lt;&gt;"",O27,MAX(0,N(H27)+N(K27))*IF(N27&lt;&gt;"",N27,M27)),0),IF(S27="Debt service",IF(T27&gt;15,0,AK27*MAX(0,MIN(15-T27+1,U27))),IF(OR(S27="Annual O&amp;M",S27="Maintenance-only"),IF(T27&gt;15,0,IF(O27&lt;&gt;"",O27,MAX(0,N(H27)+N(K27))*IF(N27&lt;&gt;"",N27,M27))*MAX(0,15-T27+1)),0)))),0)</f>
        <v>0</v>
      </c>
      <c r="AA27" s="123" t="n">
        <f aca="false">IFERROR(IF(OR(R27&lt;&gt;"Yes",Q27&lt;&gt;"City"),0,IF(S27="Cash capital",IF(T27&lt;=20,IF(O27&lt;&gt;"",O27,MAX(0,N(I27)+N(K27))*IF(N27&lt;&gt;"",N27,M27)),0),IF(S27="Debt service",IF(T27&gt;20,0,AL27*MAX(0,MIN(20-T27+1,U27))),IF(OR(S27="Annual O&amp;M",S27="Maintenance-only"),IF(T27&gt;20,0,IF(O27&lt;&gt;"",O27,MAX(0,N(I27)+N(K27))*IF(N27&lt;&gt;"",N27,M27))*MAX(0,20-T27+1)),0)))),0)</f>
        <v>0</v>
      </c>
      <c r="AB27" s="123" t="n">
        <f aca="false">IFERROR(IF(OR(R27&lt;&gt;"Yes",Q27&lt;&gt;"City"),0,IF(S27="Cash capital",IF(T27&lt;=30,IF(O27&lt;&gt;"",O27,MAX(0,N(J27)+N(K27))*IF(N27&lt;&gt;"",N27,M27)),0),IF(S27="Debt service",IF(T27&gt;30,0,AM27*MAX(0,MIN(30-T27+1,U27))),IF(OR(S27="Annual O&amp;M",S27="Maintenance-only"),IF(T27&gt;30,0,IF(O27&lt;&gt;"",O27,MAX(0,N(J27)+N(K27))*IF(N27&lt;&gt;"",N27,M27))*MAX(0,30-T27+1)),0)))),0)</f>
        <v>0</v>
      </c>
      <c r="AC27" s="123" t="n">
        <f aca="false">IFERROR(IF(OR(R27&lt;&gt;"Yes",Q27&lt;&gt;"ESD"),0,IF(S27="Cash capital",IF(T27&lt;=5,IF(O27&lt;&gt;"",O27,MAX(0,N(F27)+N(K27))*IF(N27&lt;&gt;"",N27,M27)),0),IF(S27="Debt service",IF(T27&gt;5,0,AI27*MAX(0,MIN(5-T27+1,U27))),IF(OR(S27="Annual O&amp;M",S27="Maintenance-only"),IF(T27&gt;5,0,IF(O27&lt;&gt;"",O27,MAX(0,N(F27)+N(K27))*IF(N27&lt;&gt;"",N27,M27))*MAX(0,5-T27+1)),0)))),0)</f>
        <v>148500</v>
      </c>
      <c r="AD27" s="123" t="n">
        <f aca="false">IFERROR(IF(OR(R27&lt;&gt;"Yes",Q27&lt;&gt;"ESD"),0,IF(S27="Cash capital",IF(T27&lt;=10,IF(O27&lt;&gt;"",O27,MAX(0,N(G27)+N(K27))*IF(N27&lt;&gt;"",N27,M27)),0),IF(S27="Debt service",IF(T27&gt;10,0,AJ27*MAX(0,MIN(10-T27+1,U27))),IF(OR(S27="Annual O&amp;M",S27="Maintenance-only"),IF(T27&gt;10,0,IF(O27&lt;&gt;"",O27,MAX(0,N(G27)+N(K27))*IF(N27&lt;&gt;"",N27,M27))*MAX(0,10-T27+1)),0)))),0)</f>
        <v>297000</v>
      </c>
      <c r="AE27" s="123" t="n">
        <f aca="false">IFERROR(IF(OR(R27&lt;&gt;"Yes",Q27&lt;&gt;"ESD"),0,IF(S27="Cash capital",IF(T27&lt;=15,IF(O27&lt;&gt;"",O27,MAX(0,N(H27)+N(K27))*IF(N27&lt;&gt;"",N27,M27)),0),IF(S27="Debt service",IF(T27&gt;15,0,AK27*MAX(0,MIN(15-T27+1,U27))),IF(OR(S27="Annual O&amp;M",S27="Maintenance-only"),IF(T27&gt;15,0,IF(O27&lt;&gt;"",O27,MAX(0,N(H27)+N(K27))*IF(N27&lt;&gt;"",N27,M27))*MAX(0,15-T27+1)),0)))),0)</f>
        <v>445500</v>
      </c>
      <c r="AF27" s="123" t="n">
        <f aca="false">IFERROR(IF(OR(R27&lt;&gt;"Yes",Q27&lt;&gt;"ESD"),0,IF(S27="Cash capital",IF(T27&lt;=20,IF(O27&lt;&gt;"",O27,MAX(0,N(I27)+N(K27))*IF(N27&lt;&gt;"",N27,M27)),0),IF(S27="Debt service",IF(T27&gt;20,0,AL27*MAX(0,MIN(20-T27+1,U27))),IF(OR(S27="Annual O&amp;M",S27="Maintenance-only"),IF(T27&gt;20,0,IF(O27&lt;&gt;"",O27,MAX(0,N(I27)+N(K27))*IF(N27&lt;&gt;"",N27,M27))*MAX(0,20-T27+1)),0)))),0)</f>
        <v>594000</v>
      </c>
      <c r="AG27" s="123" t="n">
        <f aca="false">IFERROR(IF(OR(R27&lt;&gt;"Yes",Q27&lt;&gt;"ESD"),0,IF(S27="Cash capital",IF(T27&lt;=30,IF(O27&lt;&gt;"",O27,MAX(0,N(J27)+N(K27))*IF(N27&lt;&gt;"",N27,M27)),0),IF(S27="Debt service",IF(T27&gt;30,0,AM27*MAX(0,MIN(30-T27+1,U27))),IF(OR(S27="Annual O&amp;M",S27="Maintenance-only"),IF(T27&gt;30,0,IF(O27&lt;&gt;"",O27,MAX(0,N(J27)+N(K27))*IF(N27&lt;&gt;"",N27,M27))*MAX(0,30-T27+1)),0)))),0)</f>
        <v>891000</v>
      </c>
      <c r="AH27" s="124" t="s">
        <v>280</v>
      </c>
      <c r="AI27" s="115" t="n">
        <f aca="false">IFERROR(IF(U27&gt;0,IF(O27&lt;&gt;"",O27,MAX(0,N(F27)+N(K27))*IF(N27&lt;&gt;"",N27,M27))*IF(V27=0,1/U27,V27/(1-(1+V27)^(-U27))),0),0)</f>
        <v>2283.22148642423</v>
      </c>
      <c r="AJ27" s="115" t="n">
        <f aca="false">IFERROR(IF(U27&gt;0,IF(O27&lt;&gt;"",O27,MAX(0,N(G27)+N(K27))*IF(N27&lt;&gt;"",N27,M27))*IF(V27=0,1/U27,V27/(1-(1+V27)^(-U27))),0),0)</f>
        <v>2283.22148642423</v>
      </c>
      <c r="AK27" s="115" t="n">
        <f aca="false">IFERROR(IF(U27&gt;0,IF(O27&lt;&gt;"",O27,MAX(0,N(H27)+N(K27))*IF(N27&lt;&gt;"",N27,M27))*IF(V27=0,1/U27,V27/(1-(1+V27)^(-U27))),0),0)</f>
        <v>2283.22148642423</v>
      </c>
      <c r="AL27" s="115" t="n">
        <f aca="false">IFERROR(IF(U27&gt;0,IF(O27&lt;&gt;"",O27,MAX(0,N(I27)+N(K27))*IF(N27&lt;&gt;"",N27,M27))*IF(V27=0,1/U27,V27/(1-(1+V27)^(-U27))),0),0)</f>
        <v>2283.22148642423</v>
      </c>
      <c r="AM27" s="106" t="n">
        <f aca="false">IFERROR(IF(U27&gt;0,IF(O27&lt;&gt;"",O27,MAX(0,N(J27)+N(K27))*IF(N27&lt;&gt;"",N27,M27))*IF(V27=0,1/U27,V27/(1-(1+V27)^(-U27))),0),0)</f>
        <v>2283.22148642423</v>
      </c>
    </row>
    <row r="28" customFormat="false" ht="28.5" hidden="false" customHeight="true" outlineLevel="0" collapsed="false">
      <c r="A28" s="106" t="s">
        <v>281</v>
      </c>
      <c r="B28" s="106" t="s">
        <v>257</v>
      </c>
      <c r="C28" s="106" t="s">
        <v>274</v>
      </c>
      <c r="D28" s="106" t="s">
        <v>241</v>
      </c>
      <c r="E28" s="106" t="s">
        <v>282</v>
      </c>
      <c r="F28" s="107" t="n">
        <f aca="false">('03_Multi_Horizon_Results'!$B$7/1000*'12_Takeoff_Assumptions'!$B$22)/'12_Takeoff_Assumptions'!$B$23</f>
        <v>0.054</v>
      </c>
      <c r="G28" s="107" t="n">
        <f aca="false">('03_Multi_Horizon_Results'!$C$7/1000*'12_Takeoff_Assumptions'!$B$22)/'12_Takeoff_Assumptions'!$B$23</f>
        <v>0.054</v>
      </c>
      <c r="H28" s="107" t="n">
        <f aca="false">('03_Multi_Horizon_Results'!$D$7/1000*'12_Takeoff_Assumptions'!$B$22)/'12_Takeoff_Assumptions'!$B$23</f>
        <v>0.054</v>
      </c>
      <c r="I28" s="107" t="n">
        <f aca="false">('03_Multi_Horizon_Results'!$E$7/1000*'12_Takeoff_Assumptions'!$B$22)/'12_Takeoff_Assumptions'!$B$23</f>
        <v>0.054</v>
      </c>
      <c r="J28" s="107" t="n">
        <f aca="false">('03_Multi_Horizon_Results'!$F$7/1000*'12_Takeoff_Assumptions'!$B$22)/'12_Takeoff_Assumptions'!$B$23</f>
        <v>0.054</v>
      </c>
      <c r="K28" s="108"/>
      <c r="L28" s="107" t="n">
        <f aca="false">MAX(0,N(G28)+N(K28))</f>
        <v>0.054</v>
      </c>
      <c r="M28" s="109" t="n">
        <v>135000</v>
      </c>
      <c r="N28" s="110"/>
      <c r="O28" s="110"/>
      <c r="P28" s="109" t="n">
        <f aca="false">IFERROR(IF(O28&lt;&gt;"",O28,L28*IF(N28&lt;&gt;"",N28,M28)),0)</f>
        <v>7290</v>
      </c>
      <c r="Q28" s="101" t="s">
        <v>257</v>
      </c>
      <c r="R28" s="101" t="s">
        <v>31</v>
      </c>
      <c r="S28" s="101" t="s">
        <v>243</v>
      </c>
      <c r="T28" s="111" t="n">
        <v>1</v>
      </c>
      <c r="U28" s="111" t="n">
        <v>20</v>
      </c>
      <c r="V28" s="112" t="n">
        <v>0.045</v>
      </c>
      <c r="W28" s="109" t="n">
        <f aca="false">IFERROR(IF(AND(R28="Yes",S28="Debt service",U28&gt;0),IF(V28=0,P28/U28,P28*V28/(1-(1+V28)^(-U28))),0),0)</f>
        <v>0</v>
      </c>
      <c r="X28" s="113" t="n">
        <f aca="false">IFERROR(IF(OR(R28&lt;&gt;"Yes",Q28&lt;&gt;"City"),0,IF(S28="Cash capital",IF(T28&lt;=5,IF(O28&lt;&gt;"",O28,MAX(0,N(F28)+N(K28))*IF(N28&lt;&gt;"",N28,M28)),0),IF(S28="Debt service",IF(T28&gt;5,0,AI28*MAX(0,MIN(5-T28+1,U28))),IF(OR(S28="Annual O&amp;M",S28="Maintenance-only"),IF(T28&gt;5,0,IF(O28&lt;&gt;"",O28,MAX(0,N(F28)+N(K28))*IF(N28&lt;&gt;"",N28,M28))*MAX(0,5-T28+1)),0)))),0)</f>
        <v>0</v>
      </c>
      <c r="Y28" s="113" t="n">
        <f aca="false">IFERROR(IF(OR(R28&lt;&gt;"Yes",Q28&lt;&gt;"City"),0,IF(S28="Cash capital",IF(T28&lt;=10,IF(O28&lt;&gt;"",O28,MAX(0,N(G28)+N(K28))*IF(N28&lt;&gt;"",N28,M28)),0),IF(S28="Debt service",IF(T28&gt;10,0,AJ28*MAX(0,MIN(10-T28+1,U28))),IF(OR(S28="Annual O&amp;M",S28="Maintenance-only"),IF(T28&gt;10,0,IF(O28&lt;&gt;"",O28,MAX(0,N(G28)+N(K28))*IF(N28&lt;&gt;"",N28,M28))*MAX(0,10-T28+1)),0)))),0)</f>
        <v>0</v>
      </c>
      <c r="Z28" s="113" t="n">
        <f aca="false">IFERROR(IF(OR(R28&lt;&gt;"Yes",Q28&lt;&gt;"City"),0,IF(S28="Cash capital",IF(T28&lt;=15,IF(O28&lt;&gt;"",O28,MAX(0,N(H28)+N(K28))*IF(N28&lt;&gt;"",N28,M28)),0),IF(S28="Debt service",IF(T28&gt;15,0,AK28*MAX(0,MIN(15-T28+1,U28))),IF(OR(S28="Annual O&amp;M",S28="Maintenance-only"),IF(T28&gt;15,0,IF(O28&lt;&gt;"",O28,MAX(0,N(H28)+N(K28))*IF(N28&lt;&gt;"",N28,M28))*MAX(0,15-T28+1)),0)))),0)</f>
        <v>0</v>
      </c>
      <c r="AA28" s="113" t="n">
        <f aca="false">IFERROR(IF(OR(R28&lt;&gt;"Yes",Q28&lt;&gt;"City"),0,IF(S28="Cash capital",IF(T28&lt;=20,IF(O28&lt;&gt;"",O28,MAX(0,N(I28)+N(K28))*IF(N28&lt;&gt;"",N28,M28)),0),IF(S28="Debt service",IF(T28&gt;20,0,AL28*MAX(0,MIN(20-T28+1,U28))),IF(OR(S28="Annual O&amp;M",S28="Maintenance-only"),IF(T28&gt;20,0,IF(O28&lt;&gt;"",O28,MAX(0,N(I28)+N(K28))*IF(N28&lt;&gt;"",N28,M28))*MAX(0,20-T28+1)),0)))),0)</f>
        <v>0</v>
      </c>
      <c r="AB28" s="113" t="n">
        <f aca="false">IFERROR(IF(OR(R28&lt;&gt;"Yes",Q28&lt;&gt;"City"),0,IF(S28="Cash capital",IF(T28&lt;=30,IF(O28&lt;&gt;"",O28,MAX(0,N(J28)+N(K28))*IF(N28&lt;&gt;"",N28,M28)),0),IF(S28="Debt service",IF(T28&gt;30,0,AM28*MAX(0,MIN(30-T28+1,U28))),IF(OR(S28="Annual O&amp;M",S28="Maintenance-only"),IF(T28&gt;30,0,IF(O28&lt;&gt;"",O28,MAX(0,N(J28)+N(K28))*IF(N28&lt;&gt;"",N28,M28))*MAX(0,30-T28+1)),0)))),0)</f>
        <v>0</v>
      </c>
      <c r="AC28" s="113" t="n">
        <f aca="false">IFERROR(IF(OR(R28&lt;&gt;"Yes",Q28&lt;&gt;"ESD"),0,IF(S28="Cash capital",IF(T28&lt;=5,IF(O28&lt;&gt;"",O28,MAX(0,N(F28)+N(K28))*IF(N28&lt;&gt;"",N28,M28)),0),IF(S28="Debt service",IF(T28&gt;5,0,AI28*MAX(0,MIN(5-T28+1,U28))),IF(OR(S28="Annual O&amp;M",S28="Maintenance-only"),IF(T28&gt;5,0,IF(O28&lt;&gt;"",O28,MAX(0,N(F28)+N(K28))*IF(N28&lt;&gt;"",N28,M28))*MAX(0,5-T28+1)),0)))),0)</f>
        <v>36450</v>
      </c>
      <c r="AD28" s="113" t="n">
        <f aca="false">IFERROR(IF(OR(R28&lt;&gt;"Yes",Q28&lt;&gt;"ESD"),0,IF(S28="Cash capital",IF(T28&lt;=10,IF(O28&lt;&gt;"",O28,MAX(0,N(G28)+N(K28))*IF(N28&lt;&gt;"",N28,M28)),0),IF(S28="Debt service",IF(T28&gt;10,0,AJ28*MAX(0,MIN(10-T28+1,U28))),IF(OR(S28="Annual O&amp;M",S28="Maintenance-only"),IF(T28&gt;10,0,IF(O28&lt;&gt;"",O28,MAX(0,N(G28)+N(K28))*IF(N28&lt;&gt;"",N28,M28))*MAX(0,10-T28+1)),0)))),0)</f>
        <v>72900</v>
      </c>
      <c r="AE28" s="113" t="n">
        <f aca="false">IFERROR(IF(OR(R28&lt;&gt;"Yes",Q28&lt;&gt;"ESD"),0,IF(S28="Cash capital",IF(T28&lt;=15,IF(O28&lt;&gt;"",O28,MAX(0,N(H28)+N(K28))*IF(N28&lt;&gt;"",N28,M28)),0),IF(S28="Debt service",IF(T28&gt;15,0,AK28*MAX(0,MIN(15-T28+1,U28))),IF(OR(S28="Annual O&amp;M",S28="Maintenance-only"),IF(T28&gt;15,0,IF(O28&lt;&gt;"",O28,MAX(0,N(H28)+N(K28))*IF(N28&lt;&gt;"",N28,M28))*MAX(0,15-T28+1)),0)))),0)</f>
        <v>109350</v>
      </c>
      <c r="AF28" s="113" t="n">
        <f aca="false">IFERROR(IF(OR(R28&lt;&gt;"Yes",Q28&lt;&gt;"ESD"),0,IF(S28="Cash capital",IF(T28&lt;=20,IF(O28&lt;&gt;"",O28,MAX(0,N(I28)+N(K28))*IF(N28&lt;&gt;"",N28,M28)),0),IF(S28="Debt service",IF(T28&gt;20,0,AL28*MAX(0,MIN(20-T28+1,U28))),IF(OR(S28="Annual O&amp;M",S28="Maintenance-only"),IF(T28&gt;20,0,IF(O28&lt;&gt;"",O28,MAX(0,N(I28)+N(K28))*IF(N28&lt;&gt;"",N28,M28))*MAX(0,20-T28+1)),0)))),0)</f>
        <v>145800</v>
      </c>
      <c r="AG28" s="113" t="n">
        <f aca="false">IFERROR(IF(OR(R28&lt;&gt;"Yes",Q28&lt;&gt;"ESD"),0,IF(S28="Cash capital",IF(T28&lt;=30,IF(O28&lt;&gt;"",O28,MAX(0,N(J28)+N(K28))*IF(N28&lt;&gt;"",N28,M28)),0),IF(S28="Debt service",IF(T28&gt;30,0,AM28*MAX(0,MIN(30-T28+1,U28))),IF(OR(S28="Annual O&amp;M",S28="Maintenance-only"),IF(T28&gt;30,0,IF(O28&lt;&gt;"",O28,MAX(0,N(J28)+N(K28))*IF(N28&lt;&gt;"",N28,M28))*MAX(0,30-T28+1)),0)))),0)</f>
        <v>218700</v>
      </c>
      <c r="AH28" s="114" t="s">
        <v>283</v>
      </c>
      <c r="AI28" s="106" t="n">
        <f aca="false">IFERROR(IF(U28&gt;0,IF(O28&lt;&gt;"",O28,MAX(0,N(F28)+N(K28))*IF(N28&lt;&gt;"",N28,M28))*IF(V28=0,1/U28,V28/(1-(1+V28)^(-U28))),0),0)</f>
        <v>560.427092122311</v>
      </c>
      <c r="AJ28" s="106" t="n">
        <f aca="false">IFERROR(IF(U28&gt;0,IF(O28&lt;&gt;"",O28,MAX(0,N(G28)+N(K28))*IF(N28&lt;&gt;"",N28,M28))*IF(V28=0,1/U28,V28/(1-(1+V28)^(-U28))),0),0)</f>
        <v>560.427092122311</v>
      </c>
      <c r="AK28" s="106" t="n">
        <f aca="false">IFERROR(IF(U28&gt;0,IF(O28&lt;&gt;"",O28,MAX(0,N(H28)+N(K28))*IF(N28&lt;&gt;"",N28,M28))*IF(V28=0,1/U28,V28/(1-(1+V28)^(-U28))),0),0)</f>
        <v>560.427092122311</v>
      </c>
      <c r="AL28" s="106" t="n">
        <f aca="false">IFERROR(IF(U28&gt;0,IF(O28&lt;&gt;"",O28,MAX(0,N(I28)+N(K28))*IF(N28&lt;&gt;"",N28,M28))*IF(V28=0,1/U28,V28/(1-(1+V28)^(-U28))),0),0)</f>
        <v>560.427092122311</v>
      </c>
      <c r="AM28" s="106" t="n">
        <f aca="false">IFERROR(IF(U28&gt;0,IF(O28&lt;&gt;"",O28,MAX(0,N(J28)+N(K28))*IF(N28&lt;&gt;"",N28,M28))*IF(V28=0,1/U28,V28/(1-(1+V28)^(-U28))),0),0)</f>
        <v>560.427092122311</v>
      </c>
    </row>
    <row r="29" customFormat="false" ht="14.25" hidden="false" customHeight="true" outlineLevel="0" collapsed="false">
      <c r="A29" s="124" t="s">
        <v>284</v>
      </c>
      <c r="B29" s="115" t="s">
        <v>190</v>
      </c>
      <c r="C29" s="115" t="s">
        <v>285</v>
      </c>
      <c r="D29" s="115" t="s">
        <v>201</v>
      </c>
      <c r="E29" s="115" t="s">
        <v>286</v>
      </c>
      <c r="F29" s="116" t="n">
        <f aca="false">0</f>
        <v>0</v>
      </c>
      <c r="G29" s="116" t="n">
        <f aca="false">0</f>
        <v>0</v>
      </c>
      <c r="H29" s="116" t="n">
        <f aca="false">0</f>
        <v>0</v>
      </c>
      <c r="I29" s="116" t="n">
        <f aca="false">0</f>
        <v>0</v>
      </c>
      <c r="J29" s="116" t="n">
        <f aca="false">0</f>
        <v>0</v>
      </c>
      <c r="K29" s="125"/>
      <c r="L29" s="116" t="n">
        <f aca="false">MAX(0,N(G29)+N(K29))</f>
        <v>0</v>
      </c>
      <c r="M29" s="118" t="n">
        <v>0</v>
      </c>
      <c r="N29" s="126"/>
      <c r="O29" s="126"/>
      <c r="P29" s="118" t="n">
        <f aca="false">IFERROR(IF(O29&lt;&gt;"",O29,L29*IF(N29&lt;&gt;"",N29,M29)),0)</f>
        <v>0</v>
      </c>
      <c r="Q29" s="120" t="s">
        <v>287</v>
      </c>
      <c r="R29" s="120" t="s">
        <v>33</v>
      </c>
      <c r="S29" s="120" t="s">
        <v>288</v>
      </c>
      <c r="T29" s="121" t="n">
        <v>1</v>
      </c>
      <c r="U29" s="121" t="n">
        <v>20</v>
      </c>
      <c r="V29" s="122" t="n">
        <v>0.045</v>
      </c>
      <c r="W29" s="118" t="n">
        <f aca="false">IFERROR(IF(AND(R29="Yes",S29="Debt service",U29&gt;0),IF(V29=0,P29/U29,P29*V29/(1-(1+V29)^(-U29))),0),0)</f>
        <v>0</v>
      </c>
      <c r="X29" s="123" t="n">
        <f aca="false">IFERROR(IF(OR(R29&lt;&gt;"Yes",Q29&lt;&gt;"City"),0,IF(S29="Cash capital",IF(T29&lt;=5,IF(O29&lt;&gt;"",O29,MAX(0,N(F29)+N(K29))*IF(N29&lt;&gt;"",N29,M29)),0),IF(S29="Debt service",IF(T29&gt;5,0,AI29*MAX(0,MIN(5-T29+1,U29))),IF(OR(S29="Annual O&amp;M",S29="Maintenance-only"),IF(T29&gt;5,0,IF(O29&lt;&gt;"",O29,MAX(0,N(F29)+N(K29))*IF(N29&lt;&gt;"",N29,M29))*MAX(0,5-T29+1)),0)))),0)</f>
        <v>0</v>
      </c>
      <c r="Y29" s="123" t="n">
        <f aca="false">IFERROR(IF(OR(R29&lt;&gt;"Yes",Q29&lt;&gt;"City"),0,IF(S29="Cash capital",IF(T29&lt;=10,IF(O29&lt;&gt;"",O29,MAX(0,N(G29)+N(K29))*IF(N29&lt;&gt;"",N29,M29)),0),IF(S29="Debt service",IF(T29&gt;10,0,AJ29*MAX(0,MIN(10-T29+1,U29))),IF(OR(S29="Annual O&amp;M",S29="Maintenance-only"),IF(T29&gt;10,0,IF(O29&lt;&gt;"",O29,MAX(0,N(G29)+N(K29))*IF(N29&lt;&gt;"",N29,M29))*MAX(0,10-T29+1)),0)))),0)</f>
        <v>0</v>
      </c>
      <c r="Z29" s="123" t="n">
        <f aca="false">IFERROR(IF(OR(R29&lt;&gt;"Yes",Q29&lt;&gt;"City"),0,IF(S29="Cash capital",IF(T29&lt;=15,IF(O29&lt;&gt;"",O29,MAX(0,N(H29)+N(K29))*IF(N29&lt;&gt;"",N29,M29)),0),IF(S29="Debt service",IF(T29&gt;15,0,AK29*MAX(0,MIN(15-T29+1,U29))),IF(OR(S29="Annual O&amp;M",S29="Maintenance-only"),IF(T29&gt;15,0,IF(O29&lt;&gt;"",O29,MAX(0,N(H29)+N(K29))*IF(N29&lt;&gt;"",N29,M29))*MAX(0,15-T29+1)),0)))),0)</f>
        <v>0</v>
      </c>
      <c r="AA29" s="123" t="n">
        <f aca="false">IFERROR(IF(OR(R29&lt;&gt;"Yes",Q29&lt;&gt;"City"),0,IF(S29="Cash capital",IF(T29&lt;=20,IF(O29&lt;&gt;"",O29,MAX(0,N(I29)+N(K29))*IF(N29&lt;&gt;"",N29,M29)),0),IF(S29="Debt service",IF(T29&gt;20,0,AL29*MAX(0,MIN(20-T29+1,U29))),IF(OR(S29="Annual O&amp;M",S29="Maintenance-only"),IF(T29&gt;20,0,IF(O29&lt;&gt;"",O29,MAX(0,N(I29)+N(K29))*IF(N29&lt;&gt;"",N29,M29))*MAX(0,20-T29+1)),0)))),0)</f>
        <v>0</v>
      </c>
      <c r="AB29" s="123" t="n">
        <f aca="false">IFERROR(IF(OR(R29&lt;&gt;"Yes",Q29&lt;&gt;"City"),0,IF(S29="Cash capital",IF(T29&lt;=30,IF(O29&lt;&gt;"",O29,MAX(0,N(J29)+N(K29))*IF(N29&lt;&gt;"",N29,M29)),0),IF(S29="Debt service",IF(T29&gt;30,0,AM29*MAX(0,MIN(30-T29+1,U29))),IF(OR(S29="Annual O&amp;M",S29="Maintenance-only"),IF(T29&gt;30,0,IF(O29&lt;&gt;"",O29,MAX(0,N(J29)+N(K29))*IF(N29&lt;&gt;"",N29,M29))*MAX(0,30-T29+1)),0)))),0)</f>
        <v>0</v>
      </c>
      <c r="AC29" s="123" t="n">
        <f aca="false">IFERROR(IF(OR(R29&lt;&gt;"Yes",Q29&lt;&gt;"ESD"),0,IF(S29="Cash capital",IF(T29&lt;=5,IF(O29&lt;&gt;"",O29,MAX(0,N(F29)+N(K29))*IF(N29&lt;&gt;"",N29,M29)),0),IF(S29="Debt service",IF(T29&gt;5,0,AI29*MAX(0,MIN(5-T29+1,U29))),IF(OR(S29="Annual O&amp;M",S29="Maintenance-only"),IF(T29&gt;5,0,IF(O29&lt;&gt;"",O29,MAX(0,N(F29)+N(K29))*IF(N29&lt;&gt;"",N29,M29))*MAX(0,5-T29+1)),0)))),0)</f>
        <v>0</v>
      </c>
      <c r="AD29" s="123" t="n">
        <f aca="false">IFERROR(IF(OR(R29&lt;&gt;"Yes",Q29&lt;&gt;"ESD"),0,IF(S29="Cash capital",IF(T29&lt;=10,IF(O29&lt;&gt;"",O29,MAX(0,N(G29)+N(K29))*IF(N29&lt;&gt;"",N29,M29)),0),IF(S29="Debt service",IF(T29&gt;10,0,AJ29*MAX(0,MIN(10-T29+1,U29))),IF(OR(S29="Annual O&amp;M",S29="Maintenance-only"),IF(T29&gt;10,0,IF(O29&lt;&gt;"",O29,MAX(0,N(G29)+N(K29))*IF(N29&lt;&gt;"",N29,M29))*MAX(0,10-T29+1)),0)))),0)</f>
        <v>0</v>
      </c>
      <c r="AE29" s="123" t="n">
        <f aca="false">IFERROR(IF(OR(R29&lt;&gt;"Yes",Q29&lt;&gt;"ESD"),0,IF(S29="Cash capital",IF(T29&lt;=15,IF(O29&lt;&gt;"",O29,MAX(0,N(H29)+N(K29))*IF(N29&lt;&gt;"",N29,M29)),0),IF(S29="Debt service",IF(T29&gt;15,0,AK29*MAX(0,MIN(15-T29+1,U29))),IF(OR(S29="Annual O&amp;M",S29="Maintenance-only"),IF(T29&gt;15,0,IF(O29&lt;&gt;"",O29,MAX(0,N(H29)+N(K29))*IF(N29&lt;&gt;"",N29,M29))*MAX(0,15-T29+1)),0)))),0)</f>
        <v>0</v>
      </c>
      <c r="AF29" s="123" t="n">
        <f aca="false">IFERROR(IF(OR(R29&lt;&gt;"Yes",Q29&lt;&gt;"ESD"),0,IF(S29="Cash capital",IF(T29&lt;=20,IF(O29&lt;&gt;"",O29,MAX(0,N(I29)+N(K29))*IF(N29&lt;&gt;"",N29,M29)),0),IF(S29="Debt service",IF(T29&gt;20,0,AL29*MAX(0,MIN(20-T29+1,U29))),IF(OR(S29="Annual O&amp;M",S29="Maintenance-only"),IF(T29&gt;20,0,IF(O29&lt;&gt;"",O29,MAX(0,N(I29)+N(K29))*IF(N29&lt;&gt;"",N29,M29))*MAX(0,20-T29+1)),0)))),0)</f>
        <v>0</v>
      </c>
      <c r="AG29" s="123" t="n">
        <f aca="false">IFERROR(IF(OR(R29&lt;&gt;"Yes",Q29&lt;&gt;"ESD"),0,IF(S29="Cash capital",IF(T29&lt;=30,IF(O29&lt;&gt;"",O29,MAX(0,N(J29)+N(K29))*IF(N29&lt;&gt;"",N29,M29)),0),IF(S29="Debt service",IF(T29&gt;30,0,AM29*MAX(0,MIN(30-T29+1,U29))),IF(OR(S29="Annual O&amp;M",S29="Maintenance-only"),IF(T29&gt;30,0,IF(O29&lt;&gt;"",O29,MAX(0,N(J29)+N(K29))*IF(N29&lt;&gt;"",N29,M29))*MAX(0,30-T29+1)),0)))),0)</f>
        <v>0</v>
      </c>
      <c r="AH29" s="124" t="s">
        <v>289</v>
      </c>
      <c r="AI29" s="115" t="n">
        <f aca="false">IFERROR(IF(U29&gt;0,IF(O29&lt;&gt;"",O29,MAX(0,N(F29)+N(K29))*IF(N29&lt;&gt;"",N29,M29))*IF(V29=0,1/U29,V29/(1-(1+V29)^(-U29))),0),0)</f>
        <v>0</v>
      </c>
      <c r="AJ29" s="115" t="n">
        <f aca="false">IFERROR(IF(U29&gt;0,IF(O29&lt;&gt;"",O29,MAX(0,N(G29)+N(K29))*IF(N29&lt;&gt;"",N29,M29))*IF(V29=0,1/U29,V29/(1-(1+V29)^(-U29))),0),0)</f>
        <v>0</v>
      </c>
      <c r="AK29" s="115" t="n">
        <f aca="false">IFERROR(IF(U29&gt;0,IF(O29&lt;&gt;"",O29,MAX(0,N(H29)+N(K29))*IF(N29&lt;&gt;"",N29,M29))*IF(V29=0,1/U29,V29/(1-(1+V29)^(-U29))),0),0)</f>
        <v>0</v>
      </c>
      <c r="AL29" s="115" t="n">
        <f aca="false">IFERROR(IF(U29&gt;0,IF(O29&lt;&gt;"",O29,MAX(0,N(I29)+N(K29))*IF(N29&lt;&gt;"",N29,M29))*IF(V29=0,1/U29,V29/(1-(1+V29)^(-U29))),0),0)</f>
        <v>0</v>
      </c>
      <c r="AM29" s="106" t="n">
        <f aca="false">IFERROR(IF(U29&gt;0,IF(O29&lt;&gt;"",O29,MAX(0,N(J29)+N(K29))*IF(N29&lt;&gt;"",N29,M29))*IF(V29=0,1/U29,V29/(1-(1+V29)^(-U29))),0),0)</f>
        <v>0</v>
      </c>
    </row>
    <row r="30" customFormat="false" ht="14.25" hidden="false" customHeight="true" outlineLevel="0" collapsed="false">
      <c r="A30" s="114" t="s">
        <v>290</v>
      </c>
      <c r="B30" s="106" t="s">
        <v>190</v>
      </c>
      <c r="C30" s="106" t="s">
        <v>285</v>
      </c>
      <c r="D30" s="106" t="s">
        <v>201</v>
      </c>
      <c r="E30" s="106" t="s">
        <v>286</v>
      </c>
      <c r="F30" s="107" t="n">
        <f aca="false">0</f>
        <v>0</v>
      </c>
      <c r="G30" s="107" t="n">
        <f aca="false">0</f>
        <v>0</v>
      </c>
      <c r="H30" s="107" t="n">
        <f aca="false">0</f>
        <v>0</v>
      </c>
      <c r="I30" s="107" t="n">
        <f aca="false">0</f>
        <v>0</v>
      </c>
      <c r="J30" s="107" t="n">
        <f aca="false">0</f>
        <v>0</v>
      </c>
      <c r="K30" s="127"/>
      <c r="L30" s="107" t="n">
        <f aca="false">MAX(0,N(G30)+N(K30))</f>
        <v>0</v>
      </c>
      <c r="M30" s="109" t="n">
        <v>0</v>
      </c>
      <c r="N30" s="128"/>
      <c r="O30" s="128"/>
      <c r="P30" s="109" t="n">
        <f aca="false">IFERROR(IF(O30&lt;&gt;"",O30,L30*IF(N30&lt;&gt;"",N30,M30)),0)</f>
        <v>0</v>
      </c>
      <c r="Q30" s="101" t="s">
        <v>287</v>
      </c>
      <c r="R30" s="101" t="s">
        <v>33</v>
      </c>
      <c r="S30" s="101" t="s">
        <v>288</v>
      </c>
      <c r="T30" s="111" t="n">
        <v>1</v>
      </c>
      <c r="U30" s="111" t="n">
        <v>20</v>
      </c>
      <c r="V30" s="112" t="n">
        <v>0.045</v>
      </c>
      <c r="W30" s="109" t="n">
        <f aca="false">IFERROR(IF(AND(R30="Yes",S30="Debt service",U30&gt;0),IF(V30=0,P30/U30,P30*V30/(1-(1+V30)^(-U30))),0),0)</f>
        <v>0</v>
      </c>
      <c r="X30" s="113" t="n">
        <f aca="false">IFERROR(IF(OR(R30&lt;&gt;"Yes",Q30&lt;&gt;"City"),0,IF(S30="Cash capital",IF(T30&lt;=5,IF(O30&lt;&gt;"",O30,MAX(0,N(F30)+N(K30))*IF(N30&lt;&gt;"",N30,M30)),0),IF(S30="Debt service",IF(T30&gt;5,0,AI30*MAX(0,MIN(5-T30+1,U30))),IF(OR(S30="Annual O&amp;M",S30="Maintenance-only"),IF(T30&gt;5,0,IF(O30&lt;&gt;"",O30,MAX(0,N(F30)+N(K30))*IF(N30&lt;&gt;"",N30,M30))*MAX(0,5-T30+1)),0)))),0)</f>
        <v>0</v>
      </c>
      <c r="Y30" s="113" t="n">
        <f aca="false">IFERROR(IF(OR(R30&lt;&gt;"Yes",Q30&lt;&gt;"City"),0,IF(S30="Cash capital",IF(T30&lt;=10,IF(O30&lt;&gt;"",O30,MAX(0,N(G30)+N(K30))*IF(N30&lt;&gt;"",N30,M30)),0),IF(S30="Debt service",IF(T30&gt;10,0,AJ30*MAX(0,MIN(10-T30+1,U30))),IF(OR(S30="Annual O&amp;M",S30="Maintenance-only"),IF(T30&gt;10,0,IF(O30&lt;&gt;"",O30,MAX(0,N(G30)+N(K30))*IF(N30&lt;&gt;"",N30,M30))*MAX(0,10-T30+1)),0)))),0)</f>
        <v>0</v>
      </c>
      <c r="Z30" s="113" t="n">
        <f aca="false">IFERROR(IF(OR(R30&lt;&gt;"Yes",Q30&lt;&gt;"City"),0,IF(S30="Cash capital",IF(T30&lt;=15,IF(O30&lt;&gt;"",O30,MAX(0,N(H30)+N(K30))*IF(N30&lt;&gt;"",N30,M30)),0),IF(S30="Debt service",IF(T30&gt;15,0,AK30*MAX(0,MIN(15-T30+1,U30))),IF(OR(S30="Annual O&amp;M",S30="Maintenance-only"),IF(T30&gt;15,0,IF(O30&lt;&gt;"",O30,MAX(0,N(H30)+N(K30))*IF(N30&lt;&gt;"",N30,M30))*MAX(0,15-T30+1)),0)))),0)</f>
        <v>0</v>
      </c>
      <c r="AA30" s="113" t="n">
        <f aca="false">IFERROR(IF(OR(R30&lt;&gt;"Yes",Q30&lt;&gt;"City"),0,IF(S30="Cash capital",IF(T30&lt;=20,IF(O30&lt;&gt;"",O30,MAX(0,N(I30)+N(K30))*IF(N30&lt;&gt;"",N30,M30)),0),IF(S30="Debt service",IF(T30&gt;20,0,AL30*MAX(0,MIN(20-T30+1,U30))),IF(OR(S30="Annual O&amp;M",S30="Maintenance-only"),IF(T30&gt;20,0,IF(O30&lt;&gt;"",O30,MAX(0,N(I30)+N(K30))*IF(N30&lt;&gt;"",N30,M30))*MAX(0,20-T30+1)),0)))),0)</f>
        <v>0</v>
      </c>
      <c r="AB30" s="113" t="n">
        <f aca="false">IFERROR(IF(OR(R30&lt;&gt;"Yes",Q30&lt;&gt;"City"),0,IF(S30="Cash capital",IF(T30&lt;=30,IF(O30&lt;&gt;"",O30,MAX(0,N(J30)+N(K30))*IF(N30&lt;&gt;"",N30,M30)),0),IF(S30="Debt service",IF(T30&gt;30,0,AM30*MAX(0,MIN(30-T30+1,U30))),IF(OR(S30="Annual O&amp;M",S30="Maintenance-only"),IF(T30&gt;30,0,IF(O30&lt;&gt;"",O30,MAX(0,N(J30)+N(K30))*IF(N30&lt;&gt;"",N30,M30))*MAX(0,30-T30+1)),0)))),0)</f>
        <v>0</v>
      </c>
      <c r="AC30" s="113" t="n">
        <f aca="false">IFERROR(IF(OR(R30&lt;&gt;"Yes",Q30&lt;&gt;"ESD"),0,IF(S30="Cash capital",IF(T30&lt;=5,IF(O30&lt;&gt;"",O30,MAX(0,N(F30)+N(K30))*IF(N30&lt;&gt;"",N30,M30)),0),IF(S30="Debt service",IF(T30&gt;5,0,AI30*MAX(0,MIN(5-T30+1,U30))),IF(OR(S30="Annual O&amp;M",S30="Maintenance-only"),IF(T30&gt;5,0,IF(O30&lt;&gt;"",O30,MAX(0,N(F30)+N(K30))*IF(N30&lt;&gt;"",N30,M30))*MAX(0,5-T30+1)),0)))),0)</f>
        <v>0</v>
      </c>
      <c r="AD30" s="113" t="n">
        <f aca="false">IFERROR(IF(OR(R30&lt;&gt;"Yes",Q30&lt;&gt;"ESD"),0,IF(S30="Cash capital",IF(T30&lt;=10,IF(O30&lt;&gt;"",O30,MAX(0,N(G30)+N(K30))*IF(N30&lt;&gt;"",N30,M30)),0),IF(S30="Debt service",IF(T30&gt;10,0,AJ30*MAX(0,MIN(10-T30+1,U30))),IF(OR(S30="Annual O&amp;M",S30="Maintenance-only"),IF(T30&gt;10,0,IF(O30&lt;&gt;"",O30,MAX(0,N(G30)+N(K30))*IF(N30&lt;&gt;"",N30,M30))*MAX(0,10-T30+1)),0)))),0)</f>
        <v>0</v>
      </c>
      <c r="AE30" s="113" t="n">
        <f aca="false">IFERROR(IF(OR(R30&lt;&gt;"Yes",Q30&lt;&gt;"ESD"),0,IF(S30="Cash capital",IF(T30&lt;=15,IF(O30&lt;&gt;"",O30,MAX(0,N(H30)+N(K30))*IF(N30&lt;&gt;"",N30,M30)),0),IF(S30="Debt service",IF(T30&gt;15,0,AK30*MAX(0,MIN(15-T30+1,U30))),IF(OR(S30="Annual O&amp;M",S30="Maintenance-only"),IF(T30&gt;15,0,IF(O30&lt;&gt;"",O30,MAX(0,N(H30)+N(K30))*IF(N30&lt;&gt;"",N30,M30))*MAX(0,15-T30+1)),0)))),0)</f>
        <v>0</v>
      </c>
      <c r="AF30" s="113" t="n">
        <f aca="false">IFERROR(IF(OR(R30&lt;&gt;"Yes",Q30&lt;&gt;"ESD"),0,IF(S30="Cash capital",IF(T30&lt;=20,IF(O30&lt;&gt;"",O30,MAX(0,N(I30)+N(K30))*IF(N30&lt;&gt;"",N30,M30)),0),IF(S30="Debt service",IF(T30&gt;20,0,AL30*MAX(0,MIN(20-T30+1,U30))),IF(OR(S30="Annual O&amp;M",S30="Maintenance-only"),IF(T30&gt;20,0,IF(O30&lt;&gt;"",O30,MAX(0,N(I30)+N(K30))*IF(N30&lt;&gt;"",N30,M30))*MAX(0,20-T30+1)),0)))),0)</f>
        <v>0</v>
      </c>
      <c r="AG30" s="113" t="n">
        <f aca="false">IFERROR(IF(OR(R30&lt;&gt;"Yes",Q30&lt;&gt;"ESD"),0,IF(S30="Cash capital",IF(T30&lt;=30,IF(O30&lt;&gt;"",O30,MAX(0,N(J30)+N(K30))*IF(N30&lt;&gt;"",N30,M30)),0),IF(S30="Debt service",IF(T30&gt;30,0,AM30*MAX(0,MIN(30-T30+1,U30))),IF(OR(S30="Annual O&amp;M",S30="Maintenance-only"),IF(T30&gt;30,0,IF(O30&lt;&gt;"",O30,MAX(0,N(J30)+N(K30))*IF(N30&lt;&gt;"",N30,M30))*MAX(0,30-T30+1)),0)))),0)</f>
        <v>0</v>
      </c>
      <c r="AH30" s="114" t="s">
        <v>291</v>
      </c>
      <c r="AI30" s="106" t="n">
        <f aca="false">IFERROR(IF(U30&gt;0,IF(O30&lt;&gt;"",O30,MAX(0,N(F30)+N(K30))*IF(N30&lt;&gt;"",N30,M30))*IF(V30=0,1/U30,V30/(1-(1+V30)^(-U30))),0),0)</f>
        <v>0</v>
      </c>
      <c r="AJ30" s="106" t="n">
        <f aca="false">IFERROR(IF(U30&gt;0,IF(O30&lt;&gt;"",O30,MAX(0,N(G30)+N(K30))*IF(N30&lt;&gt;"",N30,M30))*IF(V30=0,1/U30,V30/(1-(1+V30)^(-U30))),0),0)</f>
        <v>0</v>
      </c>
      <c r="AK30" s="106" t="n">
        <f aca="false">IFERROR(IF(U30&gt;0,IF(O30&lt;&gt;"",O30,MAX(0,N(H30)+N(K30))*IF(N30&lt;&gt;"",N30,M30))*IF(V30=0,1/U30,V30/(1-(1+V30)^(-U30))),0),0)</f>
        <v>0</v>
      </c>
      <c r="AL30" s="106" t="n">
        <f aca="false">IFERROR(IF(U30&gt;0,IF(O30&lt;&gt;"",O30,MAX(0,N(I30)+N(K30))*IF(N30&lt;&gt;"",N30,M30))*IF(V30=0,1/U30,V30/(1-(1+V30)^(-U30))),0),0)</f>
        <v>0</v>
      </c>
      <c r="AM30" s="106" t="n">
        <f aca="false">IFERROR(IF(U30&gt;0,IF(O30&lt;&gt;"",O30,MAX(0,N(J30)+N(K30))*IF(N30&lt;&gt;"",N30,M30))*IF(V30=0,1/U30,V30/(1-(1+V30)^(-U30))),0),0)</f>
        <v>0</v>
      </c>
    </row>
    <row r="31" customFormat="false" ht="14.25" hidden="false" customHeight="true" outlineLevel="0" collapsed="false">
      <c r="A31" s="129" t="s">
        <v>292</v>
      </c>
      <c r="B31" s="120" t="s">
        <v>257</v>
      </c>
      <c r="C31" s="120" t="s">
        <v>285</v>
      </c>
      <c r="D31" s="120" t="s">
        <v>201</v>
      </c>
      <c r="E31" s="120" t="s">
        <v>286</v>
      </c>
      <c r="F31" s="121" t="n">
        <f aca="false">0</f>
        <v>0</v>
      </c>
      <c r="G31" s="121" t="n">
        <f aca="false">0</f>
        <v>0</v>
      </c>
      <c r="H31" s="121" t="n">
        <f aca="false">0</f>
        <v>0</v>
      </c>
      <c r="I31" s="121" t="n">
        <f aca="false">0</f>
        <v>0</v>
      </c>
      <c r="J31" s="121" t="n">
        <f aca="false">0</f>
        <v>0</v>
      </c>
      <c r="K31" s="125"/>
      <c r="L31" s="121" t="n">
        <f aca="false">MAX(0,N(G31)+N(K31))</f>
        <v>0</v>
      </c>
      <c r="M31" s="123" t="n">
        <v>0</v>
      </c>
      <c r="N31" s="126"/>
      <c r="O31" s="126"/>
      <c r="P31" s="123" t="n">
        <f aca="false">IFERROR(IF(O31&lt;&gt;"",O31,L31*IF(N31&lt;&gt;"",N31,M31)),0)</f>
        <v>0</v>
      </c>
      <c r="Q31" s="120" t="s">
        <v>287</v>
      </c>
      <c r="R31" s="120" t="s">
        <v>33</v>
      </c>
      <c r="S31" s="120" t="s">
        <v>288</v>
      </c>
      <c r="T31" s="121" t="n">
        <v>1</v>
      </c>
      <c r="U31" s="121" t="n">
        <v>20</v>
      </c>
      <c r="V31" s="122" t="n">
        <v>0.045</v>
      </c>
      <c r="W31" s="118" t="n">
        <f aca="false">IFERROR(IF(AND(R31="Yes",S31="Debt service",U31&gt;0),IF(V31=0,P31/U31,P31*V31/(1-(1+V31)^(-U31))),0),0)</f>
        <v>0</v>
      </c>
      <c r="X31" s="123" t="n">
        <f aca="false">IFERROR(IF(OR(R31&lt;&gt;"Yes",Q31&lt;&gt;"City"),0,IF(S31="Cash capital",IF(T31&lt;=5,IF(O31&lt;&gt;"",O31,MAX(0,N(F31)+N(K31))*IF(N31&lt;&gt;"",N31,M31)),0),IF(S31="Debt service",IF(T31&gt;5,0,AI31*MAX(0,MIN(5-T31+1,U31))),IF(OR(S31="Annual O&amp;M",S31="Maintenance-only"),IF(T31&gt;5,0,IF(O31&lt;&gt;"",O31,MAX(0,N(F31)+N(K31))*IF(N31&lt;&gt;"",N31,M31))*MAX(0,5-T31+1)),0)))),0)</f>
        <v>0</v>
      </c>
      <c r="Y31" s="123" t="n">
        <f aca="false">IFERROR(IF(OR(R31&lt;&gt;"Yes",Q31&lt;&gt;"City"),0,IF(S31="Cash capital",IF(T31&lt;=10,IF(O31&lt;&gt;"",O31,MAX(0,N(G31)+N(K31))*IF(N31&lt;&gt;"",N31,M31)),0),IF(S31="Debt service",IF(T31&gt;10,0,AJ31*MAX(0,MIN(10-T31+1,U31))),IF(OR(S31="Annual O&amp;M",S31="Maintenance-only"),IF(T31&gt;10,0,IF(O31&lt;&gt;"",O31,MAX(0,N(G31)+N(K31))*IF(N31&lt;&gt;"",N31,M31))*MAX(0,10-T31+1)),0)))),0)</f>
        <v>0</v>
      </c>
      <c r="Z31" s="123" t="n">
        <f aca="false">IFERROR(IF(OR(R31&lt;&gt;"Yes",Q31&lt;&gt;"City"),0,IF(S31="Cash capital",IF(T31&lt;=15,IF(O31&lt;&gt;"",O31,MAX(0,N(H31)+N(K31))*IF(N31&lt;&gt;"",N31,M31)),0),IF(S31="Debt service",IF(T31&gt;15,0,AK31*MAX(0,MIN(15-T31+1,U31))),IF(OR(S31="Annual O&amp;M",S31="Maintenance-only"),IF(T31&gt;15,0,IF(O31&lt;&gt;"",O31,MAX(0,N(H31)+N(K31))*IF(N31&lt;&gt;"",N31,M31))*MAX(0,15-T31+1)),0)))),0)</f>
        <v>0</v>
      </c>
      <c r="AA31" s="123" t="n">
        <f aca="false">IFERROR(IF(OR(R31&lt;&gt;"Yes",Q31&lt;&gt;"City"),0,IF(S31="Cash capital",IF(T31&lt;=20,IF(O31&lt;&gt;"",O31,MAX(0,N(I31)+N(K31))*IF(N31&lt;&gt;"",N31,M31)),0),IF(S31="Debt service",IF(T31&gt;20,0,AL31*MAX(0,MIN(20-T31+1,U31))),IF(OR(S31="Annual O&amp;M",S31="Maintenance-only"),IF(T31&gt;20,0,IF(O31&lt;&gt;"",O31,MAX(0,N(I31)+N(K31))*IF(N31&lt;&gt;"",N31,M31))*MAX(0,20-T31+1)),0)))),0)</f>
        <v>0</v>
      </c>
      <c r="AB31" s="123" t="n">
        <f aca="false">IFERROR(IF(OR(R31&lt;&gt;"Yes",Q31&lt;&gt;"City"),0,IF(S31="Cash capital",IF(T31&lt;=30,IF(O31&lt;&gt;"",O31,MAX(0,N(J31)+N(K31))*IF(N31&lt;&gt;"",N31,M31)),0),IF(S31="Debt service",IF(T31&gt;30,0,AM31*MAX(0,MIN(30-T31+1,U31))),IF(OR(S31="Annual O&amp;M",S31="Maintenance-only"),IF(T31&gt;30,0,IF(O31&lt;&gt;"",O31,MAX(0,N(J31)+N(K31))*IF(N31&lt;&gt;"",N31,M31))*MAX(0,30-T31+1)),0)))),0)</f>
        <v>0</v>
      </c>
      <c r="AC31" s="123" t="n">
        <f aca="false">IFERROR(IF(OR(R31&lt;&gt;"Yes",Q31&lt;&gt;"ESD"),0,IF(S31="Cash capital",IF(T31&lt;=5,IF(O31&lt;&gt;"",O31,MAX(0,N(F31)+N(K31))*IF(N31&lt;&gt;"",N31,M31)),0),IF(S31="Debt service",IF(T31&gt;5,0,AI31*MAX(0,MIN(5-T31+1,U31))),IF(OR(S31="Annual O&amp;M",S31="Maintenance-only"),IF(T31&gt;5,0,IF(O31&lt;&gt;"",O31,MAX(0,N(F31)+N(K31))*IF(N31&lt;&gt;"",N31,M31))*MAX(0,5-T31+1)),0)))),0)</f>
        <v>0</v>
      </c>
      <c r="AD31" s="123" t="n">
        <f aca="false">IFERROR(IF(OR(R31&lt;&gt;"Yes",Q31&lt;&gt;"ESD"),0,IF(S31="Cash capital",IF(T31&lt;=10,IF(O31&lt;&gt;"",O31,MAX(0,N(G31)+N(K31))*IF(N31&lt;&gt;"",N31,M31)),0),IF(S31="Debt service",IF(T31&gt;10,0,AJ31*MAX(0,MIN(10-T31+1,U31))),IF(OR(S31="Annual O&amp;M",S31="Maintenance-only"),IF(T31&gt;10,0,IF(O31&lt;&gt;"",O31,MAX(0,N(G31)+N(K31))*IF(N31&lt;&gt;"",N31,M31))*MAX(0,10-T31+1)),0)))),0)</f>
        <v>0</v>
      </c>
      <c r="AE31" s="123" t="n">
        <f aca="false">IFERROR(IF(OR(R31&lt;&gt;"Yes",Q31&lt;&gt;"ESD"),0,IF(S31="Cash capital",IF(T31&lt;=15,IF(O31&lt;&gt;"",O31,MAX(0,N(H31)+N(K31))*IF(N31&lt;&gt;"",N31,M31)),0),IF(S31="Debt service",IF(T31&gt;15,0,AK31*MAX(0,MIN(15-T31+1,U31))),IF(OR(S31="Annual O&amp;M",S31="Maintenance-only"),IF(T31&gt;15,0,IF(O31&lt;&gt;"",O31,MAX(0,N(H31)+N(K31))*IF(N31&lt;&gt;"",N31,M31))*MAX(0,15-T31+1)),0)))),0)</f>
        <v>0</v>
      </c>
      <c r="AF31" s="123" t="n">
        <f aca="false">IFERROR(IF(OR(R31&lt;&gt;"Yes",Q31&lt;&gt;"ESD"),0,IF(S31="Cash capital",IF(T31&lt;=20,IF(O31&lt;&gt;"",O31,MAX(0,N(I31)+N(K31))*IF(N31&lt;&gt;"",N31,M31)),0),IF(S31="Debt service",IF(T31&gt;20,0,AL31*MAX(0,MIN(20-T31+1,U31))),IF(OR(S31="Annual O&amp;M",S31="Maintenance-only"),IF(T31&gt;20,0,IF(O31&lt;&gt;"",O31,MAX(0,N(I31)+N(K31))*IF(N31&lt;&gt;"",N31,M31))*MAX(0,20-T31+1)),0)))),0)</f>
        <v>0</v>
      </c>
      <c r="AG31" s="123" t="n">
        <f aca="false">IFERROR(IF(OR(R31&lt;&gt;"Yes",Q31&lt;&gt;"ESD"),0,IF(S31="Cash capital",IF(T31&lt;=30,IF(O31&lt;&gt;"",O31,MAX(0,N(J31)+N(K31))*IF(N31&lt;&gt;"",N31,M31)),0),IF(S31="Debt service",IF(T31&gt;30,0,AM31*MAX(0,MIN(30-T31+1,U31))),IF(OR(S31="Annual O&amp;M",S31="Maintenance-only"),IF(T31&gt;30,0,IF(O31&lt;&gt;"",O31,MAX(0,N(J31)+N(K31))*IF(N31&lt;&gt;"",N31,M31))*MAX(0,30-T31+1)),0)))),0)</f>
        <v>0</v>
      </c>
      <c r="AH31" s="124" t="s">
        <v>293</v>
      </c>
      <c r="AI31" s="115" t="n">
        <f aca="false">IFERROR(IF(U31&gt;0,IF(O31&lt;&gt;"",O31,MAX(0,N(F31)+N(K31))*IF(N31&lt;&gt;"",N31,M31))*IF(V31=0,1/U31,V31/(1-(1+V31)^(-U31))),0),0)</f>
        <v>0</v>
      </c>
      <c r="AJ31" s="115" t="n">
        <f aca="false">IFERROR(IF(U31&gt;0,IF(O31&lt;&gt;"",O31,MAX(0,N(G31)+N(K31))*IF(N31&lt;&gt;"",N31,M31))*IF(V31=0,1/U31,V31/(1-(1+V31)^(-U31))),0),0)</f>
        <v>0</v>
      </c>
      <c r="AK31" s="115" t="n">
        <f aca="false">IFERROR(IF(U31&gt;0,IF(O31&lt;&gt;"",O31,MAX(0,N(H31)+N(K31))*IF(N31&lt;&gt;"",N31,M31))*IF(V31=0,1/U31,V31/(1-(1+V31)^(-U31))),0),0)</f>
        <v>0</v>
      </c>
      <c r="AL31" s="115" t="n">
        <f aca="false">IFERROR(IF(U31&gt;0,IF(O31&lt;&gt;"",O31,MAX(0,N(I31)+N(K31))*IF(N31&lt;&gt;"",N31,M31))*IF(V31=0,1/U31,V31/(1-(1+V31)^(-U31))),0),0)</f>
        <v>0</v>
      </c>
      <c r="AM31" s="106" t="n">
        <f aca="false">IFERROR(IF(U31&gt;0,IF(O31&lt;&gt;"",O31,MAX(0,N(J31)+N(K31))*IF(N31&lt;&gt;"",N31,M31))*IF(V31=0,1/U31,V31/(1-(1+V31)^(-U31))),0),0)</f>
        <v>0</v>
      </c>
    </row>
    <row r="32" customFormat="false" ht="14.25" hidden="false" customHeight="true" outlineLevel="0" collapsed="false">
      <c r="A32" s="130"/>
      <c r="B32" s="130"/>
      <c r="C32" s="130"/>
      <c r="D32" s="130"/>
      <c r="E32" s="130"/>
      <c r="F32" s="130"/>
      <c r="G32" s="130"/>
      <c r="H32" s="130"/>
      <c r="I32" s="130"/>
      <c r="J32" s="130"/>
      <c r="K32" s="130"/>
      <c r="L32" s="130"/>
      <c r="M32" s="130"/>
      <c r="N32" s="131"/>
      <c r="O32" s="130"/>
      <c r="P32" s="130"/>
      <c r="Q32" s="130"/>
      <c r="R32" s="132"/>
      <c r="S32" s="132"/>
      <c r="T32" s="132"/>
      <c r="U32" s="132"/>
      <c r="V32" s="132"/>
      <c r="W32" s="132"/>
      <c r="X32" s="132"/>
      <c r="Y32" s="132"/>
      <c r="Z32" s="132"/>
      <c r="AA32" s="132"/>
      <c r="AB32" s="132"/>
      <c r="AC32" s="132"/>
      <c r="AD32" s="132"/>
      <c r="AE32" s="132"/>
      <c r="AF32" s="132"/>
      <c r="AG32" s="132"/>
      <c r="AH32" s="132"/>
    </row>
    <row r="33" customFormat="false" ht="14.25" hidden="false" customHeight="true" outlineLevel="0" collapsed="false">
      <c r="A33" s="133" t="s">
        <v>294</v>
      </c>
      <c r="B33" s="130"/>
      <c r="C33" s="130"/>
      <c r="D33" s="130"/>
      <c r="E33" s="130"/>
      <c r="F33" s="130"/>
      <c r="G33" s="130"/>
      <c r="H33" s="130"/>
      <c r="I33" s="130"/>
      <c r="J33" s="130"/>
      <c r="K33" s="130"/>
      <c r="L33" s="130"/>
      <c r="M33" s="130"/>
      <c r="N33" s="131"/>
      <c r="O33" s="130"/>
      <c r="P33" s="130"/>
      <c r="Q33" s="130"/>
      <c r="R33" s="130"/>
      <c r="S33" s="130"/>
      <c r="T33" s="130"/>
      <c r="U33" s="130"/>
      <c r="V33" s="130"/>
      <c r="W33" s="130"/>
      <c r="X33" s="130"/>
      <c r="Y33" s="130"/>
      <c r="Z33" s="130"/>
      <c r="AA33" s="130"/>
      <c r="AB33" s="130"/>
      <c r="AC33" s="130"/>
      <c r="AD33" s="130"/>
      <c r="AE33" s="130"/>
      <c r="AF33" s="130"/>
      <c r="AG33" s="130"/>
      <c r="AH33" s="130"/>
    </row>
    <row r="34" customFormat="false" ht="28.5" hidden="false" customHeight="true" outlineLevel="0" collapsed="false">
      <c r="A34" s="133" t="s">
        <v>295</v>
      </c>
      <c r="B34" s="134"/>
      <c r="C34" s="134"/>
      <c r="D34" s="134"/>
      <c r="E34" s="134"/>
      <c r="F34" s="134"/>
      <c r="G34" s="134"/>
      <c r="H34" s="134"/>
      <c r="I34" s="134"/>
      <c r="J34" s="134"/>
      <c r="K34" s="134"/>
      <c r="L34" s="134"/>
      <c r="M34" s="134"/>
      <c r="N34" s="134"/>
      <c r="O34" s="134"/>
      <c r="P34" s="134"/>
      <c r="Q34" s="134"/>
      <c r="R34" s="130"/>
      <c r="S34" s="130"/>
      <c r="T34" s="130"/>
      <c r="U34" s="130"/>
      <c r="V34" s="130"/>
      <c r="W34" s="130"/>
      <c r="X34" s="135" t="n">
        <f aca="false">SUM(X4:X31)</f>
        <v>4399527.63986097</v>
      </c>
      <c r="Y34" s="135" t="n">
        <f aca="false">SUM(Y4:Y31)</f>
        <v>8799055.27972194</v>
      </c>
      <c r="Z34" s="135" t="n">
        <f aca="false">SUM(Z4:Z31)</f>
        <v>13198582.9195829</v>
      </c>
      <c r="AA34" s="135" t="n">
        <f aca="false">SUM(AA4:AA31)</f>
        <v>17598110.5594439</v>
      </c>
      <c r="AB34" s="135" t="n">
        <f aca="false">SUM(AB4:AB31)</f>
        <v>18246110.5594439</v>
      </c>
      <c r="AC34" s="131"/>
      <c r="AD34" s="131"/>
      <c r="AE34" s="131"/>
      <c r="AF34" s="131"/>
      <c r="AG34" s="131"/>
      <c r="AH34" s="132"/>
    </row>
    <row r="35" customFormat="false" ht="14.25" hidden="false" customHeight="true" outlineLevel="0" collapsed="false">
      <c r="A35" s="133" t="s">
        <v>296</v>
      </c>
      <c r="B35" s="130"/>
      <c r="C35" s="130"/>
      <c r="D35" s="130"/>
      <c r="E35" s="130"/>
      <c r="F35" s="130"/>
      <c r="G35" s="130"/>
      <c r="H35" s="130"/>
      <c r="I35" s="130"/>
      <c r="J35" s="130"/>
      <c r="K35" s="130"/>
      <c r="L35" s="130"/>
      <c r="M35" s="130"/>
      <c r="N35" s="130"/>
      <c r="O35" s="130"/>
      <c r="P35" s="130"/>
      <c r="Q35" s="130"/>
      <c r="R35" s="130"/>
      <c r="S35" s="130"/>
      <c r="T35" s="130"/>
      <c r="U35" s="130"/>
      <c r="V35" s="130"/>
      <c r="W35" s="130"/>
      <c r="X35" s="131"/>
      <c r="Y35" s="131"/>
      <c r="Z35" s="131"/>
      <c r="AA35" s="131"/>
      <c r="AB35" s="131"/>
      <c r="AC35" s="135" t="n">
        <f aca="false">SUM(AC4:AC31)</f>
        <v>188325</v>
      </c>
      <c r="AD35" s="135" t="n">
        <f aca="false">SUM(AD4:AD31)</f>
        <v>373275</v>
      </c>
      <c r="AE35" s="135" t="n">
        <f aca="false">SUM(AE4:AE31)</f>
        <v>558225</v>
      </c>
      <c r="AF35" s="135" t="n">
        <f aca="false">SUM(AF4:AF31)</f>
        <v>743175</v>
      </c>
      <c r="AG35" s="135" t="n">
        <f aca="false">SUM(AG4:AG31)</f>
        <v>1113075</v>
      </c>
      <c r="AH35" s="132"/>
    </row>
    <row r="36" customFormat="false" ht="12.75" hidden="false" customHeight="true" outlineLevel="0" collapsed="false">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c r="AG36" s="132"/>
      <c r="AH36" s="132"/>
    </row>
    <row r="37" customFormat="false" ht="72" hidden="false" customHeight="true" outlineLevel="0" collapsed="false">
      <c r="A37" s="133" t="s">
        <v>297</v>
      </c>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row>
  </sheetData>
  <mergeCells count="3">
    <mergeCell ref="A1:Q1"/>
    <mergeCell ref="A2:Q2"/>
    <mergeCell ref="B34:Q34"/>
  </mergeCells>
  <conditionalFormatting sqref="N4:N28">
    <cfRule type="cellIs" priority="2" operator="greaterThan" aboveAverage="0" equalAverage="0" bottom="0" percent="0" rank="0" text="" dxfId="1">
      <formula>0</formula>
    </cfRule>
  </conditionalFormatting>
  <conditionalFormatting sqref="A4:AG37">
    <cfRule type="expression" priority="3" aboveAverage="0" equalAverage="0" bottom="0" percent="0" rank="0" text="" dxfId="2">
      <formula>$R4="Yes"</formula>
    </cfRule>
  </conditionalFormatting>
  <conditionalFormatting sqref="A4:AG31">
    <cfRule type="expression" priority="4" aboveAverage="0" equalAverage="0" bottom="0" percent="0" rank="0" text="" dxfId="3">
      <formula>$R4="Yes"</formula>
    </cfRule>
  </conditionalFormatting>
  <dataValidations count="3">
    <dataValidation allowBlank="false" errorStyle="stop" operator="between" showDropDown="false" showErrorMessage="false" showInputMessage="false" sqref="Q4:Q31" type="list">
      <formula1>"City,ESD,Developer,Utility Fund,TxDOT,Unknown"</formula1>
      <formula2>0</formula2>
    </dataValidation>
    <dataValidation allowBlank="false" errorStyle="stop" operator="between" showDropDown="false" showErrorMessage="false" showInputMessage="false" sqref="R4:R31" type="list">
      <formula1>"No,Yes"</formula1>
      <formula2>0</formula2>
    </dataValidation>
    <dataValidation allowBlank="false" errorStyle="stop" operator="between" showDropDown="false" showErrorMessage="false" showInputMessage="false" sqref="S4:S31" type="list">
      <formula1>"Informational,Cash capital,Debt service,Annual O&amp;M,Maintenance-only,Developer-funded"</formula1>
      <formula2>0</formula2>
    </dataValidation>
  </dataValidations>
  <printOptions headings="false" gridLines="false" gridLinesSet="true" horizontalCentered="true" verticalCentered="false"/>
  <pageMargins left="0.4" right="0.4" top="0.4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City of Sealy · ESD #2 Development-Scenario Model&amp;R&amp;8 Page &amp;P 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F18" activeCellId="0" sqref="F18"/>
    </sheetView>
  </sheetViews>
  <sheetFormatPr defaultColWidth="15.00390625" defaultRowHeight="12.75" customHeight="false" zeroHeight="false" outlineLevelRow="0" outlineLevelCol="0"/>
  <cols>
    <col collapsed="false" customWidth="true" hidden="false" outlineLevel="0" max="1" min="1" style="90" width="44"/>
    <col collapsed="false" customWidth="false" hidden="false" outlineLevel="0" max="16384" min="2" style="90" width="15"/>
  </cols>
  <sheetData>
    <row r="1" customFormat="false" ht="27.75" hidden="false" customHeight="true" outlineLevel="0" collapsed="false">
      <c r="A1" s="49" t="s">
        <v>298</v>
      </c>
      <c r="B1" s="49"/>
      <c r="C1" s="49"/>
      <c r="D1" s="49"/>
      <c r="E1" s="49"/>
      <c r="F1" s="49"/>
      <c r="G1" s="49"/>
      <c r="H1" s="49"/>
    </row>
    <row r="2" customFormat="false" ht="15.75" hidden="false" customHeight="true" outlineLevel="0" collapsed="false">
      <c r="A2" s="50" t="s">
        <v>299</v>
      </c>
      <c r="B2" s="50"/>
      <c r="C2" s="50"/>
      <c r="D2" s="50"/>
      <c r="E2" s="50"/>
      <c r="F2" s="50"/>
      <c r="G2" s="50"/>
      <c r="H2" s="50"/>
    </row>
    <row r="3" customFormat="false" ht="12.75" hidden="false" customHeight="true" outlineLevel="0" collapsed="false">
      <c r="A3" s="51"/>
      <c r="B3" s="51"/>
      <c r="C3" s="51"/>
      <c r="D3" s="51"/>
      <c r="E3" s="51"/>
      <c r="F3" s="51"/>
      <c r="G3" s="51"/>
    </row>
    <row r="4" customFormat="false" ht="15" hidden="false" customHeight="true" outlineLevel="0" collapsed="false">
      <c r="A4" s="136" t="s">
        <v>300</v>
      </c>
      <c r="B4" s="136"/>
      <c r="C4" s="51" t="s">
        <v>301</v>
      </c>
      <c r="D4" s="75" t="str">
        <f aca="false">IF('Advanced Inputs'!D6="","(enter)",'Advanced Inputs'!D6)</f>
        <v>(enter)</v>
      </c>
      <c r="E4" s="82" t="s">
        <v>302</v>
      </c>
      <c r="F4" s="137" t="n">
        <f aca="false">'Advanced Inputs'!D7</f>
        <v>0</v>
      </c>
      <c r="G4" s="51" t="s">
        <v>303</v>
      </c>
      <c r="H4" s="137" t="str">
        <f aca="false">IF('Advanced Inputs'!D8="","(enter)",'Advanced Inputs'!D8)</f>
        <v>(enter)</v>
      </c>
    </row>
    <row r="5" customFormat="false" ht="12.75" hidden="false" customHeight="true" outlineLevel="0" collapsed="false">
      <c r="A5" s="51" t="s">
        <v>304</v>
      </c>
      <c r="B5" s="51"/>
      <c r="C5" s="51"/>
      <c r="D5" s="51"/>
      <c r="E5" s="51"/>
      <c r="F5" s="51"/>
      <c r="G5" s="51"/>
    </row>
    <row r="6" customFormat="false" ht="15" hidden="false" customHeight="true" outlineLevel="0" collapsed="false">
      <c r="A6" s="138"/>
      <c r="B6" s="138"/>
      <c r="C6" s="138"/>
      <c r="D6" s="138"/>
      <c r="E6" s="138"/>
      <c r="F6" s="138"/>
      <c r="G6" s="51"/>
    </row>
    <row r="7" customFormat="false" ht="19.5" hidden="false" customHeight="true" outlineLevel="0" collapsed="false">
      <c r="A7" s="88" t="s">
        <v>305</v>
      </c>
      <c r="B7" s="58"/>
      <c r="C7" s="58"/>
      <c r="D7" s="58"/>
      <c r="E7" s="58"/>
      <c r="F7" s="58"/>
      <c r="G7" s="58"/>
      <c r="H7" s="58"/>
    </row>
    <row r="8" customFormat="false" ht="18" hidden="false" customHeight="true" outlineLevel="0" collapsed="false">
      <c r="A8" s="139" t="s">
        <v>306</v>
      </c>
      <c r="B8" s="140" t="s">
        <v>56</v>
      </c>
      <c r="C8" s="140" t="s">
        <v>57</v>
      </c>
      <c r="D8" s="140" t="s">
        <v>58</v>
      </c>
      <c r="E8" s="140" t="s">
        <v>59</v>
      </c>
      <c r="F8" s="140" t="s">
        <v>60</v>
      </c>
      <c r="G8" s="51"/>
    </row>
    <row r="9" customFormat="false" ht="15" hidden="false" customHeight="true" outlineLevel="0" collapsed="false">
      <c r="A9" s="68" t="s">
        <v>307</v>
      </c>
      <c r="B9" s="141" t="n">
        <f aca="false">'03_Multi_Horizon_Results'!B14</f>
        <v>103915219.94568</v>
      </c>
      <c r="C9" s="141" t="n">
        <f aca="false">'03_Multi_Horizon_Results'!C14</f>
        <v>729949738.334588</v>
      </c>
      <c r="D9" s="141" t="n">
        <f aca="false">'03_Multi_Horizon_Results'!D14</f>
        <v>1587368712.50969</v>
      </c>
      <c r="E9" s="141" t="n">
        <f aca="false">'03_Multi_Horizon_Results'!E14</f>
        <v>2761738890.94388</v>
      </c>
      <c r="F9" s="141" t="n">
        <f aca="false">'03_Multi_Horizon_Results'!F14</f>
        <v>6573575648.73406</v>
      </c>
      <c r="G9" s="51"/>
    </row>
    <row r="10" customFormat="false" ht="15" hidden="false" customHeight="true" outlineLevel="0" collapsed="false">
      <c r="A10" s="142" t="s">
        <v>308</v>
      </c>
      <c r="B10" s="143" t="n">
        <f aca="false">'03_Multi_Horizon_Results'!B15</f>
        <v>1558728.2991852</v>
      </c>
      <c r="C10" s="143" t="n">
        <f aca="false">'03_Multi_Horizon_Results'!C15</f>
        <v>10949246.0750188</v>
      </c>
      <c r="D10" s="143" t="n">
        <f aca="false">'03_Multi_Horizon_Results'!D15</f>
        <v>23810530.6876454</v>
      </c>
      <c r="E10" s="143" t="n">
        <f aca="false">'03_Multi_Horizon_Results'!E15</f>
        <v>41426083.3641582</v>
      </c>
      <c r="F10" s="143" t="n">
        <f aca="false">'03_Multi_Horizon_Results'!F15</f>
        <v>98603634.7310109</v>
      </c>
      <c r="G10" s="51"/>
    </row>
    <row r="11" customFormat="false" ht="15" hidden="false" customHeight="true" outlineLevel="0" collapsed="false">
      <c r="A11" s="68" t="s">
        <v>309</v>
      </c>
      <c r="B11" s="141" t="n">
        <f aca="false">'03_Multi_Horizon_Results'!B18</f>
        <v>0</v>
      </c>
      <c r="C11" s="141" t="n">
        <f aca="false">'03_Multi_Horizon_Results'!C18</f>
        <v>0</v>
      </c>
      <c r="D11" s="141" t="n">
        <f aca="false">'03_Multi_Horizon_Results'!D18</f>
        <v>0</v>
      </c>
      <c r="E11" s="141" t="n">
        <f aca="false">'03_Multi_Horizon_Results'!E18</f>
        <v>0</v>
      </c>
      <c r="F11" s="141" t="n">
        <f aca="false">'03_Multi_Horizon_Results'!F18</f>
        <v>0</v>
      </c>
      <c r="G11" s="51"/>
    </row>
    <row r="12" customFormat="false" ht="15" hidden="false" customHeight="true" outlineLevel="0" collapsed="false">
      <c r="A12" s="68" t="s">
        <v>310</v>
      </c>
      <c r="B12" s="141" t="n">
        <f aca="false">'03_Multi_Horizon_Results'!B17</f>
        <v>0</v>
      </c>
      <c r="C12" s="141" t="n">
        <f aca="false">'03_Multi_Horizon_Results'!C17</f>
        <v>0</v>
      </c>
      <c r="D12" s="141" t="n">
        <f aca="false">'03_Multi_Horizon_Results'!D17</f>
        <v>0</v>
      </c>
      <c r="E12" s="141" t="n">
        <f aca="false">'03_Multi_Horizon_Results'!E17</f>
        <v>0</v>
      </c>
      <c r="F12" s="141" t="n">
        <f aca="false">'03_Multi_Horizon_Results'!F17</f>
        <v>0</v>
      </c>
      <c r="G12" s="51"/>
    </row>
    <row r="13" customFormat="false" ht="15" hidden="false" customHeight="true" outlineLevel="0" collapsed="false">
      <c r="A13" s="68" t="s">
        <v>311</v>
      </c>
      <c r="B13" s="141" t="n">
        <f aca="false">'03_Multi_Horizon_Results'!B19</f>
        <v>0</v>
      </c>
      <c r="C13" s="141" t="n">
        <f aca="false">'03_Multi_Horizon_Results'!C19</f>
        <v>0</v>
      </c>
      <c r="D13" s="141" t="n">
        <f aca="false">'03_Multi_Horizon_Results'!D19</f>
        <v>0</v>
      </c>
      <c r="E13" s="141" t="n">
        <f aca="false">'03_Multi_Horizon_Results'!E19</f>
        <v>0</v>
      </c>
      <c r="F13" s="141" t="n">
        <f aca="false">'03_Multi_Horizon_Results'!F19</f>
        <v>0</v>
      </c>
      <c r="G13" s="51"/>
    </row>
    <row r="14" customFormat="false" ht="15" hidden="false" customHeight="true" outlineLevel="0" collapsed="false">
      <c r="A14" s="79"/>
      <c r="G14" s="51"/>
    </row>
    <row r="15" customFormat="false" ht="19.5" hidden="false" customHeight="true" outlineLevel="0" collapsed="false">
      <c r="A15" s="88" t="s">
        <v>312</v>
      </c>
      <c r="B15" s="144"/>
      <c r="C15" s="144"/>
      <c r="D15" s="144"/>
      <c r="E15" s="144"/>
      <c r="F15" s="144"/>
      <c r="G15" s="58"/>
      <c r="H15" s="58"/>
    </row>
    <row r="16" customFormat="false" ht="15" hidden="false" customHeight="true" outlineLevel="0" collapsed="false">
      <c r="A16" s="68" t="s">
        <v>313</v>
      </c>
      <c r="B16" s="145"/>
      <c r="C16" s="145"/>
      <c r="D16" s="145"/>
      <c r="E16" s="145"/>
      <c r="F16" s="145"/>
      <c r="G16" s="51"/>
    </row>
    <row r="17" customFormat="false" ht="18" hidden="false" customHeight="true" outlineLevel="0" collapsed="false">
      <c r="A17" s="139" t="s">
        <v>306</v>
      </c>
      <c r="B17" s="140" t="s">
        <v>56</v>
      </c>
      <c r="C17" s="140" t="s">
        <v>57</v>
      </c>
      <c r="D17" s="140" t="s">
        <v>58</v>
      </c>
      <c r="E17" s="140" t="s">
        <v>59</v>
      </c>
      <c r="F17" s="140" t="s">
        <v>60</v>
      </c>
      <c r="G17" s="51"/>
    </row>
    <row r="18" customFormat="false" ht="15" hidden="false" customHeight="true" outlineLevel="0" collapsed="false">
      <c r="A18" s="68" t="s">
        <v>314</v>
      </c>
      <c r="B18" s="146" t="n">
        <f aca="false">'03_Multi_Horizon_Results'!B20</f>
        <v>480191.285255825</v>
      </c>
      <c r="C18" s="146" t="n">
        <f aca="false">'03_Multi_Horizon_Results'!C20</f>
        <v>1472843.36075236</v>
      </c>
      <c r="D18" s="146" t="n">
        <f aca="false">'03_Multi_Horizon_Results'!D20</f>
        <v>2801235.75783954</v>
      </c>
      <c r="E18" s="146" t="n">
        <f aca="false">'03_Multi_Horizon_Results'!E20</f>
        <v>4578924.44071099</v>
      </c>
      <c r="F18" s="146" t="n">
        <f aca="false">'03_Multi_Horizon_Results'!F20</f>
        <v>10141442.5880303</v>
      </c>
      <c r="G18" s="51"/>
    </row>
    <row r="19" customFormat="false" ht="12.75" hidden="false" customHeight="true" outlineLevel="0" collapsed="false">
      <c r="A19" s="68" t="s">
        <v>315</v>
      </c>
      <c r="B19" s="146" t="n">
        <f aca="false">'03_Multi_Horizon_Results'!B21</f>
        <v>117160.854544591</v>
      </c>
      <c r="C19" s="146" t="n">
        <f aca="false">'03_Multi_Horizon_Results'!C21</f>
        <v>359250.094771307</v>
      </c>
      <c r="D19" s="146" t="n">
        <f aca="false">'03_Multi_Horizon_Results'!D21</f>
        <v>683220.108104448</v>
      </c>
      <c r="E19" s="146" t="n">
        <f aca="false">'03_Multi_Horizon_Results'!E21</f>
        <v>1116765.06632227</v>
      </c>
      <c r="F19" s="146" t="n">
        <f aca="false">'03_Multi_Horizon_Results'!F21</f>
        <v>2473359.00822104</v>
      </c>
      <c r="G19" s="51"/>
    </row>
    <row r="20" customFormat="false" ht="15" hidden="false" customHeight="true" outlineLevel="0" collapsed="false">
      <c r="A20" s="68" t="s">
        <v>71</v>
      </c>
      <c r="B20" s="146" t="n">
        <f aca="false">'03_Multi_Horizon_Results'!B22</f>
        <v>1576300</v>
      </c>
      <c r="C20" s="146" t="n">
        <f aca="false">'03_Multi_Horizon_Results'!C22</f>
        <v>1576300</v>
      </c>
      <c r="D20" s="146" t="n">
        <f aca="false">'03_Multi_Horizon_Results'!D22</f>
        <v>1576300</v>
      </c>
      <c r="E20" s="146" t="n">
        <f aca="false">'03_Multi_Horizon_Results'!E22</f>
        <v>1576300</v>
      </c>
      <c r="F20" s="146" t="n">
        <f aca="false">'03_Multi_Horizon_Results'!F22</f>
        <v>1576300</v>
      </c>
      <c r="G20" s="51"/>
    </row>
    <row r="21" customFormat="false" ht="15" hidden="false" customHeight="true" outlineLevel="0" collapsed="false">
      <c r="A21" s="79" t="s">
        <v>316</v>
      </c>
      <c r="B21" s="147" t="n">
        <f aca="false">'03_Multi_Horizon_Results'!B23</f>
        <v>819887.664667969</v>
      </c>
      <c r="C21" s="147" t="n">
        <f aca="false">'03_Multi_Horizon_Results'!C23</f>
        <v>2308732.44636358</v>
      </c>
      <c r="D21" s="147" t="n">
        <f aca="false">'03_Multi_Horizon_Results'!D23</f>
        <v>3993223.66009334</v>
      </c>
      <c r="E21" s="147" t="n">
        <f aca="false">'03_Multi_Horizon_Results'!E23</f>
        <v>5899070.85384928</v>
      </c>
      <c r="F21" s="147" t="n">
        <f aca="false">'03_Multi_Horizon_Results'!F23</f>
        <v>10495007.5577063</v>
      </c>
      <c r="G21" s="51"/>
    </row>
    <row r="22" customFormat="false" ht="15" hidden="false" customHeight="true" outlineLevel="0" collapsed="false">
      <c r="A22" s="136" t="s">
        <v>317</v>
      </c>
      <c r="B22" s="148" t="n">
        <f aca="false">'03_Multi_Horizon_Results'!B24</f>
        <v>4399527.63986097</v>
      </c>
      <c r="C22" s="148" t="n">
        <f aca="false">'03_Multi_Horizon_Results'!C24</f>
        <v>8799055.27972194</v>
      </c>
      <c r="D22" s="148" t="n">
        <f aca="false">'03_Multi_Horizon_Results'!D24</f>
        <v>13198582.9195829</v>
      </c>
      <c r="E22" s="148" t="n">
        <f aca="false">'03_Multi_Horizon_Results'!E24</f>
        <v>17598110.5594439</v>
      </c>
      <c r="F22" s="148" t="n">
        <f aca="false">'03_Multi_Horizon_Results'!F24</f>
        <v>18246110.5594439</v>
      </c>
      <c r="G22" s="51"/>
    </row>
    <row r="23" customFormat="false" ht="15" hidden="false" customHeight="true" outlineLevel="0" collapsed="false">
      <c r="A23" s="136" t="s">
        <v>318</v>
      </c>
      <c r="B23" s="148" t="n">
        <f aca="false">'03_Multi_Horizon_Results'!B26</f>
        <v>215519.488901367</v>
      </c>
      <c r="C23" s="148" t="n">
        <f aca="false">'03_Multi_Horizon_Results'!C26</f>
        <v>612708.307984632</v>
      </c>
      <c r="D23" s="148" t="n">
        <f aca="false">'03_Multi_Horizon_Results'!D26</f>
        <v>1062090.99996377</v>
      </c>
      <c r="E23" s="148" t="n">
        <f aca="false">'03_Multi_Horizon_Results'!E26</f>
        <v>1570526.26839986</v>
      </c>
      <c r="F23" s="148" t="n">
        <f aca="false">'03_Multi_Horizon_Results'!F26</f>
        <v>2796614.23568106</v>
      </c>
      <c r="G23" s="51"/>
    </row>
    <row r="24" customFormat="false" ht="15" hidden="false" customHeight="true" outlineLevel="0" collapsed="false">
      <c r="A24" s="136" t="s">
        <v>73</v>
      </c>
      <c r="B24" s="148" t="n">
        <f aca="false">'03_Multi_Horizon_Results'!B27</f>
        <v>188325</v>
      </c>
      <c r="C24" s="148" t="n">
        <f aca="false">'03_Multi_Horizon_Results'!C27</f>
        <v>373275</v>
      </c>
      <c r="D24" s="148" t="n">
        <f aca="false">'03_Multi_Horizon_Results'!D27</f>
        <v>558225</v>
      </c>
      <c r="E24" s="148" t="n">
        <f aca="false">'03_Multi_Horizon_Results'!E27</f>
        <v>743175</v>
      </c>
      <c r="F24" s="148" t="n">
        <f aca="false">'03_Multi_Horizon_Results'!F27</f>
        <v>1113075</v>
      </c>
      <c r="G24" s="51"/>
    </row>
    <row r="25" customFormat="false" ht="15" hidden="false" customHeight="true" outlineLevel="0" collapsed="false">
      <c r="A25" s="149" t="s">
        <v>65</v>
      </c>
      <c r="B25" s="150" t="n">
        <f aca="false">'03_Multi_Horizon_Results'!B29</f>
        <v>-3183421.21088981</v>
      </c>
      <c r="C25" s="150" t="n">
        <f aca="false">'03_Multi_Horizon_Results'!C29</f>
        <v>-8116362.67649225</v>
      </c>
      <c r="D25" s="150" t="n">
        <f aca="false">'03_Multi_Horizon_Results'!D29</f>
        <v>-12914101.413339</v>
      </c>
      <c r="E25" s="150" t="n">
        <f aca="false">'03_Multi_Horizon_Results'!E29</f>
        <v>-17489433.7439284</v>
      </c>
      <c r="F25" s="150" t="n">
        <f aca="false">'03_Multi_Horizon_Results'!F29</f>
        <v>-17285750.7180626</v>
      </c>
      <c r="G25" s="51"/>
    </row>
    <row r="26" customFormat="false" ht="15" hidden="false" customHeight="true" outlineLevel="0" collapsed="false">
      <c r="A26" s="151" t="s">
        <v>66</v>
      </c>
      <c r="B26" s="152" t="n">
        <f aca="false">'03_Multi_Horizon_Results'!B30</f>
        <v>-292071.62157931</v>
      </c>
      <c r="C26" s="152" t="n">
        <f aca="false">'03_Multi_Horizon_Results'!C30</f>
        <v>-642050.920912942</v>
      </c>
      <c r="D26" s="152" t="n">
        <f aca="false">'03_Multi_Horizon_Results'!D30</f>
        <v>-963648.166858413</v>
      </c>
      <c r="E26" s="152" t="n">
        <f aca="false">'03_Multi_Horizon_Results'!E30</f>
        <v>-1236199.35878758</v>
      </c>
      <c r="F26" s="152" t="n">
        <f aca="false">'03_Multi_Horizon_Results'!F30</f>
        <v>-1506245.58335205</v>
      </c>
      <c r="G26" s="51"/>
    </row>
    <row r="27" customFormat="false" ht="15" hidden="false" customHeight="true" outlineLevel="0" collapsed="false">
      <c r="A27" s="151" t="s">
        <v>67</v>
      </c>
      <c r="B27" s="152" t="n">
        <f aca="false">'03_Multi_Horizon_Results'!B31</f>
        <v>-3475492.83246912</v>
      </c>
      <c r="C27" s="152" t="n">
        <f aca="false">'03_Multi_Horizon_Results'!C31</f>
        <v>-8758413.59740519</v>
      </c>
      <c r="D27" s="152" t="n">
        <f aca="false">'03_Multi_Horizon_Results'!D31</f>
        <v>-13877749.5801975</v>
      </c>
      <c r="E27" s="152" t="n">
        <f aca="false">'03_Multi_Horizon_Results'!E31</f>
        <v>-18725633.102716</v>
      </c>
      <c r="F27" s="152" t="n">
        <f aca="false">'03_Multi_Horizon_Results'!F31</f>
        <v>-18791996.3014146</v>
      </c>
      <c r="G27" s="51"/>
    </row>
    <row r="28" customFormat="false" ht="15" hidden="false" customHeight="true" outlineLevel="0" collapsed="false">
      <c r="A28" s="136"/>
      <c r="B28" s="153"/>
      <c r="C28" s="153"/>
      <c r="D28" s="153"/>
      <c r="E28" s="153"/>
      <c r="F28" s="153"/>
      <c r="G28" s="51"/>
    </row>
    <row r="29" customFormat="false" ht="15" hidden="false" customHeight="true" outlineLevel="0" collapsed="false">
      <c r="A29" s="68"/>
      <c r="B29" s="145"/>
      <c r="C29" s="145"/>
      <c r="D29" s="145"/>
      <c r="E29" s="145"/>
      <c r="F29" s="145"/>
      <c r="G29" s="51"/>
    </row>
    <row r="30" customFormat="false" ht="15" hidden="false" customHeight="true" outlineLevel="0" collapsed="false">
      <c r="A30" s="68"/>
      <c r="B30" s="145"/>
      <c r="C30" s="145"/>
      <c r="D30" s="145"/>
      <c r="E30" s="145"/>
      <c r="F30" s="145"/>
      <c r="G30" s="51"/>
    </row>
    <row r="31" customFormat="false" ht="15" hidden="false" customHeight="true" outlineLevel="0" collapsed="false">
      <c r="A31" s="136"/>
      <c r="B31" s="153"/>
      <c r="C31" s="153"/>
      <c r="D31" s="153"/>
      <c r="E31" s="153"/>
      <c r="F31" s="153"/>
      <c r="G31" s="51"/>
    </row>
    <row r="32" customFormat="false" ht="15" hidden="false" customHeight="true" outlineLevel="0" collapsed="false">
      <c r="A32" s="79"/>
      <c r="G32" s="51"/>
    </row>
    <row r="33" customFormat="false" ht="15" hidden="false" customHeight="true" outlineLevel="0" collapsed="false">
      <c r="A33" s="68"/>
      <c r="B33" s="145"/>
      <c r="C33" s="145"/>
      <c r="D33" s="145"/>
      <c r="E33" s="145"/>
      <c r="F33" s="145"/>
      <c r="G33" s="51"/>
    </row>
    <row r="34" customFormat="false" ht="15" hidden="false" customHeight="true" outlineLevel="0" collapsed="false">
      <c r="A34" s="68"/>
      <c r="B34" s="145"/>
      <c r="C34" s="145"/>
      <c r="D34" s="145"/>
      <c r="E34" s="145"/>
      <c r="F34" s="145"/>
      <c r="G34" s="51"/>
    </row>
    <row r="35" customFormat="false" ht="15" hidden="false" customHeight="true" outlineLevel="0" collapsed="false">
      <c r="A35" s="136"/>
      <c r="B35" s="153"/>
      <c r="C35" s="153"/>
      <c r="D35" s="153"/>
      <c r="E35" s="153"/>
      <c r="F35" s="153"/>
      <c r="G35" s="51"/>
    </row>
    <row r="36" customFormat="false" ht="15" hidden="false" customHeight="true" outlineLevel="0" collapsed="false">
      <c r="A36" s="68"/>
      <c r="B36" s="145"/>
      <c r="C36" s="145"/>
      <c r="D36" s="145"/>
      <c r="E36" s="145"/>
      <c r="F36" s="145"/>
      <c r="G36" s="51"/>
    </row>
    <row r="37" customFormat="false" ht="15" hidden="false" customHeight="true" outlineLevel="0" collapsed="false">
      <c r="A37" s="68"/>
      <c r="B37" s="145"/>
      <c r="C37" s="145"/>
      <c r="D37" s="145"/>
      <c r="E37" s="145"/>
      <c r="F37" s="145"/>
      <c r="G37" s="51"/>
    </row>
    <row r="38" customFormat="false" ht="15" hidden="false" customHeight="true" outlineLevel="0" collapsed="false">
      <c r="A38" s="136"/>
      <c r="B38" s="153"/>
      <c r="C38" s="153"/>
      <c r="D38" s="153"/>
      <c r="E38" s="153"/>
      <c r="F38" s="153"/>
      <c r="G38" s="51"/>
    </row>
    <row r="39" customFormat="false" ht="12.75" hidden="false" customHeight="true" outlineLevel="0" collapsed="false">
      <c r="A39" s="51"/>
      <c r="B39" s="51"/>
      <c r="C39" s="51"/>
      <c r="D39" s="51"/>
      <c r="E39" s="51"/>
      <c r="F39" s="51"/>
      <c r="G39" s="51"/>
    </row>
    <row r="40" customFormat="false" ht="15" hidden="false" customHeight="true" outlineLevel="0" collapsed="false">
      <c r="A40" s="79"/>
    </row>
    <row r="41" customFormat="false" ht="15" hidden="false" customHeight="true" outlineLevel="0" collapsed="false">
      <c r="A41" s="79"/>
      <c r="B41" s="154"/>
      <c r="C41" s="154"/>
      <c r="D41" s="154"/>
      <c r="E41" s="154"/>
      <c r="F41" s="154"/>
      <c r="G41" s="79"/>
    </row>
    <row r="42" customFormat="false" ht="15" hidden="false" customHeight="true" outlineLevel="0" collapsed="false">
      <c r="A42" s="68"/>
      <c r="B42" s="155"/>
      <c r="C42" s="156"/>
      <c r="D42" s="157"/>
      <c r="E42" s="157"/>
      <c r="F42" s="157"/>
      <c r="G42" s="145"/>
    </row>
    <row r="43" customFormat="false" ht="15" hidden="false" customHeight="true" outlineLevel="0" collapsed="false">
      <c r="A43" s="68"/>
      <c r="B43" s="155"/>
      <c r="C43" s="67"/>
      <c r="D43" s="68"/>
      <c r="E43" s="68"/>
      <c r="F43" s="68"/>
      <c r="G43" s="145"/>
    </row>
    <row r="44" customFormat="false" ht="15" hidden="false" customHeight="true" outlineLevel="0" collapsed="false">
      <c r="A44" s="68"/>
      <c r="B44" s="155"/>
      <c r="C44" s="67"/>
      <c r="D44" s="68"/>
      <c r="E44" s="68"/>
      <c r="F44" s="68"/>
      <c r="G44" s="145"/>
    </row>
    <row r="45" customFormat="false" ht="15" hidden="false" customHeight="true" outlineLevel="0" collapsed="false">
      <c r="A45" s="68"/>
      <c r="B45" s="155"/>
      <c r="C45" s="67"/>
      <c r="D45" s="68"/>
      <c r="E45" s="68"/>
      <c r="F45" s="68"/>
      <c r="G45" s="145"/>
    </row>
    <row r="46" customFormat="false" ht="15" hidden="false" customHeight="true" outlineLevel="0" collapsed="false">
      <c r="A46" s="68"/>
      <c r="B46" s="155"/>
      <c r="C46" s="67"/>
      <c r="D46" s="68"/>
      <c r="E46" s="68"/>
      <c r="F46" s="68"/>
      <c r="G46" s="145"/>
    </row>
    <row r="47" customFormat="false" ht="15" hidden="false" customHeight="true" outlineLevel="0" collapsed="false">
      <c r="A47" s="68"/>
      <c r="B47" s="155"/>
      <c r="C47" s="67"/>
      <c r="D47" s="68"/>
      <c r="E47" s="68"/>
      <c r="F47" s="68"/>
      <c r="G47" s="145"/>
    </row>
    <row r="48" customFormat="false" ht="15" hidden="false" customHeight="true" outlineLevel="0" collapsed="false">
      <c r="A48" s="68"/>
      <c r="B48" s="155"/>
      <c r="C48" s="67"/>
      <c r="D48" s="68"/>
      <c r="E48" s="68"/>
      <c r="F48" s="68"/>
      <c r="G48" s="145"/>
    </row>
    <row r="49" customFormat="false" ht="15" hidden="false" customHeight="true" outlineLevel="0" collapsed="false">
      <c r="A49" s="68"/>
      <c r="B49" s="155"/>
      <c r="C49" s="67"/>
      <c r="D49" s="68"/>
      <c r="E49" s="68"/>
      <c r="F49" s="68"/>
      <c r="G49" s="145"/>
    </row>
    <row r="50" customFormat="false" ht="15" hidden="false" customHeight="true" outlineLevel="0" collapsed="false">
      <c r="A50" s="68"/>
      <c r="B50" s="155"/>
      <c r="C50" s="67"/>
      <c r="D50" s="68"/>
      <c r="E50" s="68"/>
      <c r="F50" s="68"/>
      <c r="G50" s="145"/>
    </row>
    <row r="51" customFormat="false" ht="15" hidden="false" customHeight="true" outlineLevel="0" collapsed="false">
      <c r="A51" s="68"/>
      <c r="B51" s="155"/>
      <c r="C51" s="67"/>
      <c r="D51" s="68"/>
      <c r="E51" s="68"/>
      <c r="F51" s="68"/>
      <c r="G51" s="145"/>
    </row>
    <row r="52" customFormat="false" ht="15" hidden="false" customHeight="true" outlineLevel="0" collapsed="false">
      <c r="A52" s="68"/>
      <c r="B52" s="155"/>
      <c r="C52" s="67"/>
      <c r="D52" s="68"/>
      <c r="E52" s="68"/>
      <c r="F52" s="68"/>
      <c r="G52" s="145"/>
    </row>
    <row r="53" customFormat="false" ht="15" hidden="false" customHeight="true" outlineLevel="0" collapsed="false">
      <c r="A53" s="68"/>
      <c r="B53" s="155"/>
      <c r="C53" s="67"/>
      <c r="D53" s="68"/>
      <c r="E53" s="68"/>
      <c r="F53" s="68"/>
      <c r="G53" s="145"/>
    </row>
    <row r="54" customFormat="false" ht="15" hidden="false" customHeight="true" outlineLevel="0" collapsed="false">
      <c r="A54" s="68"/>
      <c r="B54" s="155"/>
      <c r="C54" s="67"/>
      <c r="D54" s="68"/>
      <c r="E54" s="68"/>
      <c r="F54" s="68"/>
      <c r="G54" s="145"/>
    </row>
    <row r="55" customFormat="false" ht="15" hidden="false" customHeight="true" outlineLevel="0" collapsed="false">
      <c r="A55" s="68"/>
      <c r="B55" s="155"/>
      <c r="C55" s="67"/>
      <c r="D55" s="68"/>
      <c r="E55" s="68"/>
      <c r="F55" s="68"/>
      <c r="G55" s="145"/>
    </row>
    <row r="56" customFormat="false" ht="15" hidden="false" customHeight="true" outlineLevel="0" collapsed="false">
      <c r="A56" s="68"/>
      <c r="B56" s="155"/>
      <c r="C56" s="67"/>
      <c r="D56" s="68"/>
      <c r="E56" s="68"/>
      <c r="F56" s="68"/>
      <c r="G56" s="145"/>
    </row>
    <row r="57" customFormat="false" ht="15" hidden="false" customHeight="true" outlineLevel="0" collapsed="false">
      <c r="A57" s="68"/>
      <c r="B57" s="155"/>
      <c r="C57" s="67"/>
      <c r="D57" s="68"/>
      <c r="E57" s="68"/>
      <c r="F57" s="68"/>
      <c r="G57" s="145"/>
    </row>
    <row r="58" customFormat="false" ht="15" hidden="false" customHeight="true" outlineLevel="0" collapsed="false">
      <c r="A58" s="68"/>
      <c r="B58" s="155"/>
      <c r="C58" s="67"/>
      <c r="D58" s="68"/>
      <c r="E58" s="68"/>
      <c r="F58" s="68"/>
      <c r="G58" s="145"/>
    </row>
    <row r="59" customFormat="false" ht="15" hidden="false" customHeight="true" outlineLevel="0" collapsed="false">
      <c r="A59" s="68"/>
      <c r="B59" s="155"/>
      <c r="C59" s="67"/>
      <c r="D59" s="68"/>
      <c r="E59" s="68"/>
      <c r="F59" s="68"/>
      <c r="G59" s="145"/>
    </row>
    <row r="60" customFormat="false" ht="15" hidden="false" customHeight="true" outlineLevel="0" collapsed="false">
      <c r="A60" s="68"/>
      <c r="B60" s="155"/>
      <c r="C60" s="67"/>
      <c r="D60" s="68"/>
      <c r="E60" s="68"/>
      <c r="F60" s="68"/>
      <c r="G60" s="145"/>
    </row>
    <row r="61" customFormat="false" ht="15" hidden="false" customHeight="true" outlineLevel="0" collapsed="false">
      <c r="A61" s="68"/>
      <c r="B61" s="155"/>
      <c r="C61" s="67"/>
      <c r="D61" s="68"/>
      <c r="E61" s="68"/>
      <c r="F61" s="68"/>
      <c r="G61" s="145"/>
    </row>
    <row r="62" customFormat="false" ht="15" hidden="false" customHeight="true" outlineLevel="0" collapsed="false">
      <c r="A62" s="68"/>
      <c r="B62" s="155"/>
      <c r="C62" s="67"/>
      <c r="D62" s="68"/>
      <c r="E62" s="68"/>
      <c r="F62" s="68"/>
      <c r="G62" s="145"/>
    </row>
    <row r="63" customFormat="false" ht="15" hidden="false" customHeight="true" outlineLevel="0" collapsed="false">
      <c r="A63" s="68"/>
      <c r="B63" s="155"/>
      <c r="C63" s="67"/>
      <c r="D63" s="68"/>
      <c r="E63" s="68"/>
      <c r="F63" s="68"/>
      <c r="G63" s="145"/>
    </row>
    <row r="64" customFormat="false" ht="15" hidden="false" customHeight="true" outlineLevel="0" collapsed="false">
      <c r="A64" s="68"/>
      <c r="B64" s="155"/>
      <c r="C64" s="67"/>
      <c r="D64" s="68"/>
      <c r="E64" s="68"/>
      <c r="F64" s="68"/>
      <c r="G64" s="145"/>
    </row>
    <row r="65" customFormat="false" ht="15" hidden="false" customHeight="true" outlineLevel="0" collapsed="false">
      <c r="A65" s="68"/>
      <c r="B65" s="155"/>
      <c r="C65" s="67"/>
      <c r="D65" s="68"/>
      <c r="E65" s="68"/>
      <c r="F65" s="68"/>
      <c r="G65" s="145"/>
    </row>
    <row r="66" customFormat="false" ht="15" hidden="false" customHeight="true" outlineLevel="0" collapsed="false">
      <c r="A66" s="68"/>
      <c r="B66" s="155"/>
      <c r="C66" s="67"/>
      <c r="D66" s="68"/>
      <c r="E66" s="68"/>
      <c r="F66" s="68"/>
      <c r="G66" s="145"/>
    </row>
    <row r="67" customFormat="false" ht="15" hidden="false" customHeight="true" outlineLevel="0" collapsed="false">
      <c r="A67" s="136"/>
      <c r="B67" s="51"/>
      <c r="C67" s="51"/>
      <c r="D67" s="51"/>
      <c r="E67" s="158"/>
      <c r="F67" s="51"/>
      <c r="G67" s="158"/>
    </row>
    <row r="68" customFormat="false" ht="15" hidden="false" customHeight="true" outlineLevel="0" collapsed="false">
      <c r="A68" s="136"/>
      <c r="B68" s="51"/>
      <c r="C68" s="51"/>
      <c r="D68" s="51"/>
      <c r="E68" s="158"/>
      <c r="F68" s="51"/>
      <c r="G68" s="158"/>
    </row>
  </sheetData>
  <mergeCells count="2">
    <mergeCell ref="A1:H1"/>
    <mergeCell ref="A2:H2"/>
  </mergeCells>
  <conditionalFormatting sqref="B9:F9">
    <cfRule type="cellIs" priority="2" operator="lessThan" aboveAverage="0" equalAverage="0" bottom="0" percent="0" rank="0" text="" dxfId="0">
      <formula>0</formula>
    </cfRule>
  </conditionalFormatting>
  <printOptions headings="false" gridLines="false" gridLinesSet="true" horizontalCentered="true" verticalCentered="false"/>
  <pageMargins left="0.4" right="0.4" top="0.4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City of Sealy · ESD #2 Development-Scenario Model&amp;R&amp;8 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21" activeCellId="0" sqref="G21"/>
    </sheetView>
  </sheetViews>
  <sheetFormatPr defaultColWidth="8.66796875" defaultRowHeight="14.25" customHeight="false" zeroHeight="false" outlineLevelRow="0" outlineLevelCol="0"/>
  <cols>
    <col collapsed="false" customWidth="true" hidden="false" outlineLevel="0" max="3" min="1" style="1" width="46"/>
    <col collapsed="false" customWidth="true" hidden="false" outlineLevel="0" max="4" min="4" style="1" width="34.56"/>
    <col collapsed="false" customWidth="true" hidden="false" outlineLevel="0" max="5" min="5" style="16" width="25.11"/>
    <col collapsed="false" customWidth="true" hidden="false" outlineLevel="0" max="6" min="6" style="1" width="8.34"/>
    <col collapsed="false" customWidth="true" hidden="false" outlineLevel="0" max="7" min="7" style="1" width="16.67"/>
    <col collapsed="false" customWidth="true" hidden="false" outlineLevel="0" max="8" min="8" style="1" width="14.56"/>
    <col collapsed="false" customWidth="true" hidden="false" outlineLevel="0" max="9" min="9" style="159" width="46"/>
  </cols>
  <sheetData>
    <row r="1" customFormat="false" ht="21.75" hidden="false" customHeight="true" outlineLevel="0" collapsed="false">
      <c r="A1" s="160" t="s">
        <v>319</v>
      </c>
      <c r="B1" s="160"/>
      <c r="C1" s="160"/>
      <c r="D1" s="160"/>
      <c r="E1" s="160"/>
      <c r="F1" s="160"/>
      <c r="G1" s="160"/>
      <c r="H1" s="160"/>
      <c r="I1" s="161"/>
    </row>
    <row r="2" customFormat="false" ht="14.25" hidden="false" customHeight="true" outlineLevel="0" collapsed="false">
      <c r="A2" s="161"/>
      <c r="B2" s="161"/>
      <c r="C2" s="161"/>
      <c r="D2" s="161"/>
      <c r="E2" s="161"/>
      <c r="F2" s="161"/>
      <c r="G2" s="161"/>
      <c r="H2" s="161"/>
      <c r="I2" s="161"/>
    </row>
    <row r="3" customFormat="false" ht="15" hidden="false" customHeight="true" outlineLevel="0" collapsed="false">
      <c r="A3" s="162" t="s">
        <v>320</v>
      </c>
      <c r="B3" s="162" t="s">
        <v>321</v>
      </c>
      <c r="C3" s="162" t="s">
        <v>322</v>
      </c>
      <c r="D3" s="162" t="s">
        <v>323</v>
      </c>
      <c r="E3" s="162" t="s">
        <v>324</v>
      </c>
      <c r="F3" s="162" t="s">
        <v>325</v>
      </c>
      <c r="G3" s="162" t="s">
        <v>326</v>
      </c>
      <c r="H3" s="162" t="s">
        <v>327</v>
      </c>
      <c r="I3" s="162" t="s">
        <v>328</v>
      </c>
    </row>
    <row r="4" s="166" customFormat="true" ht="14.25" hidden="false" customHeight="true" outlineLevel="0" collapsed="false">
      <c r="A4" s="163" t="s">
        <v>329</v>
      </c>
      <c r="B4" s="164" t="n">
        <f aca="false">'00_Inputs_Dashboard'!$B$20</f>
        <v>0.015</v>
      </c>
      <c r="C4" s="163" t="s">
        <v>330</v>
      </c>
      <c r="D4" s="163" t="s">
        <v>331</v>
      </c>
      <c r="E4" s="163" t="s">
        <v>332</v>
      </c>
      <c r="F4" s="163" t="s">
        <v>33</v>
      </c>
      <c r="G4" s="163" t="s">
        <v>33</v>
      </c>
      <c r="H4" s="163" t="s">
        <v>31</v>
      </c>
      <c r="I4" s="165" t="s">
        <v>333</v>
      </c>
    </row>
    <row r="5" s="166" customFormat="true" ht="14.25" hidden="false" customHeight="true" outlineLevel="0" collapsed="false">
      <c r="A5" s="163" t="s">
        <v>89</v>
      </c>
      <c r="B5" s="167" t="n">
        <f aca="false">'00_Inputs_Dashboard'!$B$11</f>
        <v>7937</v>
      </c>
      <c r="C5" s="163" t="s">
        <v>334</v>
      </c>
      <c r="D5" s="163" t="s">
        <v>331</v>
      </c>
      <c r="E5" s="163" t="s">
        <v>335</v>
      </c>
      <c r="F5" s="163" t="s">
        <v>33</v>
      </c>
      <c r="G5" s="163" t="s">
        <v>33</v>
      </c>
      <c r="H5" s="163" t="s">
        <v>33</v>
      </c>
      <c r="I5" s="165" t="s">
        <v>336</v>
      </c>
    </row>
    <row r="6" s="166" customFormat="true" ht="14.25" hidden="false" customHeight="true" outlineLevel="0" collapsed="false">
      <c r="A6" s="163" t="s">
        <v>90</v>
      </c>
      <c r="B6" s="164" t="n">
        <f aca="false">'00_Inputs_Dashboard'!$B$12</f>
        <v>0.032</v>
      </c>
      <c r="C6" s="163" t="s">
        <v>337</v>
      </c>
      <c r="D6" s="163" t="s">
        <v>331</v>
      </c>
      <c r="E6" s="163" t="s">
        <v>335</v>
      </c>
      <c r="F6" s="163" t="s">
        <v>31</v>
      </c>
      <c r="G6" s="163" t="s">
        <v>33</v>
      </c>
      <c r="H6" s="163" t="s">
        <v>33</v>
      </c>
      <c r="I6" s="165" t="s">
        <v>338</v>
      </c>
    </row>
    <row r="7" s="166" customFormat="true" ht="27" hidden="false" customHeight="true" outlineLevel="0" collapsed="false">
      <c r="A7" s="163" t="s">
        <v>339</v>
      </c>
      <c r="B7" s="168" t="n">
        <f aca="false">'00_Inputs_Dashboard'!$B$13</f>
        <v>3700000</v>
      </c>
      <c r="C7" s="163" t="s">
        <v>340</v>
      </c>
      <c r="D7" s="163" t="s">
        <v>331</v>
      </c>
      <c r="E7" s="163" t="s">
        <v>335</v>
      </c>
      <c r="F7" s="163" t="s">
        <v>31</v>
      </c>
      <c r="G7" s="163" t="s">
        <v>33</v>
      </c>
      <c r="H7" s="163" t="s">
        <v>31</v>
      </c>
      <c r="I7" s="165" t="s">
        <v>341</v>
      </c>
    </row>
    <row r="8" s="166" customFormat="true" ht="27" hidden="false" customHeight="true" outlineLevel="0" collapsed="false">
      <c r="A8" s="163" t="s">
        <v>92</v>
      </c>
      <c r="B8" s="164" t="n">
        <f aca="false">'00_Inputs_Dashboard'!$B$14</f>
        <v>0.065</v>
      </c>
      <c r="C8" s="163" t="s">
        <v>342</v>
      </c>
      <c r="D8" s="163" t="s">
        <v>331</v>
      </c>
      <c r="E8" s="163" t="s">
        <v>332</v>
      </c>
      <c r="F8" s="163" t="s">
        <v>31</v>
      </c>
      <c r="G8" s="163" t="s">
        <v>33</v>
      </c>
      <c r="H8" s="163" t="s">
        <v>33</v>
      </c>
      <c r="I8" s="165" t="s">
        <v>343</v>
      </c>
    </row>
    <row r="9" s="166" customFormat="true" ht="14.25" hidden="false" customHeight="true" outlineLevel="0" collapsed="false">
      <c r="A9" s="163" t="s">
        <v>344</v>
      </c>
      <c r="B9" s="169" t="n">
        <f aca="false">'00_Inputs_Dashboard'!$B$21</f>
        <v>0.0037731</v>
      </c>
      <c r="C9" s="163" t="s">
        <v>345</v>
      </c>
      <c r="D9" s="163" t="s">
        <v>331</v>
      </c>
      <c r="E9" s="163" t="s">
        <v>332</v>
      </c>
      <c r="F9" s="163" t="s">
        <v>33</v>
      </c>
      <c r="G9" s="163" t="s">
        <v>33</v>
      </c>
      <c r="H9" s="163" t="s">
        <v>33</v>
      </c>
      <c r="I9" s="165" t="s">
        <v>346</v>
      </c>
    </row>
    <row r="10" s="166" customFormat="true" ht="27" hidden="false" customHeight="true" outlineLevel="0" collapsed="false">
      <c r="A10" s="163" t="s">
        <v>347</v>
      </c>
      <c r="B10" s="169" t="n">
        <f aca="false">'00_Inputs_Dashboard'!$B$22</f>
        <v>0.000931</v>
      </c>
      <c r="C10" s="163" t="s">
        <v>348</v>
      </c>
      <c r="D10" s="163" t="s">
        <v>331</v>
      </c>
      <c r="E10" s="163" t="s">
        <v>349</v>
      </c>
      <c r="F10" s="163" t="s">
        <v>33</v>
      </c>
      <c r="G10" s="163" t="s">
        <v>33</v>
      </c>
      <c r="H10" s="163" t="s">
        <v>33</v>
      </c>
      <c r="I10" s="165" t="s">
        <v>350</v>
      </c>
    </row>
    <row r="11" s="166" customFormat="true" ht="14.25" hidden="false" customHeight="true" outlineLevel="0" collapsed="false">
      <c r="A11" s="163" t="s">
        <v>351</v>
      </c>
      <c r="B11" s="163" t="s">
        <v>352</v>
      </c>
      <c r="C11" s="163" t="s">
        <v>353</v>
      </c>
      <c r="D11" s="163" t="s">
        <v>331</v>
      </c>
      <c r="E11" s="163" t="s">
        <v>332</v>
      </c>
      <c r="F11" s="163" t="s">
        <v>33</v>
      </c>
      <c r="G11" s="163" t="s">
        <v>33</v>
      </c>
      <c r="H11" s="163" t="s">
        <v>33</v>
      </c>
      <c r="I11" s="165" t="s">
        <v>354</v>
      </c>
    </row>
    <row r="12" s="166" customFormat="true" ht="14.25" hidden="false" customHeight="true" outlineLevel="0" collapsed="false">
      <c r="A12" s="163" t="s">
        <v>355</v>
      </c>
      <c r="B12" s="163" t="s">
        <v>356</v>
      </c>
      <c r="C12" s="163" t="s">
        <v>357</v>
      </c>
      <c r="D12" s="163" t="s">
        <v>331</v>
      </c>
      <c r="E12" s="163" t="s">
        <v>332</v>
      </c>
      <c r="F12" s="163" t="s">
        <v>33</v>
      </c>
      <c r="G12" s="163" t="s">
        <v>33</v>
      </c>
      <c r="H12" s="163" t="s">
        <v>33</v>
      </c>
      <c r="I12" s="165" t="s">
        <v>358</v>
      </c>
    </row>
    <row r="13" s="166" customFormat="true" ht="27" hidden="false" customHeight="true" outlineLevel="0" collapsed="false">
      <c r="A13" s="163" t="s">
        <v>359</v>
      </c>
      <c r="B13" s="163" t="s">
        <v>360</v>
      </c>
      <c r="C13" s="163" t="s">
        <v>361</v>
      </c>
      <c r="D13" s="163" t="s">
        <v>331</v>
      </c>
      <c r="E13" s="163" t="s">
        <v>332</v>
      </c>
      <c r="F13" s="163" t="s">
        <v>33</v>
      </c>
      <c r="G13" s="163" t="s">
        <v>33</v>
      </c>
      <c r="H13" s="163" t="s">
        <v>33</v>
      </c>
      <c r="I13" s="165" t="s">
        <v>362</v>
      </c>
    </row>
    <row r="14" s="166" customFormat="true" ht="14.25" hidden="false" customHeight="true" outlineLevel="0" collapsed="false">
      <c r="A14" s="163" t="s">
        <v>363</v>
      </c>
      <c r="B14" s="163" t="s">
        <v>364</v>
      </c>
      <c r="C14" s="163" t="s">
        <v>365</v>
      </c>
      <c r="D14" s="163" t="s">
        <v>331</v>
      </c>
      <c r="E14" s="163" t="s">
        <v>332</v>
      </c>
      <c r="F14" s="163" t="s">
        <v>33</v>
      </c>
      <c r="G14" s="163" t="s">
        <v>33</v>
      </c>
      <c r="H14" s="163" t="s">
        <v>33</v>
      </c>
      <c r="I14" s="165" t="s">
        <v>366</v>
      </c>
    </row>
    <row r="15" s="166" customFormat="true" ht="27" hidden="false" customHeight="true" outlineLevel="0" collapsed="false">
      <c r="A15" s="163" t="s">
        <v>367</v>
      </c>
      <c r="B15" s="163" t="s">
        <v>368</v>
      </c>
      <c r="C15" s="163" t="s">
        <v>369</v>
      </c>
      <c r="D15" s="163" t="s">
        <v>331</v>
      </c>
      <c r="E15" s="163" t="s">
        <v>332</v>
      </c>
      <c r="F15" s="163" t="s">
        <v>33</v>
      </c>
      <c r="G15" s="163" t="s">
        <v>33</v>
      </c>
      <c r="H15" s="163" t="s">
        <v>33</v>
      </c>
      <c r="I15" s="165" t="s">
        <v>370</v>
      </c>
    </row>
    <row r="16" s="166" customFormat="true" ht="41.25" hidden="false" customHeight="true" outlineLevel="0" collapsed="false">
      <c r="A16" s="163" t="s">
        <v>371</v>
      </c>
      <c r="B16" s="163" t="s">
        <v>372</v>
      </c>
      <c r="C16" s="163" t="s">
        <v>373</v>
      </c>
      <c r="D16" s="163" t="s">
        <v>331</v>
      </c>
      <c r="E16" s="163" t="s">
        <v>332</v>
      </c>
      <c r="F16" s="163" t="s">
        <v>33</v>
      </c>
      <c r="G16" s="163" t="s">
        <v>33</v>
      </c>
      <c r="H16" s="163" t="s">
        <v>33</v>
      </c>
      <c r="I16" s="165" t="s">
        <v>374</v>
      </c>
    </row>
    <row r="17" s="166" customFormat="true" ht="14.25" hidden="false" customHeight="true" outlineLevel="0" collapsed="false">
      <c r="A17" s="163" t="s">
        <v>375</v>
      </c>
      <c r="B17" s="163" t="s">
        <v>376</v>
      </c>
      <c r="C17" s="163" t="s">
        <v>377</v>
      </c>
      <c r="D17" s="163" t="s">
        <v>331</v>
      </c>
      <c r="E17" s="163" t="s">
        <v>332</v>
      </c>
      <c r="F17" s="163" t="s">
        <v>33</v>
      </c>
      <c r="G17" s="163" t="s">
        <v>33</v>
      </c>
      <c r="H17" s="163" t="s">
        <v>33</v>
      </c>
      <c r="I17" s="165" t="s">
        <v>378</v>
      </c>
    </row>
    <row r="18" s="166" customFormat="true" ht="14.25" hidden="false" customHeight="true" outlineLevel="0" collapsed="false">
      <c r="A18" s="163" t="s">
        <v>379</v>
      </c>
      <c r="B18" s="163" t="s">
        <v>380</v>
      </c>
      <c r="C18" s="163" t="s">
        <v>381</v>
      </c>
      <c r="D18" s="163" t="s">
        <v>331</v>
      </c>
      <c r="E18" s="163" t="s">
        <v>332</v>
      </c>
      <c r="F18" s="163" t="s">
        <v>33</v>
      </c>
      <c r="G18" s="163" t="s">
        <v>33</v>
      </c>
      <c r="H18" s="163" t="s">
        <v>33</v>
      </c>
      <c r="I18" s="165" t="s">
        <v>382</v>
      </c>
    </row>
    <row r="19" s="166" customFormat="true" ht="27" hidden="false" customHeight="true" outlineLevel="0" collapsed="false">
      <c r="A19" s="163" t="s">
        <v>383</v>
      </c>
      <c r="B19" s="163" t="s">
        <v>384</v>
      </c>
      <c r="C19" s="163" t="s">
        <v>385</v>
      </c>
      <c r="D19" s="163" t="s">
        <v>386</v>
      </c>
      <c r="E19" s="163" t="s">
        <v>335</v>
      </c>
      <c r="F19" s="163" t="s">
        <v>33</v>
      </c>
      <c r="G19" s="163" t="s">
        <v>33</v>
      </c>
      <c r="H19" s="163" t="s">
        <v>33</v>
      </c>
      <c r="I19" s="165" t="s">
        <v>387</v>
      </c>
    </row>
    <row r="20" s="166" customFormat="true" ht="14.25" hidden="false" customHeight="true" outlineLevel="0" collapsed="false">
      <c r="A20" s="163" t="s">
        <v>388</v>
      </c>
      <c r="B20" s="163" t="s">
        <v>389</v>
      </c>
      <c r="C20" s="163" t="s">
        <v>390</v>
      </c>
      <c r="D20" s="163" t="s">
        <v>386</v>
      </c>
      <c r="E20" s="163" t="s">
        <v>335</v>
      </c>
      <c r="F20" s="163" t="s">
        <v>33</v>
      </c>
      <c r="G20" s="163" t="s">
        <v>33</v>
      </c>
      <c r="H20" s="163" t="s">
        <v>33</v>
      </c>
      <c r="I20" s="165" t="s">
        <v>391</v>
      </c>
    </row>
    <row r="21" s="166" customFormat="true" ht="14.25" hidden="false" customHeight="true" outlineLevel="0" collapsed="false">
      <c r="A21" s="163" t="s">
        <v>392</v>
      </c>
      <c r="B21" s="170" t="n">
        <f aca="false">'00_Inputs_Dashboard'!$B$6</f>
        <v>0</v>
      </c>
      <c r="C21" s="163" t="s">
        <v>393</v>
      </c>
      <c r="D21" s="163" t="s">
        <v>394</v>
      </c>
      <c r="E21" s="163" t="s">
        <v>332</v>
      </c>
      <c r="F21" s="163" t="s">
        <v>31</v>
      </c>
      <c r="G21" s="163" t="s">
        <v>31</v>
      </c>
      <c r="H21" s="163" t="s">
        <v>33</v>
      </c>
      <c r="I21" s="165" t="s">
        <v>395</v>
      </c>
    </row>
    <row r="22" s="166" customFormat="true" ht="14.25" hidden="false" customHeight="true" outlineLevel="0" collapsed="false">
      <c r="A22" s="163" t="s">
        <v>396</v>
      </c>
      <c r="B22" s="170" t="n">
        <f aca="false">'00_Inputs_Dashboard'!$B$16</f>
        <v>0.8</v>
      </c>
      <c r="C22" s="163" t="s">
        <v>397</v>
      </c>
      <c r="D22" s="163" t="s">
        <v>394</v>
      </c>
      <c r="E22" s="163" t="s">
        <v>332</v>
      </c>
      <c r="F22" s="163" t="s">
        <v>31</v>
      </c>
      <c r="G22" s="163" t="s">
        <v>33</v>
      </c>
      <c r="H22" s="163" t="s">
        <v>33</v>
      </c>
      <c r="I22" s="165" t="s">
        <v>398</v>
      </c>
    </row>
    <row r="23" s="166" customFormat="true" ht="14.25" hidden="false" customHeight="true" outlineLevel="0" collapsed="false">
      <c r="A23" s="163" t="s">
        <v>399</v>
      </c>
      <c r="B23" s="164" t="n">
        <f aca="false">'00_Inputs_Dashboard'!$B$25</f>
        <v>0.025</v>
      </c>
      <c r="C23" s="163" t="s">
        <v>400</v>
      </c>
      <c r="D23" s="163" t="s">
        <v>394</v>
      </c>
      <c r="E23" s="163" t="s">
        <v>332</v>
      </c>
      <c r="F23" s="163" t="s">
        <v>31</v>
      </c>
      <c r="G23" s="163" t="s">
        <v>33</v>
      </c>
      <c r="H23" s="163" t="s">
        <v>33</v>
      </c>
      <c r="I23" s="165" t="s">
        <v>401</v>
      </c>
    </row>
    <row r="24" s="166" customFormat="true" ht="14.25" hidden="false" customHeight="true" outlineLevel="0" collapsed="false">
      <c r="A24" s="163" t="s">
        <v>402</v>
      </c>
      <c r="B24" s="164" t="n">
        <f aca="false">'00_Inputs_Dashboard'!$B$26</f>
        <v>0.025</v>
      </c>
      <c r="C24" s="163" t="s">
        <v>403</v>
      </c>
      <c r="D24" s="163" t="s">
        <v>394</v>
      </c>
      <c r="E24" s="163" t="s">
        <v>332</v>
      </c>
      <c r="F24" s="163" t="s">
        <v>33</v>
      </c>
      <c r="G24" s="163" t="s">
        <v>33</v>
      </c>
      <c r="H24" s="163" t="s">
        <v>33</v>
      </c>
      <c r="I24" s="165" t="s">
        <v>404</v>
      </c>
    </row>
    <row r="25" s="166" customFormat="true" ht="14.25" hidden="false" customHeight="true" outlineLevel="0" collapsed="false">
      <c r="A25" s="163" t="s">
        <v>405</v>
      </c>
      <c r="B25" s="168" t="n">
        <f aca="false">'00_Inputs_Dashboard'!$B$34</f>
        <v>6000</v>
      </c>
      <c r="C25" s="163" t="s">
        <v>406</v>
      </c>
      <c r="D25" s="163" t="s">
        <v>394</v>
      </c>
      <c r="E25" s="163" t="s">
        <v>332</v>
      </c>
      <c r="F25" s="163" t="s">
        <v>31</v>
      </c>
      <c r="G25" s="163" t="s">
        <v>33</v>
      </c>
      <c r="H25" s="163" t="s">
        <v>33</v>
      </c>
      <c r="I25" s="165" t="s">
        <v>407</v>
      </c>
    </row>
    <row r="26" s="166" customFormat="true" ht="20.25" hidden="false" customHeight="true" outlineLevel="0" collapsed="false">
      <c r="A26" s="163" t="s">
        <v>408</v>
      </c>
      <c r="B26" s="170" t="n">
        <f aca="false">'00_Inputs_Dashboard'!$B$35</f>
        <v>0.7</v>
      </c>
      <c r="C26" s="163" t="s">
        <v>409</v>
      </c>
      <c r="D26" s="163" t="s">
        <v>394</v>
      </c>
      <c r="E26" s="163" t="s">
        <v>332</v>
      </c>
      <c r="F26" s="163" t="s">
        <v>31</v>
      </c>
      <c r="G26" s="163" t="s">
        <v>31</v>
      </c>
      <c r="H26" s="163" t="s">
        <v>31</v>
      </c>
      <c r="I26" s="165" t="s">
        <v>410</v>
      </c>
    </row>
    <row r="27" s="166" customFormat="true" ht="14.25" hidden="false" customHeight="true" outlineLevel="0" collapsed="false">
      <c r="A27" s="163" t="s">
        <v>411</v>
      </c>
      <c r="B27" s="170" t="n">
        <f aca="false">'00_Inputs_Dashboard'!$B$36</f>
        <v>0.75</v>
      </c>
      <c r="C27" s="163" t="s">
        <v>412</v>
      </c>
      <c r="D27" s="163" t="s">
        <v>394</v>
      </c>
      <c r="E27" s="163" t="s">
        <v>332</v>
      </c>
      <c r="F27" s="163" t="s">
        <v>31</v>
      </c>
      <c r="G27" s="163" t="s">
        <v>33</v>
      </c>
      <c r="H27" s="163" t="s">
        <v>31</v>
      </c>
      <c r="I27" s="165" t="s">
        <v>413</v>
      </c>
    </row>
    <row r="28" s="166" customFormat="true" ht="14.25" hidden="false" customHeight="true" outlineLevel="0" collapsed="false">
      <c r="A28" s="163" t="s">
        <v>414</v>
      </c>
      <c r="B28" s="164" t="n">
        <f aca="false">'00_Inputs_Dashboard'!$B$37</f>
        <v>0.04</v>
      </c>
      <c r="C28" s="163" t="s">
        <v>415</v>
      </c>
      <c r="D28" s="163" t="s">
        <v>394</v>
      </c>
      <c r="E28" s="163" t="s">
        <v>332</v>
      </c>
      <c r="F28" s="163" t="s">
        <v>31</v>
      </c>
      <c r="G28" s="163" t="s">
        <v>33</v>
      </c>
      <c r="H28" s="163" t="s">
        <v>33</v>
      </c>
      <c r="I28" s="165" t="s">
        <v>416</v>
      </c>
    </row>
    <row r="29" s="166" customFormat="true" ht="28.5" hidden="false" customHeight="true" outlineLevel="0" collapsed="false">
      <c r="A29" s="171" t="s">
        <v>417</v>
      </c>
      <c r="B29" s="171" t="s">
        <v>418</v>
      </c>
      <c r="C29" s="171" t="s">
        <v>419</v>
      </c>
      <c r="D29" s="171" t="s">
        <v>394</v>
      </c>
      <c r="E29" s="171" t="s">
        <v>349</v>
      </c>
      <c r="F29" s="171" t="s">
        <v>31</v>
      </c>
      <c r="G29" s="171" t="s">
        <v>33</v>
      </c>
      <c r="H29" s="171" t="s">
        <v>33</v>
      </c>
      <c r="I29" s="172" t="s">
        <v>420</v>
      </c>
    </row>
    <row r="30" s="166" customFormat="true" ht="28.5" hidden="false" customHeight="true" outlineLevel="0" collapsed="false">
      <c r="A30" s="171" t="s">
        <v>421</v>
      </c>
      <c r="B30" s="171" t="s">
        <v>418</v>
      </c>
      <c r="C30" s="171" t="s">
        <v>422</v>
      </c>
      <c r="D30" s="171" t="s">
        <v>394</v>
      </c>
      <c r="E30" s="171" t="s">
        <v>349</v>
      </c>
      <c r="F30" s="171" t="s">
        <v>31</v>
      </c>
      <c r="G30" s="171" t="s">
        <v>33</v>
      </c>
      <c r="H30" s="171" t="s">
        <v>33</v>
      </c>
      <c r="I30" s="172" t="s">
        <v>423</v>
      </c>
    </row>
    <row r="31" s="166" customFormat="true" ht="14.25" hidden="false" customHeight="true" outlineLevel="0" collapsed="false">
      <c r="A31" s="163" t="s">
        <v>424</v>
      </c>
      <c r="B31" s="164" t="n">
        <f aca="false">'00_Inputs_Dashboard'!$B$15</f>
        <v>0.06</v>
      </c>
      <c r="C31" s="163" t="s">
        <v>425</v>
      </c>
      <c r="D31" s="163" t="s">
        <v>426</v>
      </c>
      <c r="E31" s="163" t="s">
        <v>332</v>
      </c>
      <c r="F31" s="163" t="s">
        <v>31</v>
      </c>
      <c r="G31" s="163" t="s">
        <v>33</v>
      </c>
      <c r="H31" s="163" t="s">
        <v>33</v>
      </c>
      <c r="I31" s="165" t="s">
        <v>427</v>
      </c>
    </row>
    <row r="32" s="166" customFormat="true" ht="14.25" hidden="false" customHeight="true" outlineLevel="0" collapsed="false">
      <c r="A32" s="163" t="s">
        <v>428</v>
      </c>
      <c r="B32" s="164" t="n">
        <f aca="false">'00_Inputs_Dashboard'!$B$23</f>
        <v>0.025</v>
      </c>
      <c r="C32" s="163" t="s">
        <v>429</v>
      </c>
      <c r="D32" s="163" t="s">
        <v>426</v>
      </c>
      <c r="E32" s="163" t="s">
        <v>332</v>
      </c>
      <c r="F32" s="163" t="s">
        <v>31</v>
      </c>
      <c r="G32" s="163" t="s">
        <v>33</v>
      </c>
      <c r="H32" s="163" t="s">
        <v>33</v>
      </c>
      <c r="I32" s="165" t="s">
        <v>430</v>
      </c>
    </row>
    <row r="33" s="166" customFormat="true" ht="14.25" hidden="false" customHeight="true" outlineLevel="0" collapsed="false">
      <c r="A33" s="163" t="s">
        <v>431</v>
      </c>
      <c r="B33" s="164" t="n">
        <f aca="false">'00_Inputs_Dashboard'!$B$24</f>
        <v>0.045</v>
      </c>
      <c r="C33" s="163" t="s">
        <v>432</v>
      </c>
      <c r="D33" s="163" t="s">
        <v>426</v>
      </c>
      <c r="E33" s="163" t="s">
        <v>332</v>
      </c>
      <c r="F33" s="163" t="s">
        <v>31</v>
      </c>
      <c r="G33" s="163" t="s">
        <v>33</v>
      </c>
      <c r="H33" s="163" t="s">
        <v>33</v>
      </c>
      <c r="I33" s="165" t="s">
        <v>433</v>
      </c>
    </row>
    <row r="34" s="166" customFormat="true" ht="14.25" hidden="false" customHeight="true" outlineLevel="0" collapsed="false">
      <c r="A34" s="163" t="s">
        <v>102</v>
      </c>
      <c r="B34" s="170" t="n">
        <f aca="false">'00_Inputs_Dashboard'!$B$30</f>
        <v>0.95</v>
      </c>
      <c r="C34" s="163" t="s">
        <v>434</v>
      </c>
      <c r="D34" s="163" t="s">
        <v>426</v>
      </c>
      <c r="E34" s="163" t="s">
        <v>332</v>
      </c>
      <c r="F34" s="163" t="s">
        <v>31</v>
      </c>
      <c r="G34" s="163" t="s">
        <v>33</v>
      </c>
      <c r="H34" s="163" t="s">
        <v>33</v>
      </c>
      <c r="I34" s="165" t="s">
        <v>435</v>
      </c>
    </row>
    <row r="35" s="166" customFormat="true" ht="14.25" hidden="false" customHeight="true" outlineLevel="0" collapsed="false">
      <c r="A35" s="163" t="s">
        <v>103</v>
      </c>
      <c r="B35" s="170" t="n">
        <f aca="false">'00_Inputs_Dashboard'!$B$31</f>
        <v>0.92</v>
      </c>
      <c r="C35" s="163" t="s">
        <v>436</v>
      </c>
      <c r="D35" s="163" t="s">
        <v>426</v>
      </c>
      <c r="E35" s="163" t="s">
        <v>332</v>
      </c>
      <c r="F35" s="163" t="s">
        <v>31</v>
      </c>
      <c r="G35" s="163" t="s">
        <v>33</v>
      </c>
      <c r="H35" s="163" t="s">
        <v>33</v>
      </c>
      <c r="I35" s="165" t="s">
        <v>437</v>
      </c>
    </row>
    <row r="36" s="166" customFormat="true" ht="14.25" hidden="false" customHeight="true" outlineLevel="0" collapsed="false">
      <c r="A36" s="163" t="s">
        <v>104</v>
      </c>
      <c r="B36" s="173" t="n">
        <f aca="false">'00_Inputs_Dashboard'!$B$32</f>
        <v>2.7</v>
      </c>
      <c r="C36" s="163" t="s">
        <v>438</v>
      </c>
      <c r="D36" s="163" t="s">
        <v>426</v>
      </c>
      <c r="E36" s="163" t="s">
        <v>332</v>
      </c>
      <c r="F36" s="163" t="s">
        <v>33</v>
      </c>
      <c r="G36" s="163" t="s">
        <v>33</v>
      </c>
      <c r="H36" s="163" t="s">
        <v>33</v>
      </c>
      <c r="I36" s="165" t="s">
        <v>439</v>
      </c>
    </row>
    <row r="37" s="166" customFormat="true" ht="14.25" hidden="false" customHeight="true" outlineLevel="0" collapsed="false">
      <c r="A37" s="163" t="s">
        <v>105</v>
      </c>
      <c r="B37" s="173" t="n">
        <f aca="false">'00_Inputs_Dashboard'!$B$33</f>
        <v>2.1</v>
      </c>
      <c r="C37" s="163" t="s">
        <v>440</v>
      </c>
      <c r="D37" s="163" t="s">
        <v>426</v>
      </c>
      <c r="E37" s="163" t="s">
        <v>332</v>
      </c>
      <c r="F37" s="163" t="s">
        <v>33</v>
      </c>
      <c r="G37" s="163" t="s">
        <v>33</v>
      </c>
      <c r="H37" s="163" t="s">
        <v>33</v>
      </c>
      <c r="I37" s="165" t="s">
        <v>441</v>
      </c>
    </row>
    <row r="38" s="166" customFormat="true" ht="14.25" hidden="false" customHeight="true" outlineLevel="0" collapsed="false">
      <c r="A38" s="163" t="s">
        <v>442</v>
      </c>
      <c r="B38" s="163" t="s">
        <v>443</v>
      </c>
      <c r="C38" s="163" t="s">
        <v>444</v>
      </c>
      <c r="D38" s="163" t="s">
        <v>426</v>
      </c>
      <c r="E38" s="163" t="s">
        <v>332</v>
      </c>
      <c r="F38" s="163" t="s">
        <v>31</v>
      </c>
      <c r="G38" s="163" t="s">
        <v>33</v>
      </c>
      <c r="H38" s="163" t="s">
        <v>33</v>
      </c>
      <c r="I38" s="165" t="s">
        <v>445</v>
      </c>
    </row>
    <row r="39" s="166" customFormat="true" ht="41.25" hidden="false" customHeight="true" outlineLevel="0" collapsed="false">
      <c r="A39" s="163" t="s">
        <v>446</v>
      </c>
      <c r="B39" s="163" t="s">
        <v>447</v>
      </c>
      <c r="C39" s="163" t="s">
        <v>448</v>
      </c>
      <c r="D39" s="163" t="s">
        <v>449</v>
      </c>
      <c r="E39" s="163" t="s">
        <v>335</v>
      </c>
      <c r="F39" s="163" t="s">
        <v>31</v>
      </c>
      <c r="G39" s="163" t="s">
        <v>33</v>
      </c>
      <c r="H39" s="163" t="s">
        <v>33</v>
      </c>
      <c r="I39" s="165" t="s">
        <v>450</v>
      </c>
    </row>
    <row r="40" s="166" customFormat="true" ht="14.25" hidden="false" customHeight="true" outlineLevel="0" collapsed="false">
      <c r="A40" s="163" t="s">
        <v>451</v>
      </c>
      <c r="B40" s="170"/>
      <c r="C40" s="163" t="s">
        <v>452</v>
      </c>
      <c r="D40" s="163" t="s">
        <v>453</v>
      </c>
      <c r="E40" s="163" t="s">
        <v>332</v>
      </c>
      <c r="F40" s="163" t="s">
        <v>33</v>
      </c>
      <c r="G40" s="163" t="s">
        <v>33</v>
      </c>
      <c r="H40" s="163" t="s">
        <v>33</v>
      </c>
      <c r="I40" s="165" t="s">
        <v>454</v>
      </c>
    </row>
    <row r="41" s="166" customFormat="true" ht="14.25" hidden="false" customHeight="true" outlineLevel="0" collapsed="false">
      <c r="A41" s="163" t="s">
        <v>455</v>
      </c>
      <c r="B41" s="170"/>
      <c r="C41" s="163" t="s">
        <v>456</v>
      </c>
      <c r="D41" s="163" t="s">
        <v>453</v>
      </c>
      <c r="E41" s="163" t="s">
        <v>332</v>
      </c>
      <c r="F41" s="163" t="s">
        <v>33</v>
      </c>
      <c r="G41" s="163" t="s">
        <v>33</v>
      </c>
      <c r="H41" s="163" t="s">
        <v>33</v>
      </c>
      <c r="I41" s="165" t="s">
        <v>454</v>
      </c>
    </row>
    <row r="42" s="166" customFormat="true" ht="14.25" hidden="false" customHeight="true" outlineLevel="0" collapsed="false">
      <c r="A42" s="163" t="s">
        <v>457</v>
      </c>
      <c r="B42" s="174" t="n">
        <f aca="false">'00_Inputs_Dashboard'!$B$27</f>
        <v>0</v>
      </c>
      <c r="C42" s="163" t="s">
        <v>458</v>
      </c>
      <c r="D42" s="163" t="s">
        <v>453</v>
      </c>
      <c r="E42" s="163" t="s">
        <v>332</v>
      </c>
      <c r="F42" s="163" t="s">
        <v>31</v>
      </c>
      <c r="G42" s="163" t="s">
        <v>33</v>
      </c>
      <c r="H42" s="163" t="s">
        <v>33</v>
      </c>
      <c r="I42" s="165" t="s">
        <v>459</v>
      </c>
    </row>
    <row r="43" s="166" customFormat="true" ht="14.25" hidden="false" customHeight="true" outlineLevel="0" collapsed="false">
      <c r="A43" s="163" t="s">
        <v>460</v>
      </c>
      <c r="B43" s="174" t="n">
        <f aca="false">'00_Inputs_Dashboard'!$B$38</f>
        <v>1</v>
      </c>
      <c r="C43" s="163" t="s">
        <v>461</v>
      </c>
      <c r="D43" s="163" t="s">
        <v>453</v>
      </c>
      <c r="E43" s="163" t="s">
        <v>332</v>
      </c>
      <c r="F43" s="163" t="s">
        <v>33</v>
      </c>
      <c r="G43" s="163" t="s">
        <v>33</v>
      </c>
      <c r="H43" s="163" t="s">
        <v>33</v>
      </c>
      <c r="I43" s="165" t="s">
        <v>459</v>
      </c>
    </row>
    <row r="44" s="166" customFormat="true" ht="41.25" hidden="false" customHeight="true" outlineLevel="0" collapsed="false">
      <c r="A44" s="175" t="s">
        <v>462</v>
      </c>
      <c r="B44" s="175" t="s">
        <v>463</v>
      </c>
      <c r="C44" s="175" t="s">
        <v>464</v>
      </c>
      <c r="D44" s="175" t="s">
        <v>453</v>
      </c>
      <c r="E44" s="175" t="s">
        <v>332</v>
      </c>
      <c r="F44" s="175" t="s">
        <v>31</v>
      </c>
      <c r="G44" s="175" t="s">
        <v>33</v>
      </c>
      <c r="H44" s="175" t="s">
        <v>33</v>
      </c>
      <c r="I44" s="176" t="s">
        <v>465</v>
      </c>
    </row>
    <row r="45" s="166" customFormat="true" ht="27" hidden="false" customHeight="true" outlineLevel="0" collapsed="false">
      <c r="A45" s="175" t="s">
        <v>466</v>
      </c>
      <c r="B45" s="175" t="s">
        <v>467</v>
      </c>
      <c r="C45" s="175" t="s">
        <v>468</v>
      </c>
      <c r="D45" s="175" t="s">
        <v>453</v>
      </c>
      <c r="E45" s="175" t="s">
        <v>332</v>
      </c>
      <c r="F45" s="175" t="s">
        <v>33</v>
      </c>
      <c r="G45" s="175" t="s">
        <v>31</v>
      </c>
      <c r="H45" s="175" t="s">
        <v>33</v>
      </c>
      <c r="I45" s="176" t="s">
        <v>469</v>
      </c>
    </row>
    <row r="46" customFormat="false" ht="14.25" hidden="false" customHeight="true" outlineLevel="0" collapsed="false">
      <c r="A46" s="161"/>
      <c r="B46" s="161"/>
      <c r="C46" s="161"/>
      <c r="D46" s="161"/>
      <c r="E46" s="161"/>
      <c r="F46" s="161"/>
      <c r="G46" s="161"/>
      <c r="H46" s="161"/>
      <c r="I46" s="161"/>
    </row>
    <row r="47" customFormat="false" ht="14.25" hidden="false" customHeight="true" outlineLevel="0" collapsed="false">
      <c r="A47" s="177" t="s">
        <v>470</v>
      </c>
      <c r="B47" s="161"/>
      <c r="C47" s="161"/>
      <c r="D47" s="161"/>
      <c r="E47" s="161"/>
      <c r="F47" s="161"/>
      <c r="G47" s="161"/>
      <c r="H47" s="161"/>
      <c r="I47" s="161"/>
    </row>
    <row r="48" s="90" customFormat="true" ht="41.25" hidden="false" customHeight="true" outlineLevel="0" collapsed="false">
      <c r="A48" s="175" t="s">
        <v>471</v>
      </c>
      <c r="B48" s="175" t="s">
        <v>472</v>
      </c>
      <c r="C48" s="175" t="s">
        <v>473</v>
      </c>
      <c r="D48" s="175" t="s">
        <v>474</v>
      </c>
      <c r="E48" s="175" t="s">
        <v>475</v>
      </c>
      <c r="F48" s="175" t="s">
        <v>33</v>
      </c>
      <c r="G48" s="175" t="s">
        <v>33</v>
      </c>
      <c r="H48" s="175" t="s">
        <v>33</v>
      </c>
      <c r="I48" s="175" t="s">
        <v>476</v>
      </c>
    </row>
    <row r="49" s="90" customFormat="true" ht="27" hidden="false" customHeight="true" outlineLevel="0" collapsed="false">
      <c r="A49" s="175" t="s">
        <v>477</v>
      </c>
      <c r="B49" s="175" t="s">
        <v>478</v>
      </c>
      <c r="C49" s="175" t="s">
        <v>479</v>
      </c>
      <c r="D49" s="175" t="s">
        <v>474</v>
      </c>
      <c r="E49" s="175" t="s">
        <v>475</v>
      </c>
      <c r="F49" s="175" t="s">
        <v>33</v>
      </c>
      <c r="G49" s="175" t="s">
        <v>33</v>
      </c>
      <c r="H49" s="175" t="s">
        <v>33</v>
      </c>
      <c r="I49" s="175" t="s">
        <v>480</v>
      </c>
    </row>
    <row r="50" s="90" customFormat="true" ht="54.75" hidden="false" customHeight="true" outlineLevel="0" collapsed="false">
      <c r="A50" s="175" t="s">
        <v>481</v>
      </c>
      <c r="B50" s="175" t="s">
        <v>482</v>
      </c>
      <c r="C50" s="175" t="s">
        <v>483</v>
      </c>
      <c r="D50" s="175" t="s">
        <v>474</v>
      </c>
      <c r="E50" s="175" t="s">
        <v>475</v>
      </c>
      <c r="F50" s="175" t="s">
        <v>33</v>
      </c>
      <c r="G50" s="175" t="s">
        <v>33</v>
      </c>
      <c r="H50" s="175" t="s">
        <v>33</v>
      </c>
      <c r="I50" s="175" t="s">
        <v>484</v>
      </c>
    </row>
    <row r="51" s="90" customFormat="true" ht="41.25" hidden="false" customHeight="true" outlineLevel="0" collapsed="false">
      <c r="A51" s="175" t="s">
        <v>485</v>
      </c>
      <c r="B51" s="175" t="s">
        <v>486</v>
      </c>
      <c r="C51" s="175" t="s">
        <v>487</v>
      </c>
      <c r="D51" s="175" t="s">
        <v>474</v>
      </c>
      <c r="E51" s="175" t="s">
        <v>475</v>
      </c>
      <c r="F51" s="175" t="s">
        <v>33</v>
      </c>
      <c r="G51" s="175" t="s">
        <v>33</v>
      </c>
      <c r="H51" s="175" t="s">
        <v>33</v>
      </c>
      <c r="I51" s="175" t="s">
        <v>488</v>
      </c>
    </row>
    <row r="52" s="90" customFormat="true" ht="41.25" hidden="false" customHeight="true" outlineLevel="0" collapsed="false">
      <c r="A52" s="175" t="s">
        <v>489</v>
      </c>
      <c r="B52" s="175" t="s">
        <v>490</v>
      </c>
      <c r="C52" s="175" t="s">
        <v>491</v>
      </c>
      <c r="D52" s="175" t="s">
        <v>474</v>
      </c>
      <c r="E52" s="175" t="s">
        <v>475</v>
      </c>
      <c r="F52" s="175" t="s">
        <v>33</v>
      </c>
      <c r="G52" s="175" t="s">
        <v>33</v>
      </c>
      <c r="H52" s="175" t="s">
        <v>33</v>
      </c>
      <c r="I52" s="175" t="s">
        <v>492</v>
      </c>
    </row>
    <row r="53" s="90" customFormat="true" ht="41.25" hidden="false" customHeight="true" outlineLevel="0" collapsed="false">
      <c r="A53" s="175" t="s">
        <v>493</v>
      </c>
      <c r="B53" s="175" t="s">
        <v>494</v>
      </c>
      <c r="C53" s="175" t="s">
        <v>495</v>
      </c>
      <c r="D53" s="175" t="s">
        <v>474</v>
      </c>
      <c r="E53" s="175" t="s">
        <v>475</v>
      </c>
      <c r="F53" s="175" t="s">
        <v>33</v>
      </c>
      <c r="G53" s="175" t="s">
        <v>33</v>
      </c>
      <c r="H53" s="175" t="s">
        <v>33</v>
      </c>
      <c r="I53" s="175" t="s">
        <v>496</v>
      </c>
    </row>
    <row r="54" s="90" customFormat="true" ht="54.75" hidden="false" customHeight="true" outlineLevel="0" collapsed="false">
      <c r="A54" s="175" t="s">
        <v>497</v>
      </c>
      <c r="B54" s="175" t="s">
        <v>498</v>
      </c>
      <c r="C54" s="175" t="s">
        <v>499</v>
      </c>
      <c r="D54" s="175" t="s">
        <v>500</v>
      </c>
      <c r="E54" s="175" t="s">
        <v>475</v>
      </c>
      <c r="F54" s="175" t="s">
        <v>33</v>
      </c>
      <c r="G54" s="175" t="s">
        <v>33</v>
      </c>
      <c r="H54" s="175" t="s">
        <v>33</v>
      </c>
      <c r="I54" s="175" t="s">
        <v>501</v>
      </c>
    </row>
    <row r="55" s="90" customFormat="true" ht="69" hidden="false" customHeight="true" outlineLevel="0" collapsed="false">
      <c r="A55" s="175" t="s">
        <v>502</v>
      </c>
      <c r="B55" s="175" t="s">
        <v>503</v>
      </c>
      <c r="C55" s="175" t="s">
        <v>504</v>
      </c>
      <c r="D55" s="175" t="s">
        <v>474</v>
      </c>
      <c r="E55" s="175" t="s">
        <v>475</v>
      </c>
      <c r="F55" s="175" t="s">
        <v>33</v>
      </c>
      <c r="G55" s="175" t="s">
        <v>33</v>
      </c>
      <c r="H55" s="175" t="s">
        <v>33</v>
      </c>
      <c r="I55" s="175" t="s">
        <v>505</v>
      </c>
    </row>
    <row r="56" s="90" customFormat="true" ht="27" hidden="false" customHeight="true" outlineLevel="0" collapsed="false">
      <c r="A56" s="175" t="s">
        <v>506</v>
      </c>
      <c r="B56" s="175" t="s">
        <v>507</v>
      </c>
      <c r="C56" s="175" t="s">
        <v>508</v>
      </c>
      <c r="D56" s="175" t="s">
        <v>474</v>
      </c>
      <c r="E56" s="175" t="s">
        <v>475</v>
      </c>
      <c r="F56" s="175" t="s">
        <v>33</v>
      </c>
      <c r="G56" s="175" t="s">
        <v>33</v>
      </c>
      <c r="H56" s="175" t="s">
        <v>33</v>
      </c>
      <c r="I56" s="175" t="s">
        <v>509</v>
      </c>
    </row>
    <row r="57" s="90" customFormat="true" ht="27" hidden="false" customHeight="true" outlineLevel="0" collapsed="false">
      <c r="A57" s="175" t="s">
        <v>510</v>
      </c>
      <c r="B57" s="175" t="s">
        <v>511</v>
      </c>
      <c r="C57" s="175" t="s">
        <v>512</v>
      </c>
      <c r="D57" s="175" t="s">
        <v>474</v>
      </c>
      <c r="E57" s="175" t="s">
        <v>475</v>
      </c>
      <c r="F57" s="175" t="s">
        <v>33</v>
      </c>
      <c r="G57" s="175" t="s">
        <v>33</v>
      </c>
      <c r="H57" s="175" t="s">
        <v>33</v>
      </c>
      <c r="I57" s="175" t="s">
        <v>513</v>
      </c>
    </row>
    <row r="58" s="90" customFormat="true" ht="41.25" hidden="false" customHeight="true" outlineLevel="0" collapsed="false">
      <c r="A58" s="175" t="s">
        <v>514</v>
      </c>
      <c r="B58" s="175" t="s">
        <v>515</v>
      </c>
      <c r="C58" s="175" t="s">
        <v>516</v>
      </c>
      <c r="D58" s="175" t="s">
        <v>474</v>
      </c>
      <c r="E58" s="175" t="s">
        <v>475</v>
      </c>
      <c r="F58" s="175" t="s">
        <v>33</v>
      </c>
      <c r="G58" s="175" t="s">
        <v>31</v>
      </c>
      <c r="H58" s="175" t="s">
        <v>33</v>
      </c>
      <c r="I58" s="175" t="s">
        <v>517</v>
      </c>
    </row>
    <row r="59" s="90" customFormat="true" ht="27" hidden="false" customHeight="true" outlineLevel="0" collapsed="false">
      <c r="A59" s="175" t="s">
        <v>518</v>
      </c>
      <c r="B59" s="175" t="s">
        <v>519</v>
      </c>
      <c r="C59" s="175" t="s">
        <v>520</v>
      </c>
      <c r="D59" s="175" t="s">
        <v>474</v>
      </c>
      <c r="E59" s="175" t="s">
        <v>475</v>
      </c>
      <c r="F59" s="175" t="s">
        <v>33</v>
      </c>
      <c r="G59" s="175" t="s">
        <v>33</v>
      </c>
      <c r="H59" s="175" t="s">
        <v>33</v>
      </c>
      <c r="I59" s="175" t="s">
        <v>521</v>
      </c>
    </row>
    <row r="60" customFormat="false" ht="14.25" hidden="false" customHeight="true" outlineLevel="0" collapsed="false">
      <c r="A60" s="161"/>
      <c r="B60" s="161"/>
      <c r="C60" s="161"/>
      <c r="D60" s="161"/>
      <c r="E60" s="161"/>
      <c r="F60" s="161"/>
      <c r="G60" s="161"/>
      <c r="H60" s="161"/>
      <c r="I60" s="161"/>
    </row>
    <row r="61" customFormat="false" ht="14.25" hidden="false" customHeight="true" outlineLevel="0" collapsed="false">
      <c r="A61" s="178" t="s">
        <v>522</v>
      </c>
      <c r="B61" s="161"/>
      <c r="C61" s="161"/>
      <c r="D61" s="161"/>
      <c r="E61" s="161"/>
      <c r="F61" s="161"/>
      <c r="G61" s="161"/>
      <c r="H61" s="161"/>
      <c r="I61" s="161"/>
    </row>
    <row r="62" customFormat="false" ht="14.25" hidden="false" customHeight="true" outlineLevel="0" collapsed="false">
      <c r="A62" s="179" t="s">
        <v>523</v>
      </c>
      <c r="B62" s="161"/>
      <c r="C62" s="180" t="s">
        <v>524</v>
      </c>
      <c r="D62" s="180"/>
      <c r="E62" s="180"/>
      <c r="F62" s="180"/>
      <c r="G62" s="180"/>
      <c r="H62" s="180"/>
      <c r="I62" s="180"/>
    </row>
    <row r="63" customFormat="false" ht="14.25" hidden="false" customHeight="true" outlineLevel="0" collapsed="false">
      <c r="A63" s="179" t="s">
        <v>128</v>
      </c>
      <c r="B63" s="161"/>
      <c r="C63" s="180" t="s">
        <v>525</v>
      </c>
      <c r="D63" s="180"/>
      <c r="E63" s="180"/>
      <c r="F63" s="180"/>
      <c r="G63" s="180"/>
      <c r="H63" s="180"/>
      <c r="I63" s="180"/>
    </row>
    <row r="64" customFormat="false" ht="14.25" hidden="false" customHeight="true" outlineLevel="0" collapsed="false">
      <c r="A64" s="179" t="s">
        <v>526</v>
      </c>
      <c r="B64" s="161"/>
      <c r="C64" s="180" t="s">
        <v>527</v>
      </c>
      <c r="D64" s="180"/>
      <c r="E64" s="180"/>
      <c r="F64" s="180"/>
      <c r="G64" s="180"/>
      <c r="H64" s="180"/>
      <c r="I64" s="180"/>
    </row>
    <row r="65" customFormat="false" ht="14.25" hidden="false" customHeight="true" outlineLevel="0" collapsed="false">
      <c r="A65" s="179" t="s">
        <v>528</v>
      </c>
      <c r="B65" s="161"/>
      <c r="C65" s="180" t="s">
        <v>529</v>
      </c>
      <c r="D65" s="180"/>
      <c r="E65" s="180"/>
      <c r="F65" s="180"/>
      <c r="G65" s="180"/>
      <c r="H65" s="180"/>
      <c r="I65" s="180"/>
    </row>
    <row r="66" customFormat="false" ht="14.25" hidden="false" customHeight="true" outlineLevel="0" collapsed="false">
      <c r="A66" s="179" t="s">
        <v>530</v>
      </c>
      <c r="B66" s="161"/>
      <c r="C66" s="180" t="s">
        <v>531</v>
      </c>
      <c r="D66" s="180"/>
      <c r="E66" s="180"/>
      <c r="F66" s="180"/>
      <c r="G66" s="180"/>
      <c r="H66" s="180"/>
      <c r="I66" s="180"/>
    </row>
    <row r="67" customFormat="false" ht="14.25" hidden="false" customHeight="true" outlineLevel="0" collapsed="false">
      <c r="A67" s="179" t="s">
        <v>532</v>
      </c>
      <c r="B67" s="161"/>
      <c r="C67" s="180" t="s">
        <v>533</v>
      </c>
      <c r="D67" s="180"/>
      <c r="E67" s="180"/>
      <c r="F67" s="180"/>
      <c r="G67" s="180"/>
      <c r="H67" s="180"/>
      <c r="I67" s="180"/>
    </row>
    <row r="68" customFormat="false" ht="14.25" hidden="false" customHeight="true" outlineLevel="0" collapsed="false">
      <c r="A68" s="161"/>
      <c r="B68" s="161"/>
      <c r="C68" s="161"/>
      <c r="D68" s="161"/>
      <c r="E68" s="161"/>
      <c r="F68" s="161"/>
      <c r="G68" s="161"/>
      <c r="H68" s="161"/>
      <c r="I68" s="161"/>
    </row>
    <row r="69" customFormat="false" ht="14.25" hidden="false" customHeight="true" outlineLevel="0" collapsed="false">
      <c r="A69" s="181" t="s">
        <v>534</v>
      </c>
      <c r="B69" s="161"/>
      <c r="C69" s="161"/>
      <c r="D69" s="161"/>
      <c r="E69" s="161"/>
      <c r="F69" s="161"/>
      <c r="G69" s="161"/>
      <c r="H69" s="161"/>
      <c r="I69" s="161"/>
    </row>
  </sheetData>
  <mergeCells count="7">
    <mergeCell ref="A1:H1"/>
    <mergeCell ref="C62:I62"/>
    <mergeCell ref="C63:I63"/>
    <mergeCell ref="C64:I64"/>
    <mergeCell ref="C65:I65"/>
    <mergeCell ref="C66:I66"/>
    <mergeCell ref="C67:I67"/>
  </mergeCell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D35" activeCellId="0" sqref="D35"/>
    </sheetView>
  </sheetViews>
  <sheetFormatPr defaultColWidth="8.66796875" defaultRowHeight="12.75" customHeight="false" zeroHeight="false" outlineLevelRow="0" outlineLevelCol="0"/>
  <cols>
    <col collapsed="false" customWidth="true" hidden="false" outlineLevel="0" max="1" min="1" style="1" width="34"/>
    <col collapsed="false" customWidth="true" hidden="false" outlineLevel="0" max="38" min="2" style="1" width="13"/>
  </cols>
  <sheetData>
    <row r="1" customFormat="false" ht="21.75" hidden="false" customHeight="true" outlineLevel="0" collapsed="false">
      <c r="A1" s="160" t="s">
        <v>535</v>
      </c>
      <c r="B1" s="160"/>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1"/>
      <c r="AE1" s="161"/>
      <c r="AF1" s="161"/>
      <c r="AG1" s="161"/>
      <c r="AH1" s="161"/>
      <c r="AI1" s="161"/>
      <c r="AJ1" s="161"/>
      <c r="AK1" s="161"/>
      <c r="AL1" s="161"/>
    </row>
    <row r="2" customFormat="false" ht="42" hidden="false" customHeight="true" outlineLevel="0" collapsed="false">
      <c r="A2" s="182" t="s">
        <v>536</v>
      </c>
      <c r="B2" s="182" t="s">
        <v>537</v>
      </c>
      <c r="C2" s="182" t="s">
        <v>25</v>
      </c>
      <c r="D2" s="182" t="s">
        <v>24</v>
      </c>
      <c r="E2" s="182" t="s">
        <v>141</v>
      </c>
      <c r="F2" s="182" t="s">
        <v>26</v>
      </c>
      <c r="G2" s="182" t="s">
        <v>538</v>
      </c>
      <c r="H2" s="182" t="s">
        <v>539</v>
      </c>
      <c r="I2" s="182" t="s">
        <v>540</v>
      </c>
      <c r="J2" s="182" t="s">
        <v>143</v>
      </c>
      <c r="K2" s="182" t="s">
        <v>541</v>
      </c>
      <c r="L2" s="182" t="s">
        <v>542</v>
      </c>
      <c r="M2" s="182" t="s">
        <v>543</v>
      </c>
      <c r="N2" s="182" t="s">
        <v>544</v>
      </c>
      <c r="O2" s="182" t="s">
        <v>545</v>
      </c>
      <c r="P2" s="182" t="s">
        <v>546</v>
      </c>
      <c r="Q2" s="182" t="s">
        <v>547</v>
      </c>
      <c r="R2" s="182" t="s">
        <v>548</v>
      </c>
      <c r="S2" s="182" t="s">
        <v>549</v>
      </c>
      <c r="T2" s="182" t="s">
        <v>550</v>
      </c>
      <c r="U2" s="182" t="s">
        <v>551</v>
      </c>
      <c r="V2" s="182" t="s">
        <v>552</v>
      </c>
      <c r="W2" s="182" t="s">
        <v>553</v>
      </c>
      <c r="X2" s="182" t="s">
        <v>554</v>
      </c>
      <c r="Y2" s="182" t="s">
        <v>555</v>
      </c>
      <c r="Z2" s="182" t="s">
        <v>556</v>
      </c>
      <c r="AA2" s="182" t="s">
        <v>557</v>
      </c>
      <c r="AB2" s="182" t="s">
        <v>558</v>
      </c>
      <c r="AC2" s="182" t="s">
        <v>559</v>
      </c>
      <c r="AD2" s="183" t="s">
        <v>560</v>
      </c>
      <c r="AE2" s="183" t="s">
        <v>561</v>
      </c>
      <c r="AF2" s="184" t="s">
        <v>562</v>
      </c>
      <c r="AG2" s="184" t="s">
        <v>563</v>
      </c>
      <c r="AH2" s="184" t="s">
        <v>564</v>
      </c>
      <c r="AI2" s="184" t="s">
        <v>565</v>
      </c>
      <c r="AJ2" s="184" t="s">
        <v>566</v>
      </c>
      <c r="AK2" s="184" t="s">
        <v>567</v>
      </c>
      <c r="AL2" s="184" t="s">
        <v>568</v>
      </c>
    </row>
    <row r="3" customFormat="false" ht="20.25" hidden="false" customHeight="true" outlineLevel="0" collapsed="false">
      <c r="A3" s="175" t="n">
        <v>1</v>
      </c>
      <c r="B3" s="185" t="str">
        <f aca="false">'Advanced Inputs'!$A$55</f>
        <v>Big-Box / Anchor Retail</v>
      </c>
      <c r="C3" s="186" t="b">
        <f aca="false">('Advanced Inputs'!$B$55="Yes")</f>
        <v>1</v>
      </c>
      <c r="D3" s="185" t="str">
        <f aca="false">'Advanced Inputs'!$A$55</f>
        <v>Big-Box / Anchor Retail</v>
      </c>
      <c r="E3" s="185" t="str">
        <f aca="false">'Advanced Inputs'!$D$55</f>
        <v>acres</v>
      </c>
      <c r="F3" s="187" t="n">
        <f aca="false">'Advanced Inputs'!$E$55</f>
        <v>10</v>
      </c>
      <c r="G3" s="188" t="n">
        <f aca="false">IF('Advanced Inputs'!$N$55&lt;&gt;"",'Advanced Inputs'!$N$55,IFERROR(VLOOKUP(D3,'02_Type_Assumptions'!$A$4:$Z$25,3,FALSE()),0))</f>
        <v>1</v>
      </c>
      <c r="H3" s="189" t="str">
        <f aca="false">IF('Advanced Inputs'!$F$55="","",'Advanced Inputs'!$F$55)</f>
        <v/>
      </c>
      <c r="I3" s="189" t="n">
        <f aca="false">(IF(ISNUMBER(H3),H3,IF(LOWER(E3)="sqft",IFERROR(F3/43560/'00_Inputs_Dashboard'!$B$51,0),IF(LOWER(E3)="acres",IFERROR(F3,0),IFERROR(F3*G3,0)))))*(1+IF('Typical Inputs'!E13="",0,'Typical Inputs'!E13))</f>
        <v>10</v>
      </c>
      <c r="J3" s="190" t="n">
        <f aca="false">'Advanced Inputs'!$G$55</f>
        <v>1</v>
      </c>
      <c r="K3" s="190" t="n">
        <f aca="false">'Advanced Inputs'!$H$55</f>
        <v>4</v>
      </c>
      <c r="L3" s="191" t="n">
        <f aca="false">'Advanced Inputs'!$I$55</f>
        <v>1</v>
      </c>
      <c r="M3" s="189" t="n">
        <f aca="false">I3*L3</f>
        <v>10</v>
      </c>
      <c r="N3" s="192" t="n">
        <f aca="false">IFERROR(IF(LOWER(E3)="rooms",VLOOKUP(D3,'02_Type_Assumptions'!$A$4:$Z$25,6,FALSE()),IF(LOWER(E3)="acres",VLOOKUP(D3,'02_Type_Assumptions'!$A$4:$Z$25,5,FALSE()),VLOOKUP(D3,'02_Type_Assumptions'!$A$4:$Z$25,4,FALSE()))),0)</f>
        <v>850000</v>
      </c>
      <c r="O3" s="193"/>
      <c r="P3" s="192" t="n">
        <f aca="false">IF(ISNUMBER(O3),O3,IF(LOWER(E3)="rooms",F3*N3*L3,IF(LOWER(E3)="acres",M3*N3,IF(LOWER(E3)="sqft",M3*VLOOKUP(D3,'02_Type_Assumptions'!$A$4:$Z$25,5,FALSE()),F3*N3*L3))))</f>
        <v>8500000</v>
      </c>
      <c r="Q3" s="192" t="n">
        <f aca="false">IFERROR(IF(VLOOKUP(D3,'02_Type_Assumptions'!$A$4:$Z$25,23,FALSE())="per_acre",VLOOKUP(D3,'02_Type_Assumptions'!$A$4:$Z$25,8,FALSE()),0),0)</f>
        <v>8000000</v>
      </c>
      <c r="R3" s="193"/>
      <c r="S3" s="192" t="n">
        <f aca="false">IF(ISNUMBER(R3),R3*L3,M3*Q3)</f>
        <v>80000000</v>
      </c>
      <c r="T3" s="187" t="n">
        <f aca="false">IF(LOWER(E3)="sqft",F3*L3,M3*IFERROR(VLOOKUP(D3,'02_Type_Assumptions'!$A$4:$Z$25,9,FALSE()),0))</f>
        <v>180000</v>
      </c>
      <c r="U3" s="187" t="n">
        <f aca="false">IF(OR(LOWER(E3)="lots",LOWER(E3)="units"),F3*L3,0)</f>
        <v>0</v>
      </c>
      <c r="V3" s="187" t="n">
        <f aca="false">U3*IFERROR(VLOOKUP(D3,'02_Type_Assumptions'!$A$4:$Z$25,21,FALSE()),0)</f>
        <v>0</v>
      </c>
      <c r="W3" s="189" t="n">
        <f aca="false">IFERROR(IF(OR(LOWER(E3)="lots",LOWER(E3)="units",LOWER(E3)="rooms"),F3*L3*VLOOKUP(D3,'02_Type_Assumptions'!$A$4:$Z$25,10,FALSE()),IF(LOWER(E3)="acres",M3*VLOOKUP(D3,'02_Type_Assumptions'!$A$4:$Z$25,11,FALSE()),IF(LOWER(E3)="sqft",T3/1000*VLOOKUP(D3,'02_Type_Assumptions'!$A$4:$Z$25,12,FALSE()),0))),0)</f>
        <v>120</v>
      </c>
      <c r="X3" s="192" t="n">
        <f aca="false">'Advanced Inputs'!$D$50</f>
        <v>7165</v>
      </c>
      <c r="Y3" s="193"/>
      <c r="Z3" s="192" t="n">
        <f aca="false">IF(ISNUMBER(Y3),Y3,W3*X3)</f>
        <v>859800</v>
      </c>
      <c r="AA3" s="193"/>
      <c r="AB3" s="193"/>
      <c r="AC3" s="185" t="s">
        <v>569</v>
      </c>
      <c r="AD3" s="176" t="n">
        <f aca="false">IFERROR($P3*VLOOKUP($D3,'02_Type_Assumptions'!$A$4:$AC$25,28,FALSE()),$P3)+IFERROR(AK3,0)</f>
        <v>8415000</v>
      </c>
      <c r="AE3" s="176" t="n">
        <f aca="false">IFERROR($P3*VLOOKUP($D3,'02_Type_Assumptions'!$A$4:$AC$25,29,FALSE()),$P3)+IFERROR(AL3,0)</f>
        <v>8415000</v>
      </c>
      <c r="AF3" s="176" t="n">
        <f aca="false">IF(IFERROR(VLOOKUP($D3,'02_Type_Assumptions'!$A$4:$AC$25,27,FALSE()),"")="Industrial",$AD3,0)</f>
        <v>0</v>
      </c>
      <c r="AG3" s="176" t="n">
        <f aca="false">IF(IFERROR(VLOOKUP($D3,'02_Type_Assumptions'!$A$4:$AC$25,27,FALSE()),"")="Industrial",$AE3,0)</f>
        <v>0</v>
      </c>
      <c r="AH3" s="194" t="n">
        <f aca="false">IF('Advanced Inputs'!$L$55="",I3,'Advanced Inputs'!$L$55)</f>
        <v>10</v>
      </c>
      <c r="AI3" s="176" t="n">
        <f aca="false">MAX(0,AH3-I3)</f>
        <v>0</v>
      </c>
      <c r="AJ3" s="176" t="n">
        <f aca="false">AI3*IF(LOWER('Advanced Inputs'!$M$55)="ag",'Advanced Inputs'!$D$51,'02_Type_Assumptions'!$E$18)</f>
        <v>0</v>
      </c>
      <c r="AK3" s="176" t="n">
        <f aca="false">AJ3*'02_Type_Assumptions'!$AB$18</f>
        <v>0</v>
      </c>
      <c r="AL3" s="176" t="n">
        <f aca="false">AJ3*'02_Type_Assumptions'!$AC$18</f>
        <v>0</v>
      </c>
    </row>
    <row r="4" customFormat="false" ht="15" hidden="false" customHeight="true" outlineLevel="0" collapsed="false">
      <c r="A4" s="175" t="n">
        <v>2</v>
      </c>
      <c r="B4" s="185" t="str">
        <f aca="false">'Advanced Inputs'!$A$56</f>
        <v>Retail Center / Strip</v>
      </c>
      <c r="C4" s="186" t="b">
        <f aca="false">('Advanced Inputs'!$B$56="Yes")</f>
        <v>0</v>
      </c>
      <c r="D4" s="185" t="str">
        <f aca="false">'Advanced Inputs'!$A$56</f>
        <v>Retail Center / Strip</v>
      </c>
      <c r="E4" s="185" t="str">
        <f aca="false">'Advanced Inputs'!$D$56</f>
        <v>acres</v>
      </c>
      <c r="F4" s="187" t="n">
        <f aca="false">'Advanced Inputs'!$E$56</f>
        <v>10</v>
      </c>
      <c r="G4" s="188" t="n">
        <f aca="false">IF('Advanced Inputs'!$N$56&lt;&gt;"",'Advanced Inputs'!$N$56,IFERROR(VLOOKUP(D4,'02_Type_Assumptions'!$A$4:$Z$25,3,FALSE()),0))</f>
        <v>1</v>
      </c>
      <c r="H4" s="189" t="str">
        <f aca="false">IF('Advanced Inputs'!$F$56="","",'Advanced Inputs'!$F$56)</f>
        <v/>
      </c>
      <c r="I4" s="189" t="n">
        <f aca="false">(IF(ISNUMBER(H4),H4,IF(LOWER(E4)="sqft",IFERROR(F4/43560/'00_Inputs_Dashboard'!$B$51,0),IF(LOWER(E4)="acres",IFERROR(F4,0),IFERROR(F4*G4,0)))))*(1+IF('Typical Inputs'!E14="",0,'Typical Inputs'!E14))</f>
        <v>10</v>
      </c>
      <c r="J4" s="190" t="n">
        <f aca="false">'Advanced Inputs'!$G$56</f>
        <v>1</v>
      </c>
      <c r="K4" s="190" t="n">
        <f aca="false">'Advanced Inputs'!$H$56</f>
        <v>2</v>
      </c>
      <c r="L4" s="191" t="n">
        <f aca="false">'Advanced Inputs'!$I$56</f>
        <v>1</v>
      </c>
      <c r="M4" s="189" t="n">
        <f aca="false">I4*L4</f>
        <v>10</v>
      </c>
      <c r="N4" s="192" t="n">
        <f aca="false">IFERROR(IF(LOWER(E4)="rooms",VLOOKUP(D4,'02_Type_Assumptions'!$A$4:$Z$25,6,FALSE()),IF(LOWER(E4)="acres",VLOOKUP(D4,'02_Type_Assumptions'!$A$4:$Z$25,5,FALSE()),VLOOKUP(D4,'02_Type_Assumptions'!$A$4:$Z$25,4,FALSE()))),0)</f>
        <v>550000</v>
      </c>
      <c r="O4" s="193"/>
      <c r="P4" s="192" t="n">
        <f aca="false">IF(ISNUMBER(O4),O4,IF(LOWER(E4)="rooms",F4*N4*L4,IF(LOWER(E4)="acres",M4*N4,IF(LOWER(E4)="sqft",M4*VLOOKUP(D4,'02_Type_Assumptions'!$A$4:$Z$25,5,FALSE()),F4*N4*L4))))</f>
        <v>5500000</v>
      </c>
      <c r="Q4" s="192" t="n">
        <f aca="false">IFERROR(IF(VLOOKUP(D4,'02_Type_Assumptions'!$A$4:$Z$25,23,FALSE())="per_acre",VLOOKUP(D4,'02_Type_Assumptions'!$A$4:$Z$25,8,FALSE()),0),0)</f>
        <v>3500000</v>
      </c>
      <c r="R4" s="193"/>
      <c r="S4" s="192" t="n">
        <f aca="false">IF(ISNUMBER(R4),R4*L4,M4*Q4)</f>
        <v>35000000</v>
      </c>
      <c r="T4" s="187" t="n">
        <f aca="false">IF(LOWER(E4)="sqft",F4*L4,M4*IFERROR(VLOOKUP(D4,'02_Type_Assumptions'!$A$4:$Z$25,9,FALSE()),0))</f>
        <v>120000</v>
      </c>
      <c r="U4" s="187" t="n">
        <f aca="false">IF(OR(LOWER(E4)="lots",LOWER(E4)="units"),F4*L4,0)</f>
        <v>0</v>
      </c>
      <c r="V4" s="187" t="n">
        <f aca="false">U4*IFERROR(VLOOKUP(D4,'02_Type_Assumptions'!$A$4:$Z$25,21,FALSE()),0)</f>
        <v>0</v>
      </c>
      <c r="W4" s="189" t="n">
        <f aca="false">IFERROR(IF(OR(LOWER(E4)="lots",LOWER(E4)="units",LOWER(E4)="rooms"),F4*L4*VLOOKUP(D4,'02_Type_Assumptions'!$A$4:$Z$25,10,FALSE()),IF(LOWER(E4)="acres",M4*VLOOKUP(D4,'02_Type_Assumptions'!$A$4:$Z$25,11,FALSE()),IF(LOWER(E4)="sqft",T4/1000*VLOOKUP(D4,'02_Type_Assumptions'!$A$4:$Z$25,12,FALSE()),0))),0)</f>
        <v>80</v>
      </c>
      <c r="X4" s="192" t="n">
        <f aca="false">'Advanced Inputs'!$D$50</f>
        <v>7165</v>
      </c>
      <c r="Y4" s="193"/>
      <c r="Z4" s="192" t="n">
        <f aca="false">IF(ISNUMBER(Y4),Y4,W4*X4)</f>
        <v>573200</v>
      </c>
      <c r="AA4" s="193"/>
      <c r="AB4" s="193"/>
      <c r="AC4" s="185" t="s">
        <v>570</v>
      </c>
      <c r="AD4" s="176" t="n">
        <f aca="false">IFERROR($P4*VLOOKUP($D4,'02_Type_Assumptions'!$A$4:$AC$25,28,FALSE()),$P4)+IFERROR(AK4,0)</f>
        <v>5445000</v>
      </c>
      <c r="AE4" s="176" t="n">
        <f aca="false">IFERROR($P4*VLOOKUP($D4,'02_Type_Assumptions'!$A$4:$AC$25,29,FALSE()),$P4)+IFERROR(AL4,0)</f>
        <v>5445000</v>
      </c>
      <c r="AF4" s="176" t="n">
        <f aca="false">IF(IFERROR(VLOOKUP($D4,'02_Type_Assumptions'!$A$4:$AC$25,27,FALSE()),"")="Industrial",$AD4,0)</f>
        <v>0</v>
      </c>
      <c r="AG4" s="176" t="n">
        <f aca="false">IF(IFERROR(VLOOKUP($D4,'02_Type_Assumptions'!$A$4:$AC$25,27,FALSE()),"")="Industrial",$AE4,0)</f>
        <v>0</v>
      </c>
      <c r="AH4" s="194" t="n">
        <f aca="false">IF('Advanced Inputs'!$L$56="",I4,'Advanced Inputs'!$L$56)</f>
        <v>10</v>
      </c>
      <c r="AI4" s="176" t="n">
        <f aca="false">MAX(0,AH4-I4)</f>
        <v>0</v>
      </c>
      <c r="AJ4" s="176" t="n">
        <f aca="false">AI4*IF(LOWER('Advanced Inputs'!$M$56)="ag",'Advanced Inputs'!$D$51,'02_Type_Assumptions'!$E$18)</f>
        <v>0</v>
      </c>
      <c r="AK4" s="176" t="n">
        <f aca="false">AJ4*'02_Type_Assumptions'!$AB$18</f>
        <v>0</v>
      </c>
      <c r="AL4" s="176" t="n">
        <f aca="false">AJ4*'02_Type_Assumptions'!$AC$18</f>
        <v>0</v>
      </c>
    </row>
    <row r="5" customFormat="false" ht="15" hidden="false" customHeight="true" outlineLevel="0" collapsed="false">
      <c r="A5" s="175" t="n">
        <v>3</v>
      </c>
      <c r="B5" s="185" t="str">
        <f aca="false">'Advanced Inputs'!$A$57</f>
        <v>Office / Business Park</v>
      </c>
      <c r="C5" s="186" t="b">
        <f aca="false">('Advanced Inputs'!$B$57="Yes")</f>
        <v>0</v>
      </c>
      <c r="D5" s="185" t="str">
        <f aca="false">'Advanced Inputs'!$A$57</f>
        <v>Office / Business Park</v>
      </c>
      <c r="E5" s="185" t="str">
        <f aca="false">'Advanced Inputs'!$D$57</f>
        <v>acres</v>
      </c>
      <c r="F5" s="187" t="n">
        <f aca="false">'Advanced Inputs'!$E$57</f>
        <v>10</v>
      </c>
      <c r="G5" s="188" t="n">
        <f aca="false">IF('Advanced Inputs'!$N$57&lt;&gt;"",'Advanced Inputs'!$N$57,IFERROR(VLOOKUP(D5,'02_Type_Assumptions'!$A$4:$Z$25,3,FALSE()),0))</f>
        <v>1</v>
      </c>
      <c r="H5" s="189" t="str">
        <f aca="false">IF('Advanced Inputs'!$F$57="","",'Advanced Inputs'!$F$57)</f>
        <v/>
      </c>
      <c r="I5" s="189" t="n">
        <f aca="false">(IF(ISNUMBER(H5),H5,IF(LOWER(E5)="sqft",IFERROR(F5/43560/'00_Inputs_Dashboard'!$B$51,0),IF(LOWER(E5)="acres",IFERROR(F5,0),IFERROR(F5*G5,0)))))*(1+IF('Typical Inputs'!E15="",0,'Typical Inputs'!E15))</f>
        <v>10</v>
      </c>
      <c r="J5" s="190" t="n">
        <f aca="false">'Advanced Inputs'!$G$57</f>
        <v>1</v>
      </c>
      <c r="K5" s="190" t="n">
        <f aca="false">'Advanced Inputs'!$H$57</f>
        <v>3</v>
      </c>
      <c r="L5" s="191" t="n">
        <f aca="false">'Advanced Inputs'!$I$57</f>
        <v>1</v>
      </c>
      <c r="M5" s="189" t="n">
        <f aca="false">I5*L5</f>
        <v>10</v>
      </c>
      <c r="N5" s="192" t="n">
        <f aca="false">IFERROR(IF(LOWER(E5)="rooms",VLOOKUP(D5,'02_Type_Assumptions'!$A$4:$Z$25,6,FALSE()),IF(LOWER(E5)="acres",VLOOKUP(D5,'02_Type_Assumptions'!$A$4:$Z$25,5,FALSE()),VLOOKUP(D5,'02_Type_Assumptions'!$A$4:$Z$25,4,FALSE()))),0)</f>
        <v>650000</v>
      </c>
      <c r="O5" s="193"/>
      <c r="P5" s="192" t="n">
        <f aca="false">IF(ISNUMBER(O5),O5,IF(LOWER(E5)="rooms",F5*N5*L5,IF(LOWER(E5)="acres",M5*N5,IF(LOWER(E5)="sqft",M5*VLOOKUP(D5,'02_Type_Assumptions'!$A$4:$Z$25,5,FALSE()),F5*N5*L5))))</f>
        <v>6500000</v>
      </c>
      <c r="Q5" s="192" t="n">
        <f aca="false">IFERROR(IF(VLOOKUP(D5,'02_Type_Assumptions'!$A$4:$Z$25,23,FALSE())="per_acre",VLOOKUP(D5,'02_Type_Assumptions'!$A$4:$Z$25,8,FALSE()),0),0)</f>
        <v>150000</v>
      </c>
      <c r="R5" s="193"/>
      <c r="S5" s="192" t="n">
        <f aca="false">IF(ISNUMBER(R5),R5*L5,M5*Q5)</f>
        <v>1500000</v>
      </c>
      <c r="T5" s="187" t="n">
        <f aca="false">IF(LOWER(E5)="sqft",F5*L5,M5*IFERROR(VLOOKUP(D5,'02_Type_Assumptions'!$A$4:$Z$25,9,FALSE()),0))</f>
        <v>140000</v>
      </c>
      <c r="U5" s="187" t="n">
        <f aca="false">IF(OR(LOWER(E5)="lots",LOWER(E5)="units"),F5*L5,0)</f>
        <v>0</v>
      </c>
      <c r="V5" s="187" t="n">
        <f aca="false">U5*IFERROR(VLOOKUP(D5,'02_Type_Assumptions'!$A$4:$Z$25,21,FALSE()),0)</f>
        <v>0</v>
      </c>
      <c r="W5" s="189" t="n">
        <f aca="false">IFERROR(IF(OR(LOWER(E5)="lots",LOWER(E5)="units",LOWER(E5)="rooms"),F5*L5*VLOOKUP(D5,'02_Type_Assumptions'!$A$4:$Z$25,10,FALSE()),IF(LOWER(E5)="acres",M5*VLOOKUP(D5,'02_Type_Assumptions'!$A$4:$Z$25,11,FALSE()),IF(LOWER(E5)="sqft",T5/1000*VLOOKUP(D5,'02_Type_Assumptions'!$A$4:$Z$25,12,FALSE()),0))),0)</f>
        <v>60</v>
      </c>
      <c r="X5" s="192" t="n">
        <f aca="false">'Advanced Inputs'!$D$50</f>
        <v>7165</v>
      </c>
      <c r="Y5" s="193"/>
      <c r="Z5" s="192" t="n">
        <f aca="false">IF(ISNUMBER(Y5),Y5,W5*X5)</f>
        <v>429900</v>
      </c>
      <c r="AA5" s="193"/>
      <c r="AB5" s="193"/>
      <c r="AC5" s="185" t="s">
        <v>571</v>
      </c>
      <c r="AD5" s="176" t="n">
        <f aca="false">IFERROR($P5*VLOOKUP($D5,'02_Type_Assumptions'!$A$4:$AC$25,28,FALSE()),$P5)+IFERROR(AK5,0)</f>
        <v>6435000</v>
      </c>
      <c r="AE5" s="176" t="n">
        <f aca="false">IFERROR($P5*VLOOKUP($D5,'02_Type_Assumptions'!$A$4:$AC$25,29,FALSE()),$P5)+IFERROR(AL5,0)</f>
        <v>6435000</v>
      </c>
      <c r="AF5" s="176" t="n">
        <f aca="false">IF(IFERROR(VLOOKUP($D5,'02_Type_Assumptions'!$A$4:$AC$25,27,FALSE()),"")="Industrial",$AD5,0)</f>
        <v>0</v>
      </c>
      <c r="AG5" s="176" t="n">
        <f aca="false">IF(IFERROR(VLOOKUP($D5,'02_Type_Assumptions'!$A$4:$AC$25,27,FALSE()),"")="Industrial",$AE5,0)</f>
        <v>0</v>
      </c>
      <c r="AH5" s="194" t="n">
        <f aca="false">IF('Advanced Inputs'!$L$57="",I5,'Advanced Inputs'!$L$57)</f>
        <v>10</v>
      </c>
      <c r="AI5" s="176" t="n">
        <f aca="false">MAX(0,AH5-I5)</f>
        <v>0</v>
      </c>
      <c r="AJ5" s="176" t="n">
        <f aca="false">AI5*IF(LOWER('Advanced Inputs'!$M$57)="ag",'Advanced Inputs'!$D$51,'02_Type_Assumptions'!$E$18)</f>
        <v>0</v>
      </c>
      <c r="AK5" s="176" t="n">
        <f aca="false">AJ5*'02_Type_Assumptions'!$AB$18</f>
        <v>0</v>
      </c>
      <c r="AL5" s="176" t="n">
        <f aca="false">AJ5*'02_Type_Assumptions'!$AC$18</f>
        <v>0</v>
      </c>
    </row>
    <row r="6" customFormat="false" ht="20.25" hidden="false" customHeight="true" outlineLevel="0" collapsed="false">
      <c r="A6" s="175" t="n">
        <v>4</v>
      </c>
      <c r="B6" s="185" t="str">
        <f aca="false">'Advanced Inputs'!$A$58</f>
        <v>Light Industrial / Flex</v>
      </c>
      <c r="C6" s="186" t="b">
        <f aca="false">('Advanced Inputs'!$B$58="Yes")</f>
        <v>0</v>
      </c>
      <c r="D6" s="185" t="str">
        <f aca="false">'Advanced Inputs'!$A$58</f>
        <v>Light Industrial / Flex</v>
      </c>
      <c r="E6" s="185" t="str">
        <f aca="false">'Advanced Inputs'!$D$58</f>
        <v>acres</v>
      </c>
      <c r="F6" s="187" t="n">
        <f aca="false">'Advanced Inputs'!$E$58</f>
        <v>15</v>
      </c>
      <c r="G6" s="188" t="n">
        <f aca="false">IF('Advanced Inputs'!$N$58&lt;&gt;"",'Advanced Inputs'!$N$58,IFERROR(VLOOKUP(D6,'02_Type_Assumptions'!$A$4:$Z$25,3,FALSE()),0))</f>
        <v>1</v>
      </c>
      <c r="H6" s="189" t="str">
        <f aca="false">IF('Advanced Inputs'!$F$58="","",'Advanced Inputs'!$F$58)</f>
        <v/>
      </c>
      <c r="I6" s="189" t="n">
        <f aca="false">(IF(ISNUMBER(H6),H6,IF(LOWER(E6)="sqft",IFERROR(F6/43560/'00_Inputs_Dashboard'!$B$51,0),IF(LOWER(E6)="acres",IFERROR(F6,0),IFERROR(F6*G6,0)))))*(1+IF('Typical Inputs'!E16="",0,'Typical Inputs'!E16))</f>
        <v>15</v>
      </c>
      <c r="J6" s="190" t="n">
        <f aca="false">'Advanced Inputs'!$G$58</f>
        <v>1</v>
      </c>
      <c r="K6" s="190" t="n">
        <f aca="false">'Advanced Inputs'!$H$58</f>
        <v>2</v>
      </c>
      <c r="L6" s="191" t="n">
        <f aca="false">'Advanced Inputs'!$I$58</f>
        <v>1</v>
      </c>
      <c r="M6" s="189" t="n">
        <f aca="false">I6*L6</f>
        <v>15</v>
      </c>
      <c r="N6" s="192" t="n">
        <f aca="false">IFERROR(IF(LOWER(E6)="rooms",VLOOKUP(D6,'02_Type_Assumptions'!$A$4:$Z$25,6,FALSE()),IF(LOWER(E6)="acres",VLOOKUP(D6,'02_Type_Assumptions'!$A$4:$Z$25,5,FALSE()),VLOOKUP(D6,'02_Type_Assumptions'!$A$4:$Z$25,4,FALSE()))),0)</f>
        <v>450000</v>
      </c>
      <c r="O6" s="193"/>
      <c r="P6" s="192" t="n">
        <f aca="false">IF(ISNUMBER(O6),O6,IF(LOWER(E6)="rooms",F6*N6*L6,IF(LOWER(E6)="acres",M6*N6,IF(LOWER(E6)="sqft",M6*VLOOKUP(D6,'02_Type_Assumptions'!$A$4:$Z$25,5,FALSE()),F6*N6*L6))))</f>
        <v>6750000</v>
      </c>
      <c r="Q6" s="192" t="n">
        <f aca="false">IFERROR(IF(VLOOKUP(D6,'02_Type_Assumptions'!$A$4:$Z$25,23,FALSE())="per_acre",VLOOKUP(D6,'02_Type_Assumptions'!$A$4:$Z$25,8,FALSE()),0),0)</f>
        <v>50000</v>
      </c>
      <c r="R6" s="193"/>
      <c r="S6" s="192" t="n">
        <f aca="false">IF(ISNUMBER(R6),R6*L6,M6*Q6)</f>
        <v>750000</v>
      </c>
      <c r="T6" s="187" t="n">
        <f aca="false">IF(LOWER(E6)="sqft",F6*L6,M6*IFERROR(VLOOKUP(D6,'02_Type_Assumptions'!$A$4:$Z$25,9,FALSE()),0))</f>
        <v>225000</v>
      </c>
      <c r="U6" s="187" t="n">
        <f aca="false">IF(OR(LOWER(E6)="lots",LOWER(E6)="units"),F6*L6,0)</f>
        <v>0</v>
      </c>
      <c r="V6" s="187" t="n">
        <f aca="false">U6*IFERROR(VLOOKUP(D6,'02_Type_Assumptions'!$A$4:$Z$25,21,FALSE()),0)</f>
        <v>0</v>
      </c>
      <c r="W6" s="189" t="n">
        <f aca="false">IFERROR(IF(OR(LOWER(E6)="lots",LOWER(E6)="units",LOWER(E6)="rooms"),F6*L6*VLOOKUP(D6,'02_Type_Assumptions'!$A$4:$Z$25,10,FALSE()),IF(LOWER(E6)="acres",M6*VLOOKUP(D6,'02_Type_Assumptions'!$A$4:$Z$25,11,FALSE()),IF(LOWER(E6)="sqft",T6/1000*VLOOKUP(D6,'02_Type_Assumptions'!$A$4:$Z$25,12,FALSE()),0))),0)</f>
        <v>45</v>
      </c>
      <c r="X6" s="192" t="n">
        <f aca="false">'Advanced Inputs'!$D$50</f>
        <v>7165</v>
      </c>
      <c r="Y6" s="193"/>
      <c r="Z6" s="192" t="n">
        <f aca="false">IF(ISNUMBER(Y6),Y6,W6*X6)</f>
        <v>322425</v>
      </c>
      <c r="AA6" s="193"/>
      <c r="AB6" s="193"/>
      <c r="AC6" s="185" t="s">
        <v>572</v>
      </c>
      <c r="AD6" s="176" t="n">
        <f aca="false">IFERROR($P6*VLOOKUP($D6,'02_Type_Assumptions'!$A$4:$AC$25,28,FALSE()),$P6)+IFERROR(AK6,0)</f>
        <v>6210000</v>
      </c>
      <c r="AE6" s="176" t="n">
        <f aca="false">IFERROR($P6*VLOOKUP($D6,'02_Type_Assumptions'!$A$4:$AC$25,29,FALSE()),$P6)+IFERROR(AL6,0)</f>
        <v>6210000</v>
      </c>
      <c r="AF6" s="176" t="n">
        <f aca="false">IF(IFERROR(VLOOKUP($D6,'02_Type_Assumptions'!$A$4:$AC$25,27,FALSE()),"")="Industrial",$AD6,0)</f>
        <v>6210000</v>
      </c>
      <c r="AG6" s="176" t="n">
        <f aca="false">IF(IFERROR(VLOOKUP($D6,'02_Type_Assumptions'!$A$4:$AC$25,27,FALSE()),"")="Industrial",$AE6,0)</f>
        <v>6210000</v>
      </c>
      <c r="AH6" s="194" t="n">
        <f aca="false">IF('Advanced Inputs'!$L$58="",I6,'Advanced Inputs'!$L$58)</f>
        <v>15</v>
      </c>
      <c r="AI6" s="176" t="n">
        <f aca="false">MAX(0,AH6-I6)</f>
        <v>0</v>
      </c>
      <c r="AJ6" s="176" t="n">
        <f aca="false">AI6*IF(LOWER('Advanced Inputs'!$M$58)="ag",'Advanced Inputs'!$D$51,'02_Type_Assumptions'!$E$18)</f>
        <v>0</v>
      </c>
      <c r="AK6" s="176" t="n">
        <f aca="false">AJ6*'02_Type_Assumptions'!$AB$18</f>
        <v>0</v>
      </c>
      <c r="AL6" s="176" t="n">
        <f aca="false">AJ6*'02_Type_Assumptions'!$AC$18</f>
        <v>0</v>
      </c>
    </row>
    <row r="7" customFormat="false" ht="15" hidden="false" customHeight="true" outlineLevel="0" collapsed="false">
      <c r="A7" s="175" t="n">
        <v>5</v>
      </c>
      <c r="B7" s="185" t="str">
        <f aca="false">'Advanced Inputs'!$A$59</f>
        <v>Mixed-Use Pad / Vertical</v>
      </c>
      <c r="C7" s="186" t="b">
        <f aca="false">('Advanced Inputs'!$B$59="Yes")</f>
        <v>0</v>
      </c>
      <c r="D7" s="185" t="str">
        <f aca="false">'Advanced Inputs'!$A$59</f>
        <v>Mixed-Use Pad / Vertical</v>
      </c>
      <c r="E7" s="185" t="str">
        <f aca="false">'Advanced Inputs'!$D$59</f>
        <v>acres</v>
      </c>
      <c r="F7" s="187" t="n">
        <f aca="false">'Advanced Inputs'!$E$59</f>
        <v>10</v>
      </c>
      <c r="G7" s="188" t="n">
        <f aca="false">IF('Advanced Inputs'!$N$59&lt;&gt;"",'Advanced Inputs'!$N$59,IFERROR(VLOOKUP(D7,'02_Type_Assumptions'!$A$4:$Z$25,3,FALSE()),0))</f>
        <v>1</v>
      </c>
      <c r="H7" s="189" t="str">
        <f aca="false">IF('Advanced Inputs'!$F$59="","",'Advanced Inputs'!$F$59)</f>
        <v/>
      </c>
      <c r="I7" s="189" t="n">
        <f aca="false">(IF(ISNUMBER(H7),H7,IF(LOWER(E7)="sqft",IFERROR(F7/43560/'00_Inputs_Dashboard'!$B$51,0),IF(LOWER(E7)="acres",IFERROR(F7,0),IFERROR(F7*G7,0)))))*(1+IF('Typical Inputs'!E17="",0,'Typical Inputs'!E17))</f>
        <v>10</v>
      </c>
      <c r="J7" s="190" t="n">
        <f aca="false">'Advanced Inputs'!$G$59</f>
        <v>1</v>
      </c>
      <c r="K7" s="190" t="n">
        <f aca="false">'Advanced Inputs'!$H$59</f>
        <v>2</v>
      </c>
      <c r="L7" s="191" t="n">
        <f aca="false">'Advanced Inputs'!$I$59</f>
        <v>1</v>
      </c>
      <c r="M7" s="189" t="n">
        <f aca="false">I7*L7</f>
        <v>10</v>
      </c>
      <c r="N7" s="192" t="n">
        <f aca="false">IFERROR(IF(LOWER(E7)="rooms",VLOOKUP(D7,'02_Type_Assumptions'!$A$4:$Z$25,6,FALSE()),IF(LOWER(E7)="acres",VLOOKUP(D7,'02_Type_Assumptions'!$A$4:$Z$25,5,FALSE()),VLOOKUP(D7,'02_Type_Assumptions'!$A$4:$Z$25,4,FALSE()))),0)</f>
        <v>1200000</v>
      </c>
      <c r="O7" s="193"/>
      <c r="P7" s="192" t="n">
        <f aca="false">IF(ISNUMBER(O7),O7,IF(LOWER(E7)="rooms",F7*N7*L7,IF(LOWER(E7)="acres",M7*N7,IF(LOWER(E7)="sqft",M7*VLOOKUP(D7,'02_Type_Assumptions'!$A$4:$Z$25,5,FALSE()),F7*N7*L7))))</f>
        <v>12000000</v>
      </c>
      <c r="Q7" s="192" t="n">
        <f aca="false">IFERROR(IF(VLOOKUP(D7,'02_Type_Assumptions'!$A$4:$Z$25,23,FALSE())="per_acre",VLOOKUP(D7,'02_Type_Assumptions'!$A$4:$Z$25,8,FALSE()),0),0)</f>
        <v>1800000</v>
      </c>
      <c r="R7" s="193"/>
      <c r="S7" s="192" t="n">
        <f aca="false">IF(ISNUMBER(R7),R7*L7,M7*Q7)</f>
        <v>18000000</v>
      </c>
      <c r="T7" s="187" t="n">
        <f aca="false">IF(LOWER(E7)="sqft",F7*L7,M7*IFERROR(VLOOKUP(D7,'02_Type_Assumptions'!$A$4:$Z$25,9,FALSE()),0))</f>
        <v>240000</v>
      </c>
      <c r="U7" s="187" t="n">
        <f aca="false">IF(OR(LOWER(E7)="lots",LOWER(E7)="units"),F7*L7,0)</f>
        <v>0</v>
      </c>
      <c r="V7" s="187" t="n">
        <f aca="false">U7*IFERROR(VLOOKUP(D7,'02_Type_Assumptions'!$A$4:$Z$25,21,FALSE()),0)</f>
        <v>0</v>
      </c>
      <c r="W7" s="189" t="n">
        <f aca="false">IFERROR(IF(OR(LOWER(E7)="lots",LOWER(E7)="units",LOWER(E7)="rooms"),F7*L7*VLOOKUP(D7,'02_Type_Assumptions'!$A$4:$Z$25,10,FALSE()),IF(LOWER(E7)="acres",M7*VLOOKUP(D7,'02_Type_Assumptions'!$A$4:$Z$25,11,FALSE()),IF(LOWER(E7)="sqft",T7/1000*VLOOKUP(D7,'02_Type_Assumptions'!$A$4:$Z$25,12,FALSE()),0))),0)</f>
        <v>80</v>
      </c>
      <c r="X7" s="192" t="n">
        <f aca="false">'Advanced Inputs'!$D$50</f>
        <v>7165</v>
      </c>
      <c r="Y7" s="193"/>
      <c r="Z7" s="192" t="n">
        <f aca="false">IF(ISNUMBER(Y7),Y7,W7*X7)</f>
        <v>573200</v>
      </c>
      <c r="AA7" s="193"/>
      <c r="AB7" s="193"/>
      <c r="AC7" s="185" t="s">
        <v>573</v>
      </c>
      <c r="AD7" s="176" t="n">
        <f aca="false">IFERROR($P7*VLOOKUP($D7,'02_Type_Assumptions'!$A$4:$AC$25,28,FALSE()),$P7)+IFERROR(AK7,0)</f>
        <v>11880000</v>
      </c>
      <c r="AE7" s="176" t="n">
        <f aca="false">IFERROR($P7*VLOOKUP($D7,'02_Type_Assumptions'!$A$4:$AC$25,29,FALSE()),$P7)+IFERROR(AL7,0)</f>
        <v>11880000</v>
      </c>
      <c r="AF7" s="176" t="n">
        <f aca="false">IF(IFERROR(VLOOKUP($D7,'02_Type_Assumptions'!$A$4:$AC$25,27,FALSE()),"")="Industrial",$AD7,0)</f>
        <v>0</v>
      </c>
      <c r="AG7" s="176" t="n">
        <f aca="false">IF(IFERROR(VLOOKUP($D7,'02_Type_Assumptions'!$A$4:$AC$25,27,FALSE()),"")="Industrial",$AE7,0)</f>
        <v>0</v>
      </c>
      <c r="AH7" s="194" t="n">
        <f aca="false">IF('Advanced Inputs'!$L$59="",I7,'Advanced Inputs'!$L$59)</f>
        <v>10</v>
      </c>
      <c r="AI7" s="176" t="n">
        <f aca="false">MAX(0,AH7-I7)</f>
        <v>0</v>
      </c>
      <c r="AJ7" s="176" t="n">
        <f aca="false">AI7*IF(LOWER('Advanced Inputs'!$M$59)="ag",'Advanced Inputs'!$D$51,'02_Type_Assumptions'!$E$18)</f>
        <v>0</v>
      </c>
      <c r="AK7" s="176" t="n">
        <f aca="false">AJ7*'02_Type_Assumptions'!$AB$18</f>
        <v>0</v>
      </c>
      <c r="AL7" s="176" t="n">
        <f aca="false">AJ7*'02_Type_Assumptions'!$AC$18</f>
        <v>0</v>
      </c>
    </row>
    <row r="8" customFormat="false" ht="20.25" hidden="false" customHeight="true" outlineLevel="0" collapsed="false">
      <c r="A8" s="175" t="n">
        <v>6</v>
      </c>
      <c r="B8" s="185" t="str">
        <f aca="false">'Advanced Inputs'!$A$60</f>
        <v>Gas / Convenience Store</v>
      </c>
      <c r="C8" s="186" t="b">
        <f aca="false">('Advanced Inputs'!$B$60="Yes")</f>
        <v>0</v>
      </c>
      <c r="D8" s="185" t="str">
        <f aca="false">'Advanced Inputs'!$A$60</f>
        <v>Gas / Convenience Store</v>
      </c>
      <c r="E8" s="185" t="str">
        <f aca="false">'Advanced Inputs'!$D$60</f>
        <v>acres</v>
      </c>
      <c r="F8" s="187" t="n">
        <f aca="false">'Advanced Inputs'!$E$60</f>
        <v>1.5</v>
      </c>
      <c r="G8" s="188" t="n">
        <f aca="false">IF('Advanced Inputs'!$N$60&lt;&gt;"",'Advanced Inputs'!$N$60,IFERROR(VLOOKUP(D8,'02_Type_Assumptions'!$A$4:$Z$25,3,FALSE()),0))</f>
        <v>1</v>
      </c>
      <c r="H8" s="189" t="str">
        <f aca="false">IF('Advanced Inputs'!$F$60="","",'Advanced Inputs'!$F$60)</f>
        <v/>
      </c>
      <c r="I8" s="189" t="n">
        <f aca="false">(IF(ISNUMBER(H8),H8,IF(LOWER(E8)="sqft",IFERROR(F8/43560/'00_Inputs_Dashboard'!$B$51,0),IF(LOWER(E8)="acres",IFERROR(F8,0),IFERROR(F8*G8,0)))))*(1+IF('Typical Inputs'!E18="",0,'Typical Inputs'!E18))</f>
        <v>1.5</v>
      </c>
      <c r="J8" s="190" t="n">
        <f aca="false">'Advanced Inputs'!$G$60</f>
        <v>1</v>
      </c>
      <c r="K8" s="190" t="n">
        <f aca="false">'Advanced Inputs'!$H$60</f>
        <v>2</v>
      </c>
      <c r="L8" s="191" t="n">
        <f aca="false">'Advanced Inputs'!$I$60</f>
        <v>1</v>
      </c>
      <c r="M8" s="189" t="n">
        <f aca="false">I8*L8</f>
        <v>1.5</v>
      </c>
      <c r="N8" s="192" t="n">
        <f aca="false">IFERROR(IF(LOWER(E8)="rooms",VLOOKUP(D8,'02_Type_Assumptions'!$A$4:$Z$25,6,FALSE()),IF(LOWER(E8)="acres",VLOOKUP(D8,'02_Type_Assumptions'!$A$4:$Z$25,5,FALSE()),VLOOKUP(D8,'02_Type_Assumptions'!$A$4:$Z$25,4,FALSE()))),0)</f>
        <v>1400000</v>
      </c>
      <c r="O8" s="193"/>
      <c r="P8" s="192" t="n">
        <f aca="false">IF(ISNUMBER(O8),O8,IF(LOWER(E8)="rooms",F8*N8*L8,IF(LOWER(E8)="acres",M8*N8,IF(LOWER(E8)="sqft",M8*VLOOKUP(D8,'02_Type_Assumptions'!$A$4:$Z$25,5,FALSE()),F8*N8*L8))))</f>
        <v>2100000</v>
      </c>
      <c r="Q8" s="192" t="n">
        <f aca="false">IFERROR(IF(VLOOKUP(D8,'02_Type_Assumptions'!$A$4:$Z$25,23,FALSE())="per_acre",VLOOKUP(D8,'02_Type_Assumptions'!$A$4:$Z$25,8,FALSE()),0),0)</f>
        <v>1900000</v>
      </c>
      <c r="R8" s="193"/>
      <c r="S8" s="192" t="n">
        <f aca="false">IF(ISNUMBER(R8),R8*L8,M8*Q8)</f>
        <v>2850000</v>
      </c>
      <c r="T8" s="187" t="n">
        <f aca="false">IF(LOWER(E8)="sqft",F8*L8,M8*IFERROR(VLOOKUP(D8,'02_Type_Assumptions'!$A$4:$Z$25,9,FALSE()),0))</f>
        <v>9000</v>
      </c>
      <c r="U8" s="187" t="n">
        <f aca="false">IF(OR(LOWER(E8)="lots",LOWER(E8)="units"),F8*L8,0)</f>
        <v>0</v>
      </c>
      <c r="V8" s="187" t="n">
        <f aca="false">U8*IFERROR(VLOOKUP(D8,'02_Type_Assumptions'!$A$4:$Z$25,21,FALSE()),0)</f>
        <v>0</v>
      </c>
      <c r="W8" s="189" t="n">
        <f aca="false">IFERROR(IF(OR(LOWER(E8)="lots",LOWER(E8)="units",LOWER(E8)="rooms"),F8*L8*VLOOKUP(D8,'02_Type_Assumptions'!$A$4:$Z$25,10,FALSE()),IF(LOWER(E8)="acres",M8*VLOOKUP(D8,'02_Type_Assumptions'!$A$4:$Z$25,11,FALSE()),IF(LOWER(E8)="sqft",T8/1000*VLOOKUP(D8,'02_Type_Assumptions'!$A$4:$Z$25,12,FALSE()),0))),0)</f>
        <v>12</v>
      </c>
      <c r="X8" s="192" t="n">
        <f aca="false">'Advanced Inputs'!$D$50</f>
        <v>7165</v>
      </c>
      <c r="Y8" s="193"/>
      <c r="Z8" s="192" t="n">
        <f aca="false">IF(ISNUMBER(Y8),Y8,W8*X8)</f>
        <v>85980</v>
      </c>
      <c r="AA8" s="193"/>
      <c r="AB8" s="193"/>
      <c r="AC8" s="185" t="s">
        <v>574</v>
      </c>
      <c r="AD8" s="176" t="n">
        <f aca="false">IFERROR($P8*VLOOKUP($D8,'02_Type_Assumptions'!$A$4:$AC$25,28,FALSE()),$P8)+IFERROR(AK8,0)</f>
        <v>2079000</v>
      </c>
      <c r="AE8" s="176" t="n">
        <f aca="false">IFERROR($P8*VLOOKUP($D8,'02_Type_Assumptions'!$A$4:$AC$25,29,FALSE()),$P8)+IFERROR(AL8,0)</f>
        <v>2079000</v>
      </c>
      <c r="AF8" s="176" t="n">
        <f aca="false">IF(IFERROR(VLOOKUP($D8,'02_Type_Assumptions'!$A$4:$AC$25,27,FALSE()),"")="Industrial",$AD8,0)</f>
        <v>0</v>
      </c>
      <c r="AG8" s="176" t="n">
        <f aca="false">IF(IFERROR(VLOOKUP($D8,'02_Type_Assumptions'!$A$4:$AC$25,27,FALSE()),"")="Industrial",$AE8,0)</f>
        <v>0</v>
      </c>
      <c r="AH8" s="194" t="n">
        <f aca="false">IF('Advanced Inputs'!$L$60="",I8,'Advanced Inputs'!$L$60)</f>
        <v>1.5</v>
      </c>
      <c r="AI8" s="176" t="n">
        <f aca="false">MAX(0,AH8-I8)</f>
        <v>0</v>
      </c>
      <c r="AJ8" s="176" t="n">
        <f aca="false">AI8*IF(LOWER('Advanced Inputs'!$M$60)="ag",'Advanced Inputs'!$D$51,'02_Type_Assumptions'!$E$18)</f>
        <v>0</v>
      </c>
      <c r="AK8" s="176" t="n">
        <f aca="false">AJ8*'02_Type_Assumptions'!$AB$18</f>
        <v>0</v>
      </c>
      <c r="AL8" s="176" t="n">
        <f aca="false">AJ8*'02_Type_Assumptions'!$AC$18</f>
        <v>0</v>
      </c>
    </row>
    <row r="9" customFormat="false" ht="15" hidden="false" customHeight="true" outlineLevel="0" collapsed="false">
      <c r="A9" s="175" t="n">
        <v>7</v>
      </c>
      <c r="B9" s="185" t="str">
        <f aca="false">'Advanced Inputs'!$A$61</f>
        <v>Large Travel Center (C-store)</v>
      </c>
      <c r="C9" s="186" t="b">
        <f aca="false">('Advanced Inputs'!$B$61="Yes")</f>
        <v>0</v>
      </c>
      <c r="D9" s="185" t="str">
        <f aca="false">'Advanced Inputs'!$A$61</f>
        <v>Large Travel Center (C-store)</v>
      </c>
      <c r="E9" s="185" t="str">
        <f aca="false">'Advanced Inputs'!$D$61</f>
        <v>acres</v>
      </c>
      <c r="F9" s="187" t="n">
        <f aca="false">'Advanced Inputs'!$E$61</f>
        <v>15</v>
      </c>
      <c r="G9" s="188" t="n">
        <f aca="false">IF('Advanced Inputs'!$N$61&lt;&gt;"",'Advanced Inputs'!$N$61,IFERROR(VLOOKUP(D9,'02_Type_Assumptions'!$A$4:$Z$25,3,FALSE()),0))</f>
        <v>1</v>
      </c>
      <c r="H9" s="189" t="str">
        <f aca="false">IF('Advanced Inputs'!$F$61="","",'Advanced Inputs'!$F$61)</f>
        <v/>
      </c>
      <c r="I9" s="189" t="n">
        <f aca="false">(IF(ISNUMBER(H9),H9,IF(LOWER(E9)="sqft",IFERROR(F9/43560/'00_Inputs_Dashboard'!$B$51,0),IF(LOWER(E9)="acres",IFERROR(F9,0),IFERROR(F9*G9,0)))))*(1+IF('Typical Inputs'!E19="",0,'Typical Inputs'!E19))</f>
        <v>15</v>
      </c>
      <c r="J9" s="190" t="n">
        <f aca="false">'Advanced Inputs'!$G$61</f>
        <v>1</v>
      </c>
      <c r="K9" s="190" t="n">
        <f aca="false">'Advanced Inputs'!$H$61</f>
        <v>2</v>
      </c>
      <c r="L9" s="191" t="n">
        <f aca="false">'Advanced Inputs'!$I$61</f>
        <v>1</v>
      </c>
      <c r="M9" s="189" t="n">
        <f aca="false">I9*L9</f>
        <v>15</v>
      </c>
      <c r="N9" s="192" t="n">
        <f aca="false">IFERROR(IF(LOWER(E9)="rooms",VLOOKUP(D9,'02_Type_Assumptions'!$A$4:$Z$25,6,FALSE()),IF(LOWER(E9)="acres",VLOOKUP(D9,'02_Type_Assumptions'!$A$4:$Z$25,5,FALSE()),VLOOKUP(D9,'02_Type_Assumptions'!$A$4:$Z$25,4,FALSE()))),0)</f>
        <v>1500000</v>
      </c>
      <c r="O9" s="193"/>
      <c r="P9" s="192" t="n">
        <f aca="false">IF(ISNUMBER(O9),O9,IF(LOWER(E9)="rooms",F9*N9*L9,IF(LOWER(E9)="acres",M9*N9,IF(LOWER(E9)="sqft",M9*VLOOKUP(D9,'02_Type_Assumptions'!$A$4:$Z$25,5,FALSE()),F9*N9*L9))))</f>
        <v>22500000</v>
      </c>
      <c r="Q9" s="192" t="n">
        <f aca="false">IFERROR(IF(VLOOKUP(D9,'02_Type_Assumptions'!$A$4:$Z$25,23,FALSE())="per_acre",VLOOKUP(D9,'02_Type_Assumptions'!$A$4:$Z$25,8,FALSE()),0),0)</f>
        <v>2000000</v>
      </c>
      <c r="R9" s="193"/>
      <c r="S9" s="192" t="n">
        <f aca="false">IF(ISNUMBER(R9),R9*L9,M9*Q9)</f>
        <v>30000000</v>
      </c>
      <c r="T9" s="187" t="n">
        <f aca="false">IF(LOWER(E9)="sqft",F9*L9,M9*IFERROR(VLOOKUP(D9,'02_Type_Assumptions'!$A$4:$Z$25,9,FALSE()),0))</f>
        <v>75000</v>
      </c>
      <c r="U9" s="187" t="n">
        <f aca="false">IF(OR(LOWER(E9)="lots",LOWER(E9)="units"),F9*L9,0)</f>
        <v>0</v>
      </c>
      <c r="V9" s="187" t="n">
        <f aca="false">U9*IFERROR(VLOOKUP(D9,'02_Type_Assumptions'!$A$4:$Z$25,21,FALSE()),0)</f>
        <v>0</v>
      </c>
      <c r="W9" s="189" t="n">
        <f aca="false">IFERROR(IF(OR(LOWER(E9)="lots",LOWER(E9)="units",LOWER(E9)="rooms"),F9*L9*VLOOKUP(D9,'02_Type_Assumptions'!$A$4:$Z$25,10,FALSE()),IF(LOWER(E9)="acres",M9*VLOOKUP(D9,'02_Type_Assumptions'!$A$4:$Z$25,11,FALSE()),IF(LOWER(E9)="sqft",T9/1000*VLOOKUP(D9,'02_Type_Assumptions'!$A$4:$Z$25,12,FALSE()),0))),0)</f>
        <v>120</v>
      </c>
      <c r="X9" s="192" t="n">
        <f aca="false">'Advanced Inputs'!$D$50</f>
        <v>7165</v>
      </c>
      <c r="Y9" s="193"/>
      <c r="Z9" s="192" t="n">
        <f aca="false">IF(ISNUMBER(Y9),Y9,W9*X9)</f>
        <v>859800</v>
      </c>
      <c r="AA9" s="193"/>
      <c r="AB9" s="193"/>
      <c r="AC9" s="195" t="s">
        <v>575</v>
      </c>
      <c r="AD9" s="196" t="n">
        <f aca="false">IFERROR($P9*VLOOKUP($D9,'02_Type_Assumptions'!$A$4:$AC$25,28,FALSE()),$P9)+IFERROR(AK9,0)</f>
        <v>22275000</v>
      </c>
      <c r="AE9" s="196" t="n">
        <f aca="false">IFERROR($P9*VLOOKUP($D9,'02_Type_Assumptions'!$A$4:$AC$25,29,FALSE()),$P9)+IFERROR(AL9,0)</f>
        <v>22275000</v>
      </c>
      <c r="AF9" s="176" t="n">
        <f aca="false">IF(IFERROR(VLOOKUP($D9,'02_Type_Assumptions'!$A$4:$AC$25,27,FALSE()),"")="Industrial",$AD9,0)</f>
        <v>0</v>
      </c>
      <c r="AG9" s="176" t="n">
        <f aca="false">IF(IFERROR(VLOOKUP($D9,'02_Type_Assumptions'!$A$4:$AC$25,27,FALSE()),"")="Industrial",$AE9,0)</f>
        <v>0</v>
      </c>
      <c r="AH9" s="194" t="n">
        <f aca="false">IF('Advanced Inputs'!$L$61="",I9,'Advanced Inputs'!$L$61)</f>
        <v>15</v>
      </c>
      <c r="AI9" s="176" t="n">
        <f aca="false">MAX(0,AH9-I9)</f>
        <v>0</v>
      </c>
      <c r="AJ9" s="176" t="n">
        <f aca="false">AI9*IF(LOWER('Advanced Inputs'!$M$61)="ag",'Advanced Inputs'!$D$51,'02_Type_Assumptions'!$E$18)</f>
        <v>0</v>
      </c>
      <c r="AK9" s="176" t="n">
        <f aca="false">AJ9*'02_Type_Assumptions'!$AB$18</f>
        <v>0</v>
      </c>
      <c r="AL9" s="176" t="n">
        <f aca="false">AJ9*'02_Type_Assumptions'!$AC$18</f>
        <v>0</v>
      </c>
    </row>
    <row r="10" customFormat="false" ht="15" hidden="false" customHeight="true" outlineLevel="0" collapsed="false">
      <c r="A10" s="175" t="n">
        <v>8</v>
      </c>
      <c r="B10" s="185" t="str">
        <f aca="false">'Advanced Inputs'!$A$62</f>
        <v>Fast Food / QSR</v>
      </c>
      <c r="C10" s="186" t="b">
        <f aca="false">('Advanced Inputs'!$B$62="Yes")</f>
        <v>0</v>
      </c>
      <c r="D10" s="185" t="str">
        <f aca="false">'Advanced Inputs'!$A$62</f>
        <v>Fast Food / QSR</v>
      </c>
      <c r="E10" s="185" t="str">
        <f aca="false">'Advanced Inputs'!$D$62</f>
        <v>acres</v>
      </c>
      <c r="F10" s="187" t="n">
        <f aca="false">'Advanced Inputs'!$E$62</f>
        <v>1</v>
      </c>
      <c r="G10" s="188" t="n">
        <f aca="false">IF('Advanced Inputs'!$N$62&lt;&gt;"",'Advanced Inputs'!$N$62,IFERROR(VLOOKUP(D10,'02_Type_Assumptions'!$A$4:$Z$25,3,FALSE()),0))</f>
        <v>1</v>
      </c>
      <c r="H10" s="189" t="str">
        <f aca="false">IF('Advanced Inputs'!$F$62="","",'Advanced Inputs'!$F$62)</f>
        <v/>
      </c>
      <c r="I10" s="189" t="n">
        <f aca="false">(IF(ISNUMBER(H10),H10,IF(LOWER(E10)="sqft",IFERROR(F10/43560/'00_Inputs_Dashboard'!$B$51,0),IF(LOWER(E10)="acres",IFERROR(F10,0),IFERROR(F10*G10,0)))))*(1+IF('Typical Inputs'!E20="",0,'Typical Inputs'!E20))</f>
        <v>1</v>
      </c>
      <c r="J10" s="190" t="n">
        <f aca="false">'Advanced Inputs'!$G$62</f>
        <v>1</v>
      </c>
      <c r="K10" s="190" t="n">
        <f aca="false">'Advanced Inputs'!$H$62</f>
        <v>2</v>
      </c>
      <c r="L10" s="191" t="n">
        <f aca="false">'Advanced Inputs'!$I$62</f>
        <v>1</v>
      </c>
      <c r="M10" s="189" t="n">
        <f aca="false">I10*L10</f>
        <v>1</v>
      </c>
      <c r="N10" s="192" t="n">
        <f aca="false">IFERROR(IF(LOWER(E10)="rooms",VLOOKUP(D10,'02_Type_Assumptions'!$A$4:$Z$25,6,FALSE()),IF(LOWER(E10)="acres",VLOOKUP(D10,'02_Type_Assumptions'!$A$4:$Z$25,5,FALSE()),VLOOKUP(D10,'02_Type_Assumptions'!$A$4:$Z$25,4,FALSE()))),0)</f>
        <v>1000000</v>
      </c>
      <c r="O10" s="193"/>
      <c r="P10" s="192" t="n">
        <f aca="false">IF(ISNUMBER(O10),O10,IF(LOWER(E10)="rooms",F10*N10*L10,IF(LOWER(E10)="acres",M10*N10,IF(LOWER(E10)="sqft",M10*VLOOKUP(D10,'02_Type_Assumptions'!$A$4:$Z$25,5,FALSE()),F10*N10*L10))))</f>
        <v>1000000</v>
      </c>
      <c r="Q10" s="192" t="n">
        <f aca="false">IFERROR(IF(VLOOKUP(D10,'02_Type_Assumptions'!$A$4:$Z$25,23,FALSE())="per_acre",VLOOKUP(D10,'02_Type_Assumptions'!$A$4:$Z$25,8,FALSE()),0),0)</f>
        <v>3000000</v>
      </c>
      <c r="R10" s="193"/>
      <c r="S10" s="192" t="n">
        <f aca="false">IF(ISNUMBER(R10),R10*L10,M10*Q10)</f>
        <v>3000000</v>
      </c>
      <c r="T10" s="187" t="n">
        <f aca="false">IF(LOWER(E10)="sqft",F10*L10,M10*IFERROR(VLOOKUP(D10,'02_Type_Assumptions'!$A$4:$Z$25,9,FALSE()),0))</f>
        <v>3000</v>
      </c>
      <c r="U10" s="187" t="n">
        <f aca="false">IF(OR(LOWER(E10)="lots",LOWER(E10)="units"),F10*L10,0)</f>
        <v>0</v>
      </c>
      <c r="V10" s="187" t="n">
        <f aca="false">U10*IFERROR(VLOOKUP(D10,'02_Type_Assumptions'!$A$4:$Z$25,21,FALSE()),0)</f>
        <v>0</v>
      </c>
      <c r="W10" s="189" t="n">
        <f aca="false">IFERROR(IF(OR(LOWER(E10)="lots",LOWER(E10)="units",LOWER(E10)="rooms"),F10*L10*VLOOKUP(D10,'02_Type_Assumptions'!$A$4:$Z$25,10,FALSE()),IF(LOWER(E10)="acres",M10*VLOOKUP(D10,'02_Type_Assumptions'!$A$4:$Z$25,11,FALSE()),IF(LOWER(E10)="sqft",T10/1000*VLOOKUP(D10,'02_Type_Assumptions'!$A$4:$Z$25,12,FALSE()),0))),0)</f>
        <v>8</v>
      </c>
      <c r="X10" s="192" t="n">
        <f aca="false">'Advanced Inputs'!$D$50</f>
        <v>7165</v>
      </c>
      <c r="Y10" s="193"/>
      <c r="Z10" s="192" t="n">
        <f aca="false">IF(ISNUMBER(Y10),Y10,W10*X10)</f>
        <v>57320</v>
      </c>
      <c r="AA10" s="193"/>
      <c r="AB10" s="193"/>
      <c r="AC10" s="195" t="s">
        <v>576</v>
      </c>
      <c r="AD10" s="196" t="n">
        <f aca="false">IFERROR($P10*VLOOKUP($D10,'02_Type_Assumptions'!$A$4:$AC$25,28,FALSE()),$P10)+IFERROR(AK10,0)</f>
        <v>990000</v>
      </c>
      <c r="AE10" s="196" t="n">
        <f aca="false">IFERROR($P10*VLOOKUP($D10,'02_Type_Assumptions'!$A$4:$AC$25,29,FALSE()),$P10)+IFERROR(AL10,0)</f>
        <v>990000</v>
      </c>
      <c r="AF10" s="176" t="n">
        <f aca="false">IF(IFERROR(VLOOKUP($D10,'02_Type_Assumptions'!$A$4:$AC$25,27,FALSE()),"")="Industrial",$AD10,0)</f>
        <v>0</v>
      </c>
      <c r="AG10" s="176" t="n">
        <f aca="false">IF(IFERROR(VLOOKUP($D10,'02_Type_Assumptions'!$A$4:$AC$25,27,FALSE()),"")="Industrial",$AE10,0)</f>
        <v>0</v>
      </c>
      <c r="AH10" s="194" t="n">
        <f aca="false">IF('Advanced Inputs'!$L$62="",I10,'Advanced Inputs'!$L$62)</f>
        <v>1</v>
      </c>
      <c r="AI10" s="176" t="n">
        <f aca="false">MAX(0,AH10-I10)</f>
        <v>0</v>
      </c>
      <c r="AJ10" s="176" t="n">
        <f aca="false">AI10*IF(LOWER('Advanced Inputs'!$M$62)="ag",'Advanced Inputs'!$D$51,'02_Type_Assumptions'!$E$18)</f>
        <v>0</v>
      </c>
      <c r="AK10" s="176" t="n">
        <f aca="false">AJ10*'02_Type_Assumptions'!$AB$18</f>
        <v>0</v>
      </c>
      <c r="AL10" s="176" t="n">
        <f aca="false">AJ10*'02_Type_Assumptions'!$AC$18</f>
        <v>0</v>
      </c>
    </row>
    <row r="11" customFormat="false" ht="15" hidden="false" customHeight="true" outlineLevel="0" collapsed="false">
      <c r="A11" s="175" t="n">
        <v>9</v>
      </c>
      <c r="B11" s="185" t="str">
        <f aca="false">'Advanced Inputs'!$A$63</f>
        <v>Restaurant (Full-Service)</v>
      </c>
      <c r="C11" s="186" t="b">
        <f aca="false">('Advanced Inputs'!$B$63="Yes")</f>
        <v>0</v>
      </c>
      <c r="D11" s="185" t="str">
        <f aca="false">'Advanced Inputs'!$A$63</f>
        <v>Restaurant (Full-Service)</v>
      </c>
      <c r="E11" s="185" t="str">
        <f aca="false">'Advanced Inputs'!$D$63</f>
        <v>acres</v>
      </c>
      <c r="F11" s="187" t="n">
        <f aca="false">'Advanced Inputs'!$E$63</f>
        <v>1.5</v>
      </c>
      <c r="G11" s="188" t="n">
        <f aca="false">IF('Advanced Inputs'!$N$63&lt;&gt;"",'Advanced Inputs'!$N$63,IFERROR(VLOOKUP(D11,'02_Type_Assumptions'!$A$4:$Z$25,3,FALSE()),0))</f>
        <v>1</v>
      </c>
      <c r="H11" s="189" t="str">
        <f aca="false">IF('Advanced Inputs'!$F$63="","",'Advanced Inputs'!$F$63)</f>
        <v/>
      </c>
      <c r="I11" s="189" t="n">
        <f aca="false">(IF(ISNUMBER(H11),H11,IF(LOWER(E11)="sqft",IFERROR(F11/43560/'00_Inputs_Dashboard'!$B$51,0),IF(LOWER(E11)="acres",IFERROR(F11,0),IFERROR(F11*G11,0)))))*(1+IF('Typical Inputs'!E21="",0,'Typical Inputs'!E21))</f>
        <v>1.5</v>
      </c>
      <c r="J11" s="190" t="n">
        <f aca="false">'Advanced Inputs'!$G$63</f>
        <v>1</v>
      </c>
      <c r="K11" s="190" t="n">
        <f aca="false">'Advanced Inputs'!$H$63</f>
        <v>2</v>
      </c>
      <c r="L11" s="191" t="n">
        <f aca="false">'Advanced Inputs'!$I$63</f>
        <v>1</v>
      </c>
      <c r="M11" s="189" t="n">
        <f aca="false">I11*L11</f>
        <v>1.5</v>
      </c>
      <c r="N11" s="192" t="n">
        <f aca="false">IFERROR(IF(LOWER(E11)="rooms",VLOOKUP(D11,'02_Type_Assumptions'!$A$4:$Z$25,6,FALSE()),IF(LOWER(E11)="acres",VLOOKUP(D11,'02_Type_Assumptions'!$A$4:$Z$25,5,FALSE()),VLOOKUP(D11,'02_Type_Assumptions'!$A$4:$Z$25,4,FALSE()))),0)</f>
        <v>900000</v>
      </c>
      <c r="O11" s="193"/>
      <c r="P11" s="192" t="n">
        <f aca="false">IF(ISNUMBER(O11),O11,IF(LOWER(E11)="rooms",F11*N11*L11,IF(LOWER(E11)="acres",M11*N11,IF(LOWER(E11)="sqft",M11*VLOOKUP(D11,'02_Type_Assumptions'!$A$4:$Z$25,5,FALSE()),F11*N11*L11))))</f>
        <v>1350000</v>
      </c>
      <c r="Q11" s="192" t="n">
        <f aca="false">IFERROR(IF(VLOOKUP(D11,'02_Type_Assumptions'!$A$4:$Z$25,23,FALSE())="per_acre",VLOOKUP(D11,'02_Type_Assumptions'!$A$4:$Z$25,8,FALSE()),0),0)</f>
        <v>2500000</v>
      </c>
      <c r="R11" s="193"/>
      <c r="S11" s="192" t="n">
        <f aca="false">IF(ISNUMBER(R11),R11*L11,M11*Q11)</f>
        <v>3750000</v>
      </c>
      <c r="T11" s="187" t="n">
        <f aca="false">IF(LOWER(E11)="sqft",F11*L11,M11*IFERROR(VLOOKUP(D11,'02_Type_Assumptions'!$A$4:$Z$25,9,FALSE()),0))</f>
        <v>7500</v>
      </c>
      <c r="U11" s="187" t="n">
        <f aca="false">IF(OR(LOWER(E11)="lots",LOWER(E11)="units"),F11*L11,0)</f>
        <v>0</v>
      </c>
      <c r="V11" s="187" t="n">
        <f aca="false">U11*IFERROR(VLOOKUP(D11,'02_Type_Assumptions'!$A$4:$Z$25,21,FALSE()),0)</f>
        <v>0</v>
      </c>
      <c r="W11" s="189" t="n">
        <f aca="false">IFERROR(IF(OR(LOWER(E11)="lots",LOWER(E11)="units",LOWER(E11)="rooms"),F11*L11*VLOOKUP(D11,'02_Type_Assumptions'!$A$4:$Z$25,10,FALSE()),IF(LOWER(E11)="acres",M11*VLOOKUP(D11,'02_Type_Assumptions'!$A$4:$Z$25,11,FALSE()),IF(LOWER(E11)="sqft",T11/1000*VLOOKUP(D11,'02_Type_Assumptions'!$A$4:$Z$25,12,FALSE()),0))),0)</f>
        <v>12</v>
      </c>
      <c r="X11" s="192" t="n">
        <f aca="false">'Advanced Inputs'!$D$50</f>
        <v>7165</v>
      </c>
      <c r="Y11" s="193"/>
      <c r="Z11" s="192" t="n">
        <f aca="false">IF(ISNUMBER(Y11),Y11,W11*X11)</f>
        <v>85980</v>
      </c>
      <c r="AA11" s="193"/>
      <c r="AB11" s="193"/>
      <c r="AC11" s="195" t="s">
        <v>577</v>
      </c>
      <c r="AD11" s="196" t="n">
        <f aca="false">IFERROR($P11*VLOOKUP($D11,'02_Type_Assumptions'!$A$4:$AC$25,28,FALSE()),$P11)+IFERROR(AK11,0)</f>
        <v>1336500</v>
      </c>
      <c r="AE11" s="196" t="n">
        <f aca="false">IFERROR($P11*VLOOKUP($D11,'02_Type_Assumptions'!$A$4:$AC$25,29,FALSE()),$P11)+IFERROR(AL11,0)</f>
        <v>1336500</v>
      </c>
      <c r="AF11" s="196" t="n">
        <f aca="false">IF(IFERROR(VLOOKUP($D11,'02_Type_Assumptions'!$A$4:$AC$25,27,FALSE()),"")="Industrial",$AD11,0)</f>
        <v>0</v>
      </c>
      <c r="AG11" s="196" t="n">
        <f aca="false">IF(IFERROR(VLOOKUP($D11,'02_Type_Assumptions'!$A$4:$AC$25,27,FALSE()),"")="Industrial",$AE11,0)</f>
        <v>0</v>
      </c>
      <c r="AH11" s="194" t="n">
        <f aca="false">IF('Advanced Inputs'!$L$63="",I11,'Advanced Inputs'!$L$63)</f>
        <v>1.5</v>
      </c>
      <c r="AI11" s="176" t="n">
        <f aca="false">MAX(0,AH11-I11)</f>
        <v>0</v>
      </c>
      <c r="AJ11" s="176" t="n">
        <f aca="false">AI11*IF(LOWER('Advanced Inputs'!$M$63)="ag",'Advanced Inputs'!$D$51,'02_Type_Assumptions'!$E$18)</f>
        <v>0</v>
      </c>
      <c r="AK11" s="176" t="n">
        <f aca="false">AJ11*'02_Type_Assumptions'!$AB$18</f>
        <v>0</v>
      </c>
      <c r="AL11" s="176" t="n">
        <f aca="false">AJ11*'02_Type_Assumptions'!$AC$18</f>
        <v>0</v>
      </c>
    </row>
    <row r="12" customFormat="false" ht="15" hidden="false" customHeight="true" outlineLevel="0" collapsed="false">
      <c r="A12" s="175" t="n">
        <v>10</v>
      </c>
      <c r="B12" s="185" t="str">
        <f aca="false">'Advanced Inputs'!$A$64</f>
        <v>Grocery / Supermarket</v>
      </c>
      <c r="C12" s="186" t="b">
        <f aca="false">('Advanced Inputs'!$B$64="Yes")</f>
        <v>0</v>
      </c>
      <c r="D12" s="185" t="str">
        <f aca="false">'Advanced Inputs'!$A$64</f>
        <v>Grocery / Supermarket</v>
      </c>
      <c r="E12" s="185" t="str">
        <f aca="false">'Advanced Inputs'!$D$64</f>
        <v>acres</v>
      </c>
      <c r="F12" s="187" t="n">
        <f aca="false">'Advanced Inputs'!$E$64</f>
        <v>4</v>
      </c>
      <c r="G12" s="188" t="n">
        <f aca="false">IF('Advanced Inputs'!$N$64&lt;&gt;"",'Advanced Inputs'!$N$64,IFERROR(VLOOKUP(D12,'02_Type_Assumptions'!$A$4:$Z$25,3,FALSE()),0))</f>
        <v>1</v>
      </c>
      <c r="H12" s="189" t="str">
        <f aca="false">IF('Advanced Inputs'!$F$64="","",'Advanced Inputs'!$F$64)</f>
        <v/>
      </c>
      <c r="I12" s="189" t="n">
        <f aca="false">(IF(ISNUMBER(H12),H12,IF(LOWER(E12)="sqft",IFERROR(F12/43560/'00_Inputs_Dashboard'!$B$51,0),IF(LOWER(E12)="acres",IFERROR(F12,0),IFERROR(F12*G12,0)))))*(1+IF('Typical Inputs'!E22="",0,'Typical Inputs'!E22))</f>
        <v>4</v>
      </c>
      <c r="J12" s="190" t="n">
        <f aca="false">'Advanced Inputs'!$G$64</f>
        <v>1</v>
      </c>
      <c r="K12" s="190" t="n">
        <f aca="false">'Advanced Inputs'!$H$64</f>
        <v>2</v>
      </c>
      <c r="L12" s="191" t="n">
        <f aca="false">'Advanced Inputs'!$I$64</f>
        <v>1</v>
      </c>
      <c r="M12" s="189" t="n">
        <f aca="false">I12*L12</f>
        <v>4</v>
      </c>
      <c r="N12" s="192" t="n">
        <f aca="false">IFERROR(IF(LOWER(E12)="rooms",VLOOKUP(D12,'02_Type_Assumptions'!$A$4:$Z$25,6,FALSE()),IF(LOWER(E12)="acres",VLOOKUP(D12,'02_Type_Assumptions'!$A$4:$Z$25,5,FALSE()),VLOOKUP(D12,'02_Type_Assumptions'!$A$4:$Z$25,4,FALSE()))),0)</f>
        <v>700000</v>
      </c>
      <c r="O12" s="193"/>
      <c r="P12" s="192" t="n">
        <f aca="false">IF(ISNUMBER(O12),O12,IF(LOWER(E12)="rooms",F12*N12*L12,IF(LOWER(E12)="acres",M12*N12,IF(LOWER(E12)="sqft",M12*VLOOKUP(D12,'02_Type_Assumptions'!$A$4:$Z$25,5,FALSE()),F12*N12*L12))))</f>
        <v>2800000</v>
      </c>
      <c r="Q12" s="192" t="n">
        <f aca="false">IFERROR(IF(VLOOKUP(D12,'02_Type_Assumptions'!$A$4:$Z$25,23,FALSE())="per_acre",VLOOKUP(D12,'02_Type_Assumptions'!$A$4:$Z$25,8,FALSE()),0),0)</f>
        <v>1000000</v>
      </c>
      <c r="R12" s="193"/>
      <c r="S12" s="192" t="n">
        <f aca="false">IF(ISNUMBER(R12),R12*L12,M12*Q12)</f>
        <v>4000000</v>
      </c>
      <c r="T12" s="187" t="n">
        <f aca="false">IF(LOWER(E12)="sqft",F12*L12,M12*IFERROR(VLOOKUP(D12,'02_Type_Assumptions'!$A$4:$Z$25,9,FALSE()),0))</f>
        <v>44000</v>
      </c>
      <c r="U12" s="187" t="n">
        <f aca="false">IF(OR(LOWER(E12)="lots",LOWER(E12)="units"),F12*L12,0)</f>
        <v>0</v>
      </c>
      <c r="V12" s="187" t="n">
        <f aca="false">U12*IFERROR(VLOOKUP(D12,'02_Type_Assumptions'!$A$4:$Z$25,21,FALSE()),0)</f>
        <v>0</v>
      </c>
      <c r="W12" s="189" t="n">
        <f aca="false">IFERROR(IF(OR(LOWER(E12)="lots",LOWER(E12)="units",LOWER(E12)="rooms"),F12*L12*VLOOKUP(D12,'02_Type_Assumptions'!$A$4:$Z$25,10,FALSE()),IF(LOWER(E12)="acres",M12*VLOOKUP(D12,'02_Type_Assumptions'!$A$4:$Z$25,11,FALSE()),IF(LOWER(E12)="sqft",T12/1000*VLOOKUP(D12,'02_Type_Assumptions'!$A$4:$Z$25,12,FALSE()),0))),0)</f>
        <v>32</v>
      </c>
      <c r="X12" s="192" t="n">
        <f aca="false">'Advanced Inputs'!$D$50</f>
        <v>7165</v>
      </c>
      <c r="Y12" s="193"/>
      <c r="Z12" s="192" t="n">
        <f aca="false">IF(ISNUMBER(Y12),Y12,W12*X12)</f>
        <v>229280</v>
      </c>
      <c r="AA12" s="193"/>
      <c r="AB12" s="193"/>
      <c r="AC12" s="195" t="s">
        <v>578</v>
      </c>
      <c r="AD12" s="196" t="n">
        <f aca="false">IFERROR($P12*VLOOKUP($D12,'02_Type_Assumptions'!$A$4:$AC$25,28,FALSE()),$P12)+IFERROR(AK12,0)</f>
        <v>2772000</v>
      </c>
      <c r="AE12" s="196" t="n">
        <f aca="false">IFERROR($P12*VLOOKUP($D12,'02_Type_Assumptions'!$A$4:$AC$25,29,FALSE()),$P12)+IFERROR(AL12,0)</f>
        <v>2772000</v>
      </c>
      <c r="AF12" s="196" t="n">
        <f aca="false">IF(IFERROR(VLOOKUP($D12,'02_Type_Assumptions'!$A$4:$AC$25,27,FALSE()),"")="Industrial",$AD12,0)</f>
        <v>0</v>
      </c>
      <c r="AG12" s="196" t="n">
        <f aca="false">IF(IFERROR(VLOOKUP($D12,'02_Type_Assumptions'!$A$4:$AC$25,27,FALSE()),"")="Industrial",$AE12,0)</f>
        <v>0</v>
      </c>
      <c r="AH12" s="194" t="n">
        <f aca="false">IF('Advanced Inputs'!$L$64="",I12,'Advanced Inputs'!$L$64)</f>
        <v>4</v>
      </c>
      <c r="AI12" s="176" t="n">
        <f aca="false">MAX(0,AH12-I12)</f>
        <v>0</v>
      </c>
      <c r="AJ12" s="176" t="n">
        <f aca="false">AI12*IF(LOWER('Advanced Inputs'!$M$64)="ag",'Advanced Inputs'!$D$51,'02_Type_Assumptions'!$E$18)</f>
        <v>0</v>
      </c>
      <c r="AK12" s="176" t="n">
        <f aca="false">AJ12*'02_Type_Assumptions'!$AB$18</f>
        <v>0</v>
      </c>
      <c r="AL12" s="176" t="n">
        <f aca="false">AJ12*'02_Type_Assumptions'!$AC$18</f>
        <v>0</v>
      </c>
    </row>
    <row r="13" customFormat="false" ht="15" hidden="false" customHeight="true" outlineLevel="0" collapsed="false">
      <c r="A13" s="175" t="n">
        <v>11</v>
      </c>
      <c r="B13" s="185" t="str">
        <f aca="false">'Advanced Inputs'!$A$65</f>
        <v>Auto Parts / Service</v>
      </c>
      <c r="C13" s="186" t="b">
        <f aca="false">('Advanced Inputs'!$B$65="Yes")</f>
        <v>0</v>
      </c>
      <c r="D13" s="185" t="str">
        <f aca="false">'Advanced Inputs'!$A$65</f>
        <v>Auto Parts / Service</v>
      </c>
      <c r="E13" s="185" t="str">
        <f aca="false">'Advanced Inputs'!$D$65</f>
        <v>acres</v>
      </c>
      <c r="F13" s="187" t="n">
        <f aca="false">'Advanced Inputs'!$E$65</f>
        <v>1.5</v>
      </c>
      <c r="G13" s="188" t="n">
        <f aca="false">IF('Advanced Inputs'!$N$65&lt;&gt;"",'Advanced Inputs'!$N$65,IFERROR(VLOOKUP(D13,'02_Type_Assumptions'!$A$4:$Z$25,3,FALSE()),0))</f>
        <v>1</v>
      </c>
      <c r="H13" s="189" t="str">
        <f aca="false">IF('Advanced Inputs'!$F$65="","",'Advanced Inputs'!$F$65)</f>
        <v/>
      </c>
      <c r="I13" s="189" t="n">
        <f aca="false">(IF(ISNUMBER(H13),H13,IF(LOWER(E13)="sqft",IFERROR(F13/43560/'00_Inputs_Dashboard'!$B$51,0),IF(LOWER(E13)="acres",IFERROR(F13,0),IFERROR(F13*G13,0)))))*(1+IF('Typical Inputs'!E23="",0,'Typical Inputs'!E23))</f>
        <v>1.5</v>
      </c>
      <c r="J13" s="190" t="n">
        <f aca="false">'Advanced Inputs'!$G$65</f>
        <v>1</v>
      </c>
      <c r="K13" s="190" t="n">
        <f aca="false">'Advanced Inputs'!$H$65</f>
        <v>2</v>
      </c>
      <c r="L13" s="191" t="n">
        <f aca="false">'Advanced Inputs'!$I$65</f>
        <v>1</v>
      </c>
      <c r="M13" s="189" t="n">
        <f aca="false">I13*L13</f>
        <v>1.5</v>
      </c>
      <c r="N13" s="192" t="n">
        <f aca="false">IFERROR(IF(LOWER(E13)="rooms",VLOOKUP(D13,'02_Type_Assumptions'!$A$4:$Z$25,6,FALSE()),IF(LOWER(E13)="acres",VLOOKUP(D13,'02_Type_Assumptions'!$A$4:$Z$25,5,FALSE()),VLOOKUP(D13,'02_Type_Assumptions'!$A$4:$Z$25,4,FALSE()))),0)</f>
        <v>600000</v>
      </c>
      <c r="O13" s="193"/>
      <c r="P13" s="192" t="n">
        <f aca="false">IF(ISNUMBER(O13),O13,IF(LOWER(E13)="rooms",F13*N13*L13,IF(LOWER(E13)="acres",M13*N13,IF(LOWER(E13)="sqft",M13*VLOOKUP(D13,'02_Type_Assumptions'!$A$4:$Z$25,5,FALSE()),F13*N13*L13))))</f>
        <v>900000</v>
      </c>
      <c r="Q13" s="192" t="n">
        <f aca="false">IFERROR(IF(VLOOKUP(D13,'02_Type_Assumptions'!$A$4:$Z$25,23,FALSE())="per_acre",VLOOKUP(D13,'02_Type_Assumptions'!$A$4:$Z$25,8,FALSE()),0),0)</f>
        <v>1500000</v>
      </c>
      <c r="R13" s="193"/>
      <c r="S13" s="192" t="n">
        <f aca="false">IF(ISNUMBER(R13),R13*L13,M13*Q13)</f>
        <v>2250000</v>
      </c>
      <c r="T13" s="187" t="n">
        <f aca="false">IF(LOWER(E13)="sqft",F13*L13,M13*IFERROR(VLOOKUP(D13,'02_Type_Assumptions'!$A$4:$Z$25,9,FALSE()),0))</f>
        <v>12000</v>
      </c>
      <c r="U13" s="187" t="n">
        <f aca="false">IF(OR(LOWER(E13)="lots",LOWER(E13)="units"),F13*L13,0)</f>
        <v>0</v>
      </c>
      <c r="V13" s="187" t="n">
        <f aca="false">U13*IFERROR(VLOOKUP(D13,'02_Type_Assumptions'!$A$4:$Z$25,21,FALSE()),0)</f>
        <v>0</v>
      </c>
      <c r="W13" s="189" t="n">
        <f aca="false">IFERROR(IF(OR(LOWER(E13)="lots",LOWER(E13)="units",LOWER(E13)="rooms"),F13*L13*VLOOKUP(D13,'02_Type_Assumptions'!$A$4:$Z$25,10,FALSE()),IF(LOWER(E13)="acres",M13*VLOOKUP(D13,'02_Type_Assumptions'!$A$4:$Z$25,11,FALSE()),IF(LOWER(E13)="sqft",T13/1000*VLOOKUP(D13,'02_Type_Assumptions'!$A$4:$Z$25,12,FALSE()),0))),0)</f>
        <v>12</v>
      </c>
      <c r="X13" s="192" t="n">
        <f aca="false">'Advanced Inputs'!$D$50</f>
        <v>7165</v>
      </c>
      <c r="Y13" s="193"/>
      <c r="Z13" s="192" t="n">
        <f aca="false">IF(ISNUMBER(Y13),Y13,W13*X13)</f>
        <v>85980</v>
      </c>
      <c r="AA13" s="193"/>
      <c r="AB13" s="193"/>
      <c r="AC13" s="195" t="s">
        <v>579</v>
      </c>
      <c r="AD13" s="196" t="n">
        <f aca="false">IFERROR($P13*VLOOKUP($D13,'02_Type_Assumptions'!$A$4:$AC$25,28,FALSE()),$P13)+IFERROR(AK13,0)</f>
        <v>891000</v>
      </c>
      <c r="AE13" s="196" t="n">
        <f aca="false">IFERROR($P13*VLOOKUP($D13,'02_Type_Assumptions'!$A$4:$AC$25,29,FALSE()),$P13)+IFERROR(AL13,0)</f>
        <v>891000</v>
      </c>
      <c r="AF13" s="196" t="n">
        <f aca="false">IF(IFERROR(VLOOKUP($D13,'02_Type_Assumptions'!$A$4:$AC$25,27,FALSE()),"")="Industrial",$AD13,0)</f>
        <v>0</v>
      </c>
      <c r="AG13" s="196" t="n">
        <f aca="false">IF(IFERROR(VLOOKUP($D13,'02_Type_Assumptions'!$A$4:$AC$25,27,FALSE()),"")="Industrial",$AE13,0)</f>
        <v>0</v>
      </c>
      <c r="AH13" s="194" t="n">
        <f aca="false">IF('Advanced Inputs'!$L$65="",I13,'Advanced Inputs'!$L$65)</f>
        <v>1.5</v>
      </c>
      <c r="AI13" s="176" t="n">
        <f aca="false">MAX(0,AH13-I13)</f>
        <v>0</v>
      </c>
      <c r="AJ13" s="176" t="n">
        <f aca="false">AI13*IF(LOWER('Advanced Inputs'!$M$65)="ag",'Advanced Inputs'!$D$51,'02_Type_Assumptions'!$E$18)</f>
        <v>0</v>
      </c>
      <c r="AK13" s="176" t="n">
        <f aca="false">AJ13*'02_Type_Assumptions'!$AB$18</f>
        <v>0</v>
      </c>
      <c r="AL13" s="176" t="n">
        <f aca="false">AJ13*'02_Type_Assumptions'!$AC$18</f>
        <v>0</v>
      </c>
    </row>
    <row r="14" customFormat="false" ht="15" hidden="false" customHeight="true" outlineLevel="0" collapsed="false">
      <c r="A14" s="175" t="n">
        <v>12</v>
      </c>
      <c r="B14" s="185" t="str">
        <f aca="false">'Advanced Inputs'!$A$66</f>
        <v>Car Wash</v>
      </c>
      <c r="C14" s="186" t="b">
        <f aca="false">('Advanced Inputs'!$B$66="Yes")</f>
        <v>0</v>
      </c>
      <c r="D14" s="185" t="str">
        <f aca="false">'Advanced Inputs'!$A$66</f>
        <v>Car Wash</v>
      </c>
      <c r="E14" s="185" t="str">
        <f aca="false">'Advanced Inputs'!$D$66</f>
        <v>acres</v>
      </c>
      <c r="F14" s="187" t="n">
        <f aca="false">'Advanced Inputs'!$E$66</f>
        <v>1</v>
      </c>
      <c r="G14" s="188" t="n">
        <f aca="false">IF('Advanced Inputs'!$N$66&lt;&gt;"",'Advanced Inputs'!$N$66,IFERROR(VLOOKUP(D14,'02_Type_Assumptions'!$A$4:$Z$25,3,FALSE()),0))</f>
        <v>1</v>
      </c>
      <c r="H14" s="189" t="str">
        <f aca="false">IF('Advanced Inputs'!$F$66="","",'Advanced Inputs'!$F$66)</f>
        <v/>
      </c>
      <c r="I14" s="189" t="n">
        <f aca="false">(IF(ISNUMBER(H14),H14,IF(LOWER(E14)="sqft",IFERROR(F14/43560/'00_Inputs_Dashboard'!$B$51,0),IF(LOWER(E14)="acres",IFERROR(F14,0),IFERROR(F14*G14,0)))))*(1+IF('Typical Inputs'!E24="",0,'Typical Inputs'!E24))</f>
        <v>1</v>
      </c>
      <c r="J14" s="190" t="n">
        <f aca="false">'Advanced Inputs'!$G$66</f>
        <v>1</v>
      </c>
      <c r="K14" s="190" t="n">
        <f aca="false">'Advanced Inputs'!$H$66</f>
        <v>2</v>
      </c>
      <c r="L14" s="191" t="n">
        <f aca="false">'Advanced Inputs'!$I$66</f>
        <v>1</v>
      </c>
      <c r="M14" s="189" t="n">
        <f aca="false">I14*L14</f>
        <v>1</v>
      </c>
      <c r="N14" s="192" t="n">
        <f aca="false">IFERROR(IF(LOWER(E14)="rooms",VLOOKUP(D14,'02_Type_Assumptions'!$A$4:$Z$25,6,FALSE()),IF(LOWER(E14)="acres",VLOOKUP(D14,'02_Type_Assumptions'!$A$4:$Z$25,5,FALSE()),VLOOKUP(D14,'02_Type_Assumptions'!$A$4:$Z$25,4,FALSE()))),0)</f>
        <v>700000</v>
      </c>
      <c r="O14" s="193"/>
      <c r="P14" s="192" t="n">
        <f aca="false">IF(ISNUMBER(O14),O14,IF(LOWER(E14)="rooms",F14*N14*L14,IF(LOWER(E14)="acres",M14*N14,IF(LOWER(E14)="sqft",M14*VLOOKUP(D14,'02_Type_Assumptions'!$A$4:$Z$25,5,FALSE()),F14*N14*L14))))</f>
        <v>700000</v>
      </c>
      <c r="Q14" s="192" t="n">
        <f aca="false">IFERROR(IF(VLOOKUP(D14,'02_Type_Assumptions'!$A$4:$Z$25,23,FALSE())="per_acre",VLOOKUP(D14,'02_Type_Assumptions'!$A$4:$Z$25,8,FALSE()),0),0)</f>
        <v>1200000</v>
      </c>
      <c r="R14" s="193"/>
      <c r="S14" s="192" t="n">
        <f aca="false">IF(ISNUMBER(R14),R14*L14,M14*Q14)</f>
        <v>1200000</v>
      </c>
      <c r="T14" s="187" t="n">
        <f aca="false">IF(LOWER(E14)="sqft",F14*L14,M14*IFERROR(VLOOKUP(D14,'02_Type_Assumptions'!$A$4:$Z$25,9,FALSE()),0))</f>
        <v>4000</v>
      </c>
      <c r="U14" s="187" t="n">
        <f aca="false">IF(OR(LOWER(E14)="lots",LOWER(E14)="units"),F14*L14,0)</f>
        <v>0</v>
      </c>
      <c r="V14" s="187" t="n">
        <f aca="false">U14*IFERROR(VLOOKUP(D14,'02_Type_Assumptions'!$A$4:$Z$25,21,FALSE()),0)</f>
        <v>0</v>
      </c>
      <c r="W14" s="189" t="n">
        <f aca="false">IFERROR(IF(OR(LOWER(E14)="lots",LOWER(E14)="units",LOWER(E14)="rooms"),F14*L14*VLOOKUP(D14,'02_Type_Assumptions'!$A$4:$Z$25,10,FALSE()),IF(LOWER(E14)="acres",M14*VLOOKUP(D14,'02_Type_Assumptions'!$A$4:$Z$25,11,FALSE()),IF(LOWER(E14)="sqft",T14/1000*VLOOKUP(D14,'02_Type_Assumptions'!$A$4:$Z$25,12,FALSE()),0))),0)</f>
        <v>8</v>
      </c>
      <c r="X14" s="192" t="n">
        <f aca="false">'Advanced Inputs'!$D$50</f>
        <v>7165</v>
      </c>
      <c r="Y14" s="193"/>
      <c r="Z14" s="192" t="n">
        <f aca="false">IF(ISNUMBER(Y14),Y14,W14*X14)</f>
        <v>57320</v>
      </c>
      <c r="AA14" s="193"/>
      <c r="AB14" s="193"/>
      <c r="AC14" s="195" t="s">
        <v>580</v>
      </c>
      <c r="AD14" s="196" t="n">
        <f aca="false">IFERROR($P14*VLOOKUP($D14,'02_Type_Assumptions'!$A$4:$AC$25,28,FALSE()),$P14)+IFERROR(AK14,0)</f>
        <v>693000</v>
      </c>
      <c r="AE14" s="196" t="n">
        <f aca="false">IFERROR($P14*VLOOKUP($D14,'02_Type_Assumptions'!$A$4:$AC$25,29,FALSE()),$P14)+IFERROR(AL14,0)</f>
        <v>693000</v>
      </c>
      <c r="AF14" s="176" t="n">
        <f aca="false">IF(IFERROR(VLOOKUP($D14,'02_Type_Assumptions'!$A$4:$AC$25,27,FALSE()),"")="Industrial",$AD14,0)</f>
        <v>0</v>
      </c>
      <c r="AG14" s="176" t="n">
        <f aca="false">IF(IFERROR(VLOOKUP($D14,'02_Type_Assumptions'!$A$4:$AC$25,27,FALSE()),"")="Industrial",$AE14,0)</f>
        <v>0</v>
      </c>
      <c r="AH14" s="194" t="n">
        <f aca="false">IF('Advanced Inputs'!$L$66="",I14,'Advanced Inputs'!$L$66)</f>
        <v>1</v>
      </c>
      <c r="AI14" s="176" t="n">
        <f aca="false">MAX(0,AH14-I14)</f>
        <v>0</v>
      </c>
      <c r="AJ14" s="176" t="n">
        <f aca="false">AI14*IF(LOWER('Advanced Inputs'!$M$66)="ag",'Advanced Inputs'!$D$51,'02_Type_Assumptions'!$E$18)</f>
        <v>0</v>
      </c>
      <c r="AK14" s="176" t="n">
        <f aca="false">AJ14*'02_Type_Assumptions'!$AB$18</f>
        <v>0</v>
      </c>
      <c r="AL14" s="176" t="n">
        <f aca="false">AJ14*'02_Type_Assumptions'!$AC$18</f>
        <v>0</v>
      </c>
    </row>
    <row r="15" customFormat="false" ht="15" hidden="false" customHeight="true" outlineLevel="0" collapsed="false">
      <c r="A15" s="175" t="n">
        <v>13</v>
      </c>
      <c r="B15" s="185" t="str">
        <f aca="false">'Advanced Inputs'!$A$67</f>
        <v>Single-Family Subdivision</v>
      </c>
      <c r="C15" s="186" t="b">
        <f aca="false">('Advanced Inputs'!$B$67="Yes")</f>
        <v>1</v>
      </c>
      <c r="D15" s="185" t="str">
        <f aca="false">'Advanced Inputs'!$A$67</f>
        <v>Single-Family Subdivision</v>
      </c>
      <c r="E15" s="185" t="str">
        <f aca="false">'Advanced Inputs'!$D$67</f>
        <v>lots</v>
      </c>
      <c r="F15" s="187" t="n">
        <f aca="false">'Advanced Inputs'!$E$67</f>
        <v>100</v>
      </c>
      <c r="G15" s="188" t="n">
        <f aca="false">IF('Advanced Inputs'!$N$67&lt;&gt;"",'Advanced Inputs'!$N$67,IFERROR(VLOOKUP(D15,'02_Type_Assumptions'!$A$4:$Z$25,3,FALSE()),0))</f>
        <v>0.125</v>
      </c>
      <c r="H15" s="189" t="str">
        <f aca="false">IF('Advanced Inputs'!$F$67="","",'Advanced Inputs'!$F$67)</f>
        <v/>
      </c>
      <c r="I15" s="189" t="n">
        <f aca="false">(IF(ISNUMBER(H15),H15,IF(LOWER(E15)="sqft",IFERROR(F15/43560/'00_Inputs_Dashboard'!$B$51,0),IF(LOWER(E15)="acres",IFERROR(F15,0),IFERROR(F15*G15,0)))))*(1+IF('Typical Inputs'!E25="",0,'Typical Inputs'!E25))</f>
        <v>18.75</v>
      </c>
      <c r="J15" s="197" t="n">
        <f aca="false">'Advanced Inputs'!$G$67</f>
        <v>1</v>
      </c>
      <c r="K15" s="197" t="n">
        <f aca="false">'Advanced Inputs'!$H$67</f>
        <v>5</v>
      </c>
      <c r="L15" s="198" t="n">
        <f aca="false">'Advanced Inputs'!$I$67</f>
        <v>1</v>
      </c>
      <c r="M15" s="189" t="n">
        <f aca="false">I15*L15</f>
        <v>18.75</v>
      </c>
      <c r="N15" s="192" t="n">
        <f aca="false">IFERROR(IF(LOWER(E15)="rooms",VLOOKUP(D15,'02_Type_Assumptions'!$A$4:$Z$25,6,FALSE()),IF(LOWER(E15)="acres",VLOOKUP(D15,'02_Type_Assumptions'!$A$4:$Z$25,5,FALSE()),VLOOKUP(D15,'02_Type_Assumptions'!$A$4:$Z$25,4,FALSE()))),0)</f>
        <v>270000</v>
      </c>
      <c r="O15" s="193"/>
      <c r="P15" s="192" t="n">
        <f aca="false">IF(ISNUMBER(O15),O15,IF(LOWER(E15)="rooms",F15*N15*L15,IF(LOWER(E15)="acres",M15*N15,IF(LOWER(E15)="sqft",M15*VLOOKUP(D15,'02_Type_Assumptions'!$A$4:$Z$25,5,FALSE()),F15*N15*L15))))</f>
        <v>27000000</v>
      </c>
      <c r="Q15" s="192" t="n">
        <f aca="false">IFERROR(IF(VLOOKUP(D15,'02_Type_Assumptions'!$A$4:$Z$25,23,FALSE())="per_acre",VLOOKUP(D15,'02_Type_Assumptions'!$A$4:$Z$25,8,FALSE()),0),0)</f>
        <v>0</v>
      </c>
      <c r="R15" s="193"/>
      <c r="S15" s="192" t="n">
        <f aca="false">IF(ISNUMBER(R15),R15*L15,M15*Q15)</f>
        <v>0</v>
      </c>
      <c r="T15" s="187" t="n">
        <f aca="false">IF(LOWER(E15)="sqft",F15*L15,M15*IFERROR(VLOOKUP(D15,'02_Type_Assumptions'!$A$4:$Z$25,9,FALSE()),0))</f>
        <v>0</v>
      </c>
      <c r="U15" s="187" t="n">
        <f aca="false">IF(OR(LOWER(E15)="lots",LOWER(E15)="units"),F15*L15,0)</f>
        <v>100</v>
      </c>
      <c r="V15" s="187" t="n">
        <f aca="false">U15*IFERROR(VLOOKUP(D15,'02_Type_Assumptions'!$A$4:$Z$25,21,FALSE()),0)</f>
        <v>270</v>
      </c>
      <c r="W15" s="189" t="n">
        <f aca="false">IFERROR(IF(OR(LOWER(E15)="lots",LOWER(E15)="units",LOWER(E15)="rooms"),F15*L15*VLOOKUP(D15,'02_Type_Assumptions'!$A$4:$Z$25,10,FALSE()),IF(LOWER(E15)="acres",M15*VLOOKUP(D15,'02_Type_Assumptions'!$A$4:$Z$25,11,FALSE()),IF(LOWER(E15)="sqft",T15/1000*VLOOKUP(D15,'02_Type_Assumptions'!$A$4:$Z$25,12,FALSE()),0))),0)</f>
        <v>100</v>
      </c>
      <c r="X15" s="192" t="n">
        <f aca="false">'Advanced Inputs'!$D$50</f>
        <v>7165</v>
      </c>
      <c r="Y15" s="193"/>
      <c r="Z15" s="192" t="n">
        <f aca="false">IF(ISNUMBER(Y15),Y15,W15*X15)</f>
        <v>716500</v>
      </c>
      <c r="AA15" s="193"/>
      <c r="AB15" s="193"/>
      <c r="AC15" s="195" t="s">
        <v>581</v>
      </c>
      <c r="AD15" s="196" t="n">
        <f aca="false">IFERROR($P15*VLOOKUP($D15,'02_Type_Assumptions'!$A$4:$AC$25,28,FALSE()),$P15)+IFERROR(AK15,0)</f>
        <v>26460000</v>
      </c>
      <c r="AE15" s="196" t="n">
        <f aca="false">IFERROR($P15*VLOOKUP($D15,'02_Type_Assumptions'!$A$4:$AC$25,29,FALSE()),$P15)+IFERROR(AL15,0)</f>
        <v>26055000</v>
      </c>
      <c r="AF15" s="176" t="n">
        <f aca="false">IF(IFERROR(VLOOKUP($D15,'02_Type_Assumptions'!$A$4:$AC$25,27,FALSE()),"")="Industrial",$AD15,0)</f>
        <v>0</v>
      </c>
      <c r="AG15" s="176" t="n">
        <f aca="false">IF(IFERROR(VLOOKUP($D15,'02_Type_Assumptions'!$A$4:$AC$25,27,FALSE()),"")="Industrial",$AE15,0)</f>
        <v>0</v>
      </c>
      <c r="AH15" s="194" t="n">
        <f aca="false">IF('Advanced Inputs'!$L$67="",I15,'Advanced Inputs'!$L$67)</f>
        <v>18.75</v>
      </c>
      <c r="AI15" s="176" t="n">
        <f aca="false">MAX(0,AH15-I15)</f>
        <v>0</v>
      </c>
      <c r="AJ15" s="176" t="n">
        <f aca="false">AI15*IF(LOWER('Advanced Inputs'!$M$67)="ag",'Advanced Inputs'!$D$51,'02_Type_Assumptions'!$E$18)</f>
        <v>0</v>
      </c>
      <c r="AK15" s="176" t="n">
        <f aca="false">AJ15*'02_Type_Assumptions'!$AB$18</f>
        <v>0</v>
      </c>
      <c r="AL15" s="176" t="n">
        <f aca="false">AJ15*'02_Type_Assumptions'!$AC$18</f>
        <v>0</v>
      </c>
    </row>
    <row r="16" customFormat="false" ht="15" hidden="false" customHeight="true" outlineLevel="0" collapsed="false">
      <c r="A16" s="175" t="n">
        <v>14</v>
      </c>
      <c r="B16" s="185" t="str">
        <f aca="false">'Advanced Inputs'!$A$68</f>
        <v>Single-Family Urban / Patio</v>
      </c>
      <c r="C16" s="186" t="b">
        <f aca="false">('Advanced Inputs'!$B$68="Yes")</f>
        <v>0</v>
      </c>
      <c r="D16" s="185" t="str">
        <f aca="false">'Advanced Inputs'!$A$68</f>
        <v>Single-Family Urban / Patio</v>
      </c>
      <c r="E16" s="185" t="str">
        <f aca="false">'Advanced Inputs'!$D$68</f>
        <v>lots</v>
      </c>
      <c r="F16" s="187" t="n">
        <f aca="false">'Advanced Inputs'!$E$68</f>
        <v>100</v>
      </c>
      <c r="G16" s="188" t="n">
        <f aca="false">IF('Advanced Inputs'!$N$68&lt;&gt;"",'Advanced Inputs'!$N$68,IFERROR(VLOOKUP(D16,'02_Type_Assumptions'!$A$4:$Z$25,3,FALSE()),0))</f>
        <v>0.18</v>
      </c>
      <c r="H16" s="189" t="str">
        <f aca="false">IF('Advanced Inputs'!$F$68="","",'Advanced Inputs'!$F$68)</f>
        <v/>
      </c>
      <c r="I16" s="189" t="n">
        <f aca="false">(IF(ISNUMBER(H16),H16,IF(LOWER(E16)="sqft",IFERROR(F16/43560/'00_Inputs_Dashboard'!$B$51,0),IF(LOWER(E16)="acres",IFERROR(F16,0),IFERROR(F16*G16,0)))))*(1+IF('Typical Inputs'!E26="",0,'Typical Inputs'!E26))</f>
        <v>27</v>
      </c>
      <c r="J16" s="197" t="n">
        <f aca="false">'Advanced Inputs'!$G$68</f>
        <v>1</v>
      </c>
      <c r="K16" s="197" t="n">
        <f aca="false">'Advanced Inputs'!$H$68</f>
        <v>8</v>
      </c>
      <c r="L16" s="198" t="n">
        <f aca="false">'Advanced Inputs'!$I$68</f>
        <v>1</v>
      </c>
      <c r="M16" s="189" t="n">
        <f aca="false">I16*L16</f>
        <v>27</v>
      </c>
      <c r="N16" s="192" t="n">
        <f aca="false">IFERROR(IF(LOWER(E16)="rooms",VLOOKUP(D16,'02_Type_Assumptions'!$A$4:$Z$25,6,FALSE()),IF(LOWER(E16)="acres",VLOOKUP(D16,'02_Type_Assumptions'!$A$4:$Z$25,5,FALSE()),VLOOKUP(D16,'02_Type_Assumptions'!$A$4:$Z$25,4,FALSE()))),0)</f>
        <v>310000</v>
      </c>
      <c r="O16" s="193"/>
      <c r="P16" s="192" t="n">
        <f aca="false">IF(ISNUMBER(O16),O16,IF(LOWER(E16)="rooms",F16*N16*L16,IF(LOWER(E16)="acres",M16*N16,IF(LOWER(E16)="sqft",M16*VLOOKUP(D16,'02_Type_Assumptions'!$A$4:$Z$25,5,FALSE()),F16*N16*L16))))</f>
        <v>31000000</v>
      </c>
      <c r="Q16" s="192" t="n">
        <f aca="false">IFERROR(IF(VLOOKUP(D16,'02_Type_Assumptions'!$A$4:$Z$25,23,FALSE())="per_acre",VLOOKUP(D16,'02_Type_Assumptions'!$A$4:$Z$25,8,FALSE()),0),0)</f>
        <v>0</v>
      </c>
      <c r="R16" s="193"/>
      <c r="S16" s="192" t="n">
        <f aca="false">IF(ISNUMBER(R16),R16*L16,M16*Q16)</f>
        <v>0</v>
      </c>
      <c r="T16" s="187" t="n">
        <f aca="false">IF(LOWER(E16)="sqft",F16*L16,M16*IFERROR(VLOOKUP(D16,'02_Type_Assumptions'!$A$4:$Z$25,9,FALSE()),0))</f>
        <v>0</v>
      </c>
      <c r="U16" s="187" t="n">
        <f aca="false">IF(OR(LOWER(E16)="lots",LOWER(E16)="units"),F16*L16,0)</f>
        <v>100</v>
      </c>
      <c r="V16" s="187" t="n">
        <f aca="false">U16*IFERROR(VLOOKUP(D16,'02_Type_Assumptions'!$A$4:$Z$25,21,FALSE()),0)</f>
        <v>260</v>
      </c>
      <c r="W16" s="189" t="n">
        <f aca="false">IFERROR(IF(OR(LOWER(E16)="lots",LOWER(E16)="units",LOWER(E16)="rooms"),F16*L16*VLOOKUP(D16,'02_Type_Assumptions'!$A$4:$Z$25,10,FALSE()),IF(LOWER(E16)="acres",M16*VLOOKUP(D16,'02_Type_Assumptions'!$A$4:$Z$25,11,FALSE()),IF(LOWER(E16)="sqft",T16/1000*VLOOKUP(D16,'02_Type_Assumptions'!$A$4:$Z$25,12,FALSE()),0))),0)</f>
        <v>100</v>
      </c>
      <c r="X16" s="192" t="n">
        <f aca="false">'Advanced Inputs'!$D$50</f>
        <v>7165</v>
      </c>
      <c r="Y16" s="193"/>
      <c r="Z16" s="192" t="n">
        <f aca="false">IF(ISNUMBER(Y16),Y16,W16*X16)</f>
        <v>716500</v>
      </c>
      <c r="AA16" s="193"/>
      <c r="AB16" s="193"/>
      <c r="AC16" s="195" t="s">
        <v>582</v>
      </c>
      <c r="AD16" s="196" t="n">
        <f aca="false">IFERROR($P16*VLOOKUP($D16,'02_Type_Assumptions'!$A$4:$AC$25,28,FALSE()),$P16)+IFERROR(AK16,0)</f>
        <v>30380000</v>
      </c>
      <c r="AE16" s="196" t="n">
        <f aca="false">IFERROR($P16*VLOOKUP($D16,'02_Type_Assumptions'!$A$4:$AC$25,29,FALSE()),$P16)+IFERROR(AL16,0)</f>
        <v>29915000</v>
      </c>
      <c r="AF16" s="176" t="n">
        <f aca="false">IF(IFERROR(VLOOKUP($D16,'02_Type_Assumptions'!$A$4:$AC$25,27,FALSE()),"")="Industrial",$AD16,0)</f>
        <v>0</v>
      </c>
      <c r="AG16" s="176" t="n">
        <f aca="false">IF(IFERROR(VLOOKUP($D16,'02_Type_Assumptions'!$A$4:$AC$25,27,FALSE()),"")="Industrial",$AE16,0)</f>
        <v>0</v>
      </c>
      <c r="AH16" s="194" t="n">
        <f aca="false">IF('Advanced Inputs'!$L$68="",I16,'Advanced Inputs'!$L$68)</f>
        <v>27</v>
      </c>
      <c r="AI16" s="176" t="n">
        <f aca="false">MAX(0,AH16-I16)</f>
        <v>0</v>
      </c>
      <c r="AJ16" s="176" t="n">
        <f aca="false">AI16*IF(LOWER('Advanced Inputs'!$M$68)="ag",'Advanced Inputs'!$D$51,'02_Type_Assumptions'!$E$18)</f>
        <v>0</v>
      </c>
      <c r="AK16" s="176" t="n">
        <f aca="false">AJ16*'02_Type_Assumptions'!$AB$18</f>
        <v>0</v>
      </c>
      <c r="AL16" s="176" t="n">
        <f aca="false">AJ16*'02_Type_Assumptions'!$AC$18</f>
        <v>0</v>
      </c>
    </row>
    <row r="17" customFormat="false" ht="15" hidden="false" customHeight="true" outlineLevel="0" collapsed="false">
      <c r="A17" s="175" t="n">
        <v>15</v>
      </c>
      <c r="B17" s="185" t="str">
        <f aca="false">'Advanced Inputs'!$A$69</f>
        <v>Townhome / Condo</v>
      </c>
      <c r="C17" s="186" t="b">
        <f aca="false">('Advanced Inputs'!$B$69="Yes")</f>
        <v>0</v>
      </c>
      <c r="D17" s="185" t="str">
        <f aca="false">'Advanced Inputs'!$A$69</f>
        <v>Townhome / Condo</v>
      </c>
      <c r="E17" s="185" t="str">
        <f aca="false">'Advanced Inputs'!$D$69</f>
        <v>units</v>
      </c>
      <c r="F17" s="187" t="n">
        <f aca="false">'Advanced Inputs'!$E$69</f>
        <v>250</v>
      </c>
      <c r="G17" s="188" t="n">
        <f aca="false">IF('Advanced Inputs'!$N$69&lt;&gt;"",'Advanced Inputs'!$N$69,IFERROR(VLOOKUP(D17,'02_Type_Assumptions'!$A$4:$Z$25,3,FALSE()),0))</f>
        <v>0.1</v>
      </c>
      <c r="H17" s="189" t="str">
        <f aca="false">IF('Advanced Inputs'!$F$69="","",'Advanced Inputs'!$F$69)</f>
        <v/>
      </c>
      <c r="I17" s="189" t="n">
        <f aca="false">(IF(ISNUMBER(H17),H17,IF(LOWER(E17)="sqft",IFERROR(F17/43560/'00_Inputs_Dashboard'!$B$51,0),IF(LOWER(E17)="acres",IFERROR(F17,0),IFERROR(F17*G17,0)))))*(1+IF('Typical Inputs'!E27="",0,'Typical Inputs'!E27))</f>
        <v>37.5</v>
      </c>
      <c r="J17" s="197" t="n">
        <f aca="false">'Advanced Inputs'!$G$69</f>
        <v>1</v>
      </c>
      <c r="K17" s="197" t="n">
        <f aca="false">'Advanced Inputs'!$H$69</f>
        <v>3</v>
      </c>
      <c r="L17" s="198" t="n">
        <f aca="false">'Advanced Inputs'!$I$69</f>
        <v>1</v>
      </c>
      <c r="M17" s="189" t="n">
        <f aca="false">I17*L17</f>
        <v>37.5</v>
      </c>
      <c r="N17" s="192" t="n">
        <f aca="false">IFERROR(IF(LOWER(E17)="rooms",VLOOKUP(D17,'02_Type_Assumptions'!$A$4:$Z$25,6,FALSE()),IF(LOWER(E17)="acres",VLOOKUP(D17,'02_Type_Assumptions'!$A$4:$Z$25,5,FALSE()),VLOOKUP(D17,'02_Type_Assumptions'!$A$4:$Z$25,4,FALSE()))),0)</f>
        <v>220000</v>
      </c>
      <c r="O17" s="193"/>
      <c r="P17" s="192" t="n">
        <f aca="false">IF(ISNUMBER(O17),O17,IF(LOWER(E17)="rooms",F17*N17*L17,IF(LOWER(E17)="acres",M17*N17,IF(LOWER(E17)="sqft",M17*VLOOKUP(D17,'02_Type_Assumptions'!$A$4:$Z$25,5,FALSE()),F17*N17*L17))))</f>
        <v>55000000</v>
      </c>
      <c r="Q17" s="192" t="n">
        <f aca="false">IFERROR(IF(VLOOKUP(D17,'02_Type_Assumptions'!$A$4:$Z$25,23,FALSE())="per_acre",VLOOKUP(D17,'02_Type_Assumptions'!$A$4:$Z$25,8,FALSE()),0),0)</f>
        <v>0</v>
      </c>
      <c r="R17" s="193"/>
      <c r="S17" s="192" t="n">
        <f aca="false">IF(ISNUMBER(R17),R17*L17,M17*Q17)</f>
        <v>0</v>
      </c>
      <c r="T17" s="187" t="n">
        <f aca="false">IF(LOWER(E17)="sqft",F17*L17,M17*IFERROR(VLOOKUP(D17,'02_Type_Assumptions'!$A$4:$Z$25,9,FALSE()),0))</f>
        <v>0</v>
      </c>
      <c r="U17" s="187" t="n">
        <f aca="false">IF(OR(LOWER(E17)="lots",LOWER(E17)="units"),F17*L17,0)</f>
        <v>250</v>
      </c>
      <c r="V17" s="187" t="n">
        <f aca="false">U17*IFERROR(VLOOKUP(D17,'02_Type_Assumptions'!$A$4:$Z$25,21,FALSE()),0)</f>
        <v>600</v>
      </c>
      <c r="W17" s="189" t="n">
        <f aca="false">IFERROR(IF(OR(LOWER(E17)="lots",LOWER(E17)="units",LOWER(E17)="rooms"),F17*L17*VLOOKUP(D17,'02_Type_Assumptions'!$A$4:$Z$25,10,FALSE()),IF(LOWER(E17)="acres",M17*VLOOKUP(D17,'02_Type_Assumptions'!$A$4:$Z$25,11,FALSE()),IF(LOWER(E17)="sqft",T17/1000*VLOOKUP(D17,'02_Type_Assumptions'!$A$4:$Z$25,12,FALSE()),0))),0)</f>
        <v>200</v>
      </c>
      <c r="X17" s="192" t="n">
        <f aca="false">'Advanced Inputs'!$D$50</f>
        <v>7165</v>
      </c>
      <c r="Y17" s="193"/>
      <c r="Z17" s="192" t="n">
        <f aca="false">IF(ISNUMBER(Y17),Y17,W17*X17)</f>
        <v>1433000</v>
      </c>
      <c r="AA17" s="193"/>
      <c r="AB17" s="193"/>
      <c r="AC17" s="195" t="s">
        <v>583</v>
      </c>
      <c r="AD17" s="196" t="n">
        <f aca="false">IFERROR($P17*VLOOKUP($D17,'02_Type_Assumptions'!$A$4:$AC$25,28,FALSE()),$P17)+IFERROR(AK17,0)</f>
        <v>53900000</v>
      </c>
      <c r="AE17" s="196" t="n">
        <f aca="false">IFERROR($P17*VLOOKUP($D17,'02_Type_Assumptions'!$A$4:$AC$25,29,FALSE()),$P17)+IFERROR(AL17,0)</f>
        <v>53075000</v>
      </c>
      <c r="AF17" s="176" t="n">
        <f aca="false">IF(IFERROR(VLOOKUP($D17,'02_Type_Assumptions'!$A$4:$AC$25,27,FALSE()),"")="Industrial",$AD17,0)</f>
        <v>0</v>
      </c>
      <c r="AG17" s="176" t="n">
        <f aca="false">IF(IFERROR(VLOOKUP($D17,'02_Type_Assumptions'!$A$4:$AC$25,27,FALSE()),"")="Industrial",$AE17,0)</f>
        <v>0</v>
      </c>
      <c r="AH17" s="194" t="n">
        <f aca="false">IF('Advanced Inputs'!$L$69="",I17,'Advanced Inputs'!$L$69)</f>
        <v>37.5</v>
      </c>
      <c r="AI17" s="176" t="n">
        <f aca="false">MAX(0,AH17-I17)</f>
        <v>0</v>
      </c>
      <c r="AJ17" s="176" t="n">
        <f aca="false">AI17*IF(LOWER('Advanced Inputs'!$M$69)="ag",'Advanced Inputs'!$D$51,'02_Type_Assumptions'!$E$18)</f>
        <v>0</v>
      </c>
      <c r="AK17" s="176" t="n">
        <f aca="false">AJ17*'02_Type_Assumptions'!$AB$18</f>
        <v>0</v>
      </c>
      <c r="AL17" s="176" t="n">
        <f aca="false">AJ17*'02_Type_Assumptions'!$AC$18</f>
        <v>0</v>
      </c>
    </row>
    <row r="18" customFormat="false" ht="15" hidden="false" customHeight="true" outlineLevel="0" collapsed="false">
      <c r="A18" s="175" t="n">
        <v>16</v>
      </c>
      <c r="B18" s="185" t="str">
        <f aca="false">'Advanced Inputs'!$A$70</f>
        <v>Multifamily Apartments</v>
      </c>
      <c r="C18" s="186" t="b">
        <f aca="false">('Advanced Inputs'!$B$70="Yes")</f>
        <v>0</v>
      </c>
      <c r="D18" s="185" t="str">
        <f aca="false">'Advanced Inputs'!$A$70</f>
        <v>Multifamily Apartments</v>
      </c>
      <c r="E18" s="185" t="str">
        <f aca="false">'Advanced Inputs'!$D$70</f>
        <v>units</v>
      </c>
      <c r="F18" s="187" t="n">
        <f aca="false">'Advanced Inputs'!$E$70</f>
        <v>250</v>
      </c>
      <c r="G18" s="188" t="n">
        <f aca="false">IF('Advanced Inputs'!$N$70&lt;&gt;"",'Advanced Inputs'!$N$70,IFERROR(VLOOKUP(D18,'02_Type_Assumptions'!$A$4:$Z$25,3,FALSE()),0))</f>
        <v>0.04</v>
      </c>
      <c r="H18" s="189" t="str">
        <f aca="false">IF('Advanced Inputs'!$F$70="","",'Advanced Inputs'!$F$70)</f>
        <v/>
      </c>
      <c r="I18" s="189" t="n">
        <f aca="false">(IF(ISNUMBER(H18),H18,IF(LOWER(E18)="sqft",IFERROR(F18/43560/'00_Inputs_Dashboard'!$B$51,0),IF(LOWER(E18)="acres",IFERROR(F18,0),IFERROR(F18*G18,0)))))*(1+IF('Typical Inputs'!E28="",0,'Typical Inputs'!E28))</f>
        <v>15</v>
      </c>
      <c r="J18" s="197" t="n">
        <f aca="false">'Advanced Inputs'!$G$70</f>
        <v>1</v>
      </c>
      <c r="K18" s="197" t="n">
        <f aca="false">'Advanced Inputs'!$H$70</f>
        <v>2</v>
      </c>
      <c r="L18" s="198" t="n">
        <f aca="false">'Advanced Inputs'!$I$70</f>
        <v>1</v>
      </c>
      <c r="M18" s="189" t="n">
        <f aca="false">I18*L18</f>
        <v>15</v>
      </c>
      <c r="N18" s="192" t="n">
        <f aca="false">IFERROR(IF(LOWER(E18)="rooms",VLOOKUP(D18,'02_Type_Assumptions'!$A$4:$Z$25,6,FALSE()),IF(LOWER(E18)="acres",VLOOKUP(D18,'02_Type_Assumptions'!$A$4:$Z$25,5,FALSE()),VLOOKUP(D18,'02_Type_Assumptions'!$A$4:$Z$25,4,FALSE()))),0)</f>
        <v>80000</v>
      </c>
      <c r="O18" s="193"/>
      <c r="P18" s="192" t="n">
        <f aca="false">IF(ISNUMBER(O18),O18,IF(LOWER(E18)="rooms",F18*N18*L18,IF(LOWER(E18)="acres",M18*N18,IF(LOWER(E18)="sqft",M18*VLOOKUP(D18,'02_Type_Assumptions'!$A$4:$Z$25,5,FALSE()),F18*N18*L18))))</f>
        <v>20000000</v>
      </c>
      <c r="Q18" s="192" t="n">
        <f aca="false">IFERROR(IF(VLOOKUP(D18,'02_Type_Assumptions'!$A$4:$Z$25,23,FALSE())="per_acre",VLOOKUP(D18,'02_Type_Assumptions'!$A$4:$Z$25,8,FALSE()),0),0)</f>
        <v>0</v>
      </c>
      <c r="R18" s="193"/>
      <c r="S18" s="192" t="n">
        <f aca="false">IF(ISNUMBER(R18),R18*L18,M18*Q18)</f>
        <v>0</v>
      </c>
      <c r="T18" s="187" t="n">
        <f aca="false">IF(LOWER(E18)="sqft",F18*L18,M18*IFERROR(VLOOKUP(D18,'02_Type_Assumptions'!$A$4:$Z$25,9,FALSE()),0))</f>
        <v>0</v>
      </c>
      <c r="U18" s="187" t="n">
        <f aca="false">IF(OR(LOWER(E18)="lots",LOWER(E18)="units"),F18*L18,0)</f>
        <v>250</v>
      </c>
      <c r="V18" s="187" t="n">
        <f aca="false">U18*IFERROR(VLOOKUP(D18,'02_Type_Assumptions'!$A$4:$Z$25,21,FALSE()),0)</f>
        <v>525</v>
      </c>
      <c r="W18" s="189" t="n">
        <f aca="false">IFERROR(IF(OR(LOWER(E18)="lots",LOWER(E18)="units",LOWER(E18)="rooms"),F18*L18*VLOOKUP(D18,'02_Type_Assumptions'!$A$4:$Z$25,10,FALSE()),IF(LOWER(E18)="acres",M18*VLOOKUP(D18,'02_Type_Assumptions'!$A$4:$Z$25,11,FALSE()),IF(LOWER(E18)="sqft",T18/1000*VLOOKUP(D18,'02_Type_Assumptions'!$A$4:$Z$25,12,FALSE()),0))),0)</f>
        <v>162.5</v>
      </c>
      <c r="X18" s="192" t="n">
        <f aca="false">'Advanced Inputs'!$D$50</f>
        <v>7165</v>
      </c>
      <c r="Y18" s="193"/>
      <c r="Z18" s="192" t="n">
        <f aca="false">IF(ISNUMBER(Y18),Y18,W18*X18)</f>
        <v>1164312.5</v>
      </c>
      <c r="AA18" s="193"/>
      <c r="AB18" s="193"/>
      <c r="AC18" s="195" t="s">
        <v>584</v>
      </c>
      <c r="AD18" s="196" t="n">
        <f aca="false">IFERROR($P18*VLOOKUP($D18,'02_Type_Assumptions'!$A$4:$AC$25,28,FALSE()),$P18)+IFERROR(AK18,0)</f>
        <v>19600000</v>
      </c>
      <c r="AE18" s="196" t="n">
        <f aca="false">IFERROR($P18*VLOOKUP($D18,'02_Type_Assumptions'!$A$4:$AC$25,29,FALSE()),$P18)+IFERROR(AL18,0)</f>
        <v>19300000</v>
      </c>
      <c r="AF18" s="176" t="n">
        <f aca="false">IF(IFERROR(VLOOKUP($D18,'02_Type_Assumptions'!$A$4:$AC$25,27,FALSE()),"")="Industrial",$AD18,0)</f>
        <v>0</v>
      </c>
      <c r="AG18" s="176" t="n">
        <f aca="false">IF(IFERROR(VLOOKUP($D18,'02_Type_Assumptions'!$A$4:$AC$25,27,FALSE()),"")="Industrial",$AE18,0)</f>
        <v>0</v>
      </c>
      <c r="AH18" s="194" t="n">
        <f aca="false">IF('Advanced Inputs'!$L$70="",I18,'Advanced Inputs'!$L$70)</f>
        <v>15</v>
      </c>
      <c r="AI18" s="176" t="n">
        <f aca="false">MAX(0,AH18-I18)</f>
        <v>0</v>
      </c>
      <c r="AJ18" s="176" t="n">
        <f aca="false">AI18*IF(LOWER('Advanced Inputs'!$M$70)="ag",'Advanced Inputs'!$D$51,'02_Type_Assumptions'!$E$18)</f>
        <v>0</v>
      </c>
      <c r="AK18" s="176" t="n">
        <f aca="false">AJ18*'02_Type_Assumptions'!$AB$18</f>
        <v>0</v>
      </c>
      <c r="AL18" s="176" t="n">
        <f aca="false">AJ18*'02_Type_Assumptions'!$AC$18</f>
        <v>0</v>
      </c>
    </row>
    <row r="19" customFormat="false" ht="15" hidden="false" customHeight="true" outlineLevel="0" collapsed="false">
      <c r="A19" s="175" t="n">
        <v>17</v>
      </c>
      <c r="B19" s="185" t="str">
        <f aca="false">'Advanced Inputs'!$A$71</f>
        <v>Hotel</v>
      </c>
      <c r="C19" s="186" t="b">
        <f aca="false">('Advanced Inputs'!$B$71="Yes")</f>
        <v>0</v>
      </c>
      <c r="D19" s="185" t="str">
        <f aca="false">'Advanced Inputs'!$A$71</f>
        <v>Hotel</v>
      </c>
      <c r="E19" s="185" t="str">
        <f aca="false">'Advanced Inputs'!$D$71</f>
        <v>rooms</v>
      </c>
      <c r="F19" s="187" t="n">
        <f aca="false">'Advanced Inputs'!$E$71</f>
        <v>100</v>
      </c>
      <c r="G19" s="188" t="n">
        <f aca="false">IF('Advanced Inputs'!$N$71&lt;&gt;"",'Advanced Inputs'!$N$71,IFERROR(VLOOKUP(D19,'02_Type_Assumptions'!$A$4:$Z$25,3,FALSE()),0))</f>
        <v>0.02</v>
      </c>
      <c r="H19" s="189" t="str">
        <f aca="false">IF('Advanced Inputs'!$F$71="","",'Advanced Inputs'!$F$71)</f>
        <v/>
      </c>
      <c r="I19" s="189" t="n">
        <f aca="false">(IF(ISNUMBER(H19),H19,IF(LOWER(E19)="sqft",IFERROR(F19/43560/'00_Inputs_Dashboard'!$B$51,0),IF(LOWER(E19)="acres",IFERROR(F19,0),IFERROR(F19*G19,0)))))*(1+IF('Typical Inputs'!E29="",0,'Typical Inputs'!E29))</f>
        <v>2</v>
      </c>
      <c r="J19" s="197" t="n">
        <f aca="false">'Advanced Inputs'!$G$71</f>
        <v>1</v>
      </c>
      <c r="K19" s="197" t="n">
        <f aca="false">'Advanced Inputs'!$H$71</f>
        <v>2</v>
      </c>
      <c r="L19" s="198" t="n">
        <f aca="false">'Advanced Inputs'!$I$71</f>
        <v>1</v>
      </c>
      <c r="M19" s="189" t="n">
        <f aca="false">I19*L19</f>
        <v>2</v>
      </c>
      <c r="N19" s="192" t="n">
        <f aca="false">IFERROR(IF(LOWER(E19)="rooms",VLOOKUP(D19,'02_Type_Assumptions'!$A$4:$Z$25,6,FALSE()),IF(LOWER(E19)="acres",VLOOKUP(D19,'02_Type_Assumptions'!$A$4:$Z$25,5,FALSE()),VLOOKUP(D19,'02_Type_Assumptions'!$A$4:$Z$25,4,FALSE()))),0)</f>
        <v>90000</v>
      </c>
      <c r="O19" s="193"/>
      <c r="P19" s="192" t="n">
        <f aca="false">IF(ISNUMBER(O19),O19,IF(LOWER(E19)="rooms",F19*N19*L19,IF(LOWER(E19)="acres",M19*N19,IF(LOWER(E19)="sqft",M19*VLOOKUP(D19,'02_Type_Assumptions'!$A$4:$Z$25,5,FALSE()),F19*N19*L19))))</f>
        <v>9000000</v>
      </c>
      <c r="Q19" s="192" t="n">
        <f aca="false">IFERROR(IF(VLOOKUP(D19,'02_Type_Assumptions'!$A$4:$Z$25,23,FALSE())="per_acre",VLOOKUP(D19,'02_Type_Assumptions'!$A$4:$Z$25,8,FALSE()),0),0)</f>
        <v>0</v>
      </c>
      <c r="R19" s="193"/>
      <c r="S19" s="192" t="n">
        <f aca="false">IF(ISNUMBER(R19),R19*L19,M19*Q19)</f>
        <v>0</v>
      </c>
      <c r="T19" s="187" t="n">
        <f aca="false">IF(LOWER(E19)="sqft",F19*L19,M19*IFERROR(VLOOKUP(D19,'02_Type_Assumptions'!$A$4:$Z$25,9,FALSE()),0))</f>
        <v>0</v>
      </c>
      <c r="U19" s="187" t="n">
        <f aca="false">IF(OR(LOWER(E19)="lots",LOWER(E19)="units"),F19*L19,0)</f>
        <v>0</v>
      </c>
      <c r="V19" s="187" t="n">
        <f aca="false">U19*IFERROR(VLOOKUP(D19,'02_Type_Assumptions'!$A$4:$Z$25,21,FALSE()),0)</f>
        <v>0</v>
      </c>
      <c r="W19" s="189" t="n">
        <f aca="false">IFERROR(IF(OR(LOWER(E19)="lots",LOWER(E19)="units",LOWER(E19)="rooms"),F19*L19*VLOOKUP(D19,'02_Type_Assumptions'!$A$4:$Z$25,10,FALSE()),IF(LOWER(E19)="acres",M19*VLOOKUP(D19,'02_Type_Assumptions'!$A$4:$Z$25,11,FALSE()),IF(LOWER(E19)="sqft",T19/1000*VLOOKUP(D19,'02_Type_Assumptions'!$A$4:$Z$25,12,FALSE()),0))),0)</f>
        <v>50</v>
      </c>
      <c r="X19" s="192" t="n">
        <f aca="false">'Advanced Inputs'!$D$50</f>
        <v>7165</v>
      </c>
      <c r="Y19" s="193"/>
      <c r="Z19" s="192" t="n">
        <f aca="false">IF(ISNUMBER(Y19),Y19,W19*X19)</f>
        <v>358250</v>
      </c>
      <c r="AA19" s="193"/>
      <c r="AB19" s="193"/>
      <c r="AC19" s="195" t="s">
        <v>585</v>
      </c>
      <c r="AD19" s="196" t="n">
        <f aca="false">IFERROR($P19*VLOOKUP($D19,'02_Type_Assumptions'!$A$4:$AC$25,28,FALSE()),$P19)+IFERROR(AK19,0)</f>
        <v>8910000</v>
      </c>
      <c r="AE19" s="196" t="n">
        <f aca="false">IFERROR($P19*VLOOKUP($D19,'02_Type_Assumptions'!$A$4:$AC$25,29,FALSE()),$P19)+IFERROR(AL19,0)</f>
        <v>8910000</v>
      </c>
      <c r="AF19" s="176" t="n">
        <f aca="false">IF(IFERROR(VLOOKUP($D19,'02_Type_Assumptions'!$A$4:$AC$25,27,FALSE()),"")="Industrial",$AD19,0)</f>
        <v>0</v>
      </c>
      <c r="AG19" s="176" t="n">
        <f aca="false">IF(IFERROR(VLOOKUP($D19,'02_Type_Assumptions'!$A$4:$AC$25,27,FALSE()),"")="Industrial",$AE19,0)</f>
        <v>0</v>
      </c>
      <c r="AH19" s="194" t="n">
        <f aca="false">IF('Advanced Inputs'!$L$71="",I19,'Advanced Inputs'!$L$71)</f>
        <v>2</v>
      </c>
      <c r="AI19" s="176" t="n">
        <f aca="false">MAX(0,AH19-I19)</f>
        <v>0</v>
      </c>
      <c r="AJ19" s="176" t="n">
        <f aca="false">AI19*IF(LOWER('Advanced Inputs'!$M$71)="ag",'Advanced Inputs'!$D$51,'02_Type_Assumptions'!$E$18)</f>
        <v>0</v>
      </c>
      <c r="AK19" s="176" t="n">
        <f aca="false">AJ19*'02_Type_Assumptions'!$AB$18</f>
        <v>0</v>
      </c>
      <c r="AL19" s="176" t="n">
        <f aca="false">AJ19*'02_Type_Assumptions'!$AC$18</f>
        <v>0</v>
      </c>
    </row>
    <row r="20" customFormat="false" ht="15" hidden="false" customHeight="true" outlineLevel="0" collapsed="false">
      <c r="A20" s="175" t="n">
        <v>18</v>
      </c>
      <c r="B20" s="185" t="str">
        <f aca="false">'Advanced Inputs'!$A$72</f>
        <v>Manufacturing</v>
      </c>
      <c r="C20" s="186" t="b">
        <f aca="false">('Advanced Inputs'!$B$72="Yes")</f>
        <v>0</v>
      </c>
      <c r="D20" s="185" t="str">
        <f aca="false">'Advanced Inputs'!$A$72</f>
        <v>Manufacturing</v>
      </c>
      <c r="E20" s="185" t="str">
        <f aca="false">'Advanced Inputs'!$D$72</f>
        <v>acres</v>
      </c>
      <c r="F20" s="187" t="n">
        <f aca="false">'Advanced Inputs'!$E$72</f>
        <v>20</v>
      </c>
      <c r="G20" s="188" t="n">
        <f aca="false">IF('Advanced Inputs'!$N$72&lt;&gt;"",'Advanced Inputs'!$N$72,IFERROR(VLOOKUP(D20,'02_Type_Assumptions'!$A$4:$Z$25,3,FALSE()),0))</f>
        <v>1</v>
      </c>
      <c r="H20" s="189" t="str">
        <f aca="false">IF('Advanced Inputs'!$F$72="","",'Advanced Inputs'!$F$72)</f>
        <v/>
      </c>
      <c r="I20" s="189" t="n">
        <f aca="false">(IF(ISNUMBER(H20),H20,IF(LOWER(E20)="sqft",IFERROR(F20/43560/'00_Inputs_Dashboard'!$B$51,0),IF(LOWER(E20)="acres",IFERROR(F20,0),IFERROR(F20*G20,0)))))*(1+IF('Typical Inputs'!E30="",0,'Typical Inputs'!E30))</f>
        <v>20</v>
      </c>
      <c r="J20" s="197" t="n">
        <f aca="false">'Advanced Inputs'!$G$72</f>
        <v>1</v>
      </c>
      <c r="K20" s="197" t="n">
        <f aca="false">'Advanced Inputs'!$H$72</f>
        <v>2</v>
      </c>
      <c r="L20" s="198" t="n">
        <f aca="false">'Advanced Inputs'!$I$72</f>
        <v>1</v>
      </c>
      <c r="M20" s="189" t="n">
        <f aca="false">I20*L20</f>
        <v>20</v>
      </c>
      <c r="N20" s="192" t="n">
        <f aca="false">IFERROR(IF(LOWER(E20)="rooms",VLOOKUP(D20,'02_Type_Assumptions'!$A$4:$Z$25,6,FALSE()),IF(LOWER(E20)="acres",VLOOKUP(D20,'02_Type_Assumptions'!$A$4:$Z$25,5,FALSE()),VLOOKUP(D20,'02_Type_Assumptions'!$A$4:$Z$25,4,FALSE()))),0)</f>
        <v>750000</v>
      </c>
      <c r="O20" s="193"/>
      <c r="P20" s="192" t="n">
        <f aca="false">IF(ISNUMBER(O20),O20,IF(LOWER(E20)="rooms",F20*N20*L20,IF(LOWER(E20)="acres",M20*N20,IF(LOWER(E20)="sqft",M20*VLOOKUP(D20,'02_Type_Assumptions'!$A$4:$Z$25,5,FALSE()),F20*N20*L20))))</f>
        <v>15000000</v>
      </c>
      <c r="Q20" s="192" t="n">
        <f aca="false">IFERROR(IF(VLOOKUP(D20,'02_Type_Assumptions'!$A$4:$Z$25,23,FALSE())="per_acre",VLOOKUP(D20,'02_Type_Assumptions'!$A$4:$Z$25,8,FALSE()),0),0)</f>
        <v>0</v>
      </c>
      <c r="R20" s="193"/>
      <c r="S20" s="192" t="n">
        <f aca="false">IF(ISNUMBER(R20),R20*L20,M20*Q20)</f>
        <v>0</v>
      </c>
      <c r="T20" s="187" t="n">
        <f aca="false">IF(LOWER(E20)="sqft",F20*L20,M20*IFERROR(VLOOKUP(D20,'02_Type_Assumptions'!$A$4:$Z$25,9,FALSE()),0))</f>
        <v>320000</v>
      </c>
      <c r="U20" s="187" t="n">
        <f aca="false">IF(OR(LOWER(E20)="lots",LOWER(E20)="units"),F20*L20,0)</f>
        <v>0</v>
      </c>
      <c r="V20" s="187" t="n">
        <f aca="false">U20*IFERROR(VLOOKUP(D20,'02_Type_Assumptions'!$A$4:$Z$25,21,FALSE()),0)</f>
        <v>0</v>
      </c>
      <c r="W20" s="189" t="n">
        <f aca="false">IFERROR(IF(OR(LOWER(E20)="lots",LOWER(E20)="units",LOWER(E20)="rooms"),F20*L20*VLOOKUP(D20,'02_Type_Assumptions'!$A$4:$Z$25,10,FALSE()),IF(LOWER(E20)="acres",M20*VLOOKUP(D20,'02_Type_Assumptions'!$A$4:$Z$25,11,FALSE()),IF(LOWER(E20)="sqft",T20/1000*VLOOKUP(D20,'02_Type_Assumptions'!$A$4:$Z$25,12,FALSE()),0))),0)</f>
        <v>80</v>
      </c>
      <c r="X20" s="192" t="n">
        <f aca="false">'Advanced Inputs'!$D$50</f>
        <v>7165</v>
      </c>
      <c r="Y20" s="193"/>
      <c r="Z20" s="192" t="n">
        <f aca="false">IF(ISNUMBER(Y20),Y20,W20*X20)</f>
        <v>573200</v>
      </c>
      <c r="AA20" s="193"/>
      <c r="AB20" s="193"/>
      <c r="AC20" s="195" t="s">
        <v>586</v>
      </c>
      <c r="AD20" s="196" t="n">
        <f aca="false">IFERROR($P20*VLOOKUP($D20,'02_Type_Assumptions'!$A$4:$AC$25,28,FALSE()),$P20)+IFERROR(AK20,0)</f>
        <v>13800000</v>
      </c>
      <c r="AE20" s="196" t="n">
        <f aca="false">IFERROR($P20*VLOOKUP($D20,'02_Type_Assumptions'!$A$4:$AC$25,29,FALSE()),$P20)+IFERROR(AL20,0)</f>
        <v>13800000</v>
      </c>
      <c r="AF20" s="196" t="n">
        <f aca="false">IF(IFERROR(VLOOKUP($D20,'02_Type_Assumptions'!$A$4:$AC$25,27,FALSE()),"")="Industrial",$AD20,0)</f>
        <v>13800000</v>
      </c>
      <c r="AG20" s="196" t="n">
        <f aca="false">IF(IFERROR(VLOOKUP($D20,'02_Type_Assumptions'!$A$4:$AC$25,27,FALSE()),"")="Industrial",$AE20,0)</f>
        <v>13800000</v>
      </c>
      <c r="AH20" s="194" t="n">
        <f aca="false">IF('Advanced Inputs'!$L$72="",I20,'Advanced Inputs'!$L$72)</f>
        <v>20</v>
      </c>
      <c r="AI20" s="176" t="n">
        <f aca="false">MAX(0,AH20-I20)</f>
        <v>0</v>
      </c>
      <c r="AJ20" s="176" t="n">
        <f aca="false">AI20*IF(LOWER('Advanced Inputs'!$M$72)="ag",'Advanced Inputs'!$D$51,'02_Type_Assumptions'!$E$18)</f>
        <v>0</v>
      </c>
      <c r="AK20" s="176" t="n">
        <f aca="false">AJ20*'02_Type_Assumptions'!$AB$18</f>
        <v>0</v>
      </c>
      <c r="AL20" s="176" t="n">
        <f aca="false">AJ20*'02_Type_Assumptions'!$AC$18</f>
        <v>0</v>
      </c>
    </row>
    <row r="21" customFormat="false" ht="15" hidden="false" customHeight="true" outlineLevel="0" collapsed="false">
      <c r="A21" s="175" t="n">
        <v>19</v>
      </c>
      <c r="B21" s="185" t="str">
        <f aca="false">'Advanced Inputs'!$A$73</f>
        <v>Industrial / Logistics</v>
      </c>
      <c r="C21" s="186" t="b">
        <f aca="false">('Advanced Inputs'!$B$73="Yes")</f>
        <v>0</v>
      </c>
      <c r="D21" s="185" t="str">
        <f aca="false">'Advanced Inputs'!$A$73</f>
        <v>Industrial / Logistics</v>
      </c>
      <c r="E21" s="185" t="str">
        <f aca="false">'Advanced Inputs'!$D$73</f>
        <v>acres</v>
      </c>
      <c r="F21" s="187" t="n">
        <f aca="false">'Advanced Inputs'!$E$73</f>
        <v>40</v>
      </c>
      <c r="G21" s="188" t="n">
        <f aca="false">IF('Advanced Inputs'!$N$73&lt;&gt;"",'Advanced Inputs'!$N$73,IFERROR(VLOOKUP(D21,'02_Type_Assumptions'!$A$4:$Z$25,3,FALSE()),0))</f>
        <v>1</v>
      </c>
      <c r="H21" s="189" t="str">
        <f aca="false">IF('Advanced Inputs'!$F$73="","",'Advanced Inputs'!$F$73)</f>
        <v/>
      </c>
      <c r="I21" s="189" t="n">
        <f aca="false">(IF(ISNUMBER(H21),H21,IF(LOWER(E21)="sqft",IFERROR(F21/43560/'00_Inputs_Dashboard'!$B$51,0),IF(LOWER(E21)="acres",IFERROR(F21,0),IFERROR(F21*G21,0)))))*(1+IF('Typical Inputs'!E31="",0,'Typical Inputs'!E31))</f>
        <v>40</v>
      </c>
      <c r="J21" s="197" t="n">
        <f aca="false">'Advanced Inputs'!$G$73</f>
        <v>1</v>
      </c>
      <c r="K21" s="197" t="n">
        <f aca="false">'Advanced Inputs'!$H$73</f>
        <v>2</v>
      </c>
      <c r="L21" s="198" t="n">
        <f aca="false">'Advanced Inputs'!$I$73</f>
        <v>1</v>
      </c>
      <c r="M21" s="189" t="n">
        <f aca="false">I21*L21</f>
        <v>40</v>
      </c>
      <c r="N21" s="192" t="n">
        <f aca="false">IFERROR(IF(LOWER(E21)="rooms",VLOOKUP(D21,'02_Type_Assumptions'!$A$4:$Z$25,6,FALSE()),IF(LOWER(E21)="acres",VLOOKUP(D21,'02_Type_Assumptions'!$A$4:$Z$25,5,FALSE()),VLOOKUP(D21,'02_Type_Assumptions'!$A$4:$Z$25,4,FALSE()))),0)</f>
        <v>600000</v>
      </c>
      <c r="O21" s="193"/>
      <c r="P21" s="192" t="n">
        <f aca="false">IF(ISNUMBER(O21),O21,IF(LOWER(E21)="rooms",F21*N21*L21,IF(LOWER(E21)="acres",M21*N21,IF(LOWER(E21)="sqft",M21*VLOOKUP(D21,'02_Type_Assumptions'!$A$4:$Z$25,5,FALSE()),F21*N21*L21))))</f>
        <v>24000000</v>
      </c>
      <c r="Q21" s="192" t="n">
        <f aca="false">IFERROR(IF(VLOOKUP(D21,'02_Type_Assumptions'!$A$4:$Z$25,23,FALSE())="per_acre",VLOOKUP(D21,'02_Type_Assumptions'!$A$4:$Z$25,8,FALSE()),0),0)</f>
        <v>0</v>
      </c>
      <c r="R21" s="193"/>
      <c r="S21" s="192" t="n">
        <f aca="false">IF(ISNUMBER(R21),R21*L21,M21*Q21)</f>
        <v>0</v>
      </c>
      <c r="T21" s="187" t="n">
        <f aca="false">IF(LOWER(E21)="sqft",F21*L21,M21*IFERROR(VLOOKUP(D21,'02_Type_Assumptions'!$A$4:$Z$25,9,FALSE()),0))</f>
        <v>720000</v>
      </c>
      <c r="U21" s="187" t="n">
        <f aca="false">IF(OR(LOWER(E21)="lots",LOWER(E21)="units"),F21*L21,0)</f>
        <v>0</v>
      </c>
      <c r="V21" s="187" t="n">
        <f aca="false">U21*IFERROR(VLOOKUP(D21,'02_Type_Assumptions'!$A$4:$Z$25,21,FALSE()),0)</f>
        <v>0</v>
      </c>
      <c r="W21" s="189" t="n">
        <f aca="false">IFERROR(IF(OR(LOWER(E21)="lots",LOWER(E21)="units",LOWER(E21)="rooms"),F21*L21*VLOOKUP(D21,'02_Type_Assumptions'!$A$4:$Z$25,10,FALSE()),IF(LOWER(E21)="acres",M21*VLOOKUP(D21,'02_Type_Assumptions'!$A$4:$Z$25,11,FALSE()),IF(LOWER(E21)="sqft",T21/1000*VLOOKUP(D21,'02_Type_Assumptions'!$A$4:$Z$25,12,FALSE()),0))),0)</f>
        <v>160</v>
      </c>
      <c r="X21" s="192" t="n">
        <f aca="false">'Advanced Inputs'!$D$50</f>
        <v>7165</v>
      </c>
      <c r="Y21" s="193"/>
      <c r="Z21" s="192" t="n">
        <f aca="false">IF(ISNUMBER(Y21),Y21,W21*X21)</f>
        <v>1146400</v>
      </c>
      <c r="AA21" s="193"/>
      <c r="AB21" s="193"/>
      <c r="AC21" s="195" t="s">
        <v>587</v>
      </c>
      <c r="AD21" s="196" t="n">
        <f aca="false">IFERROR($P21*VLOOKUP($D21,'02_Type_Assumptions'!$A$4:$AC$25,28,FALSE()),$P21)+IFERROR(AK21,0)</f>
        <v>22080000</v>
      </c>
      <c r="AE21" s="196" t="n">
        <f aca="false">IFERROR($P21*VLOOKUP($D21,'02_Type_Assumptions'!$A$4:$AC$25,29,FALSE()),$P21)+IFERROR(AL21,0)</f>
        <v>22080000</v>
      </c>
      <c r="AF21" s="196" t="n">
        <f aca="false">IF(IFERROR(VLOOKUP($D21,'02_Type_Assumptions'!$A$4:$AC$25,27,FALSE()),"")="Industrial",$AD21,0)</f>
        <v>22080000</v>
      </c>
      <c r="AG21" s="196" t="n">
        <f aca="false">IF(IFERROR(VLOOKUP($D21,'02_Type_Assumptions'!$A$4:$AC$25,27,FALSE()),"")="Industrial",$AE21,0)</f>
        <v>22080000</v>
      </c>
      <c r="AH21" s="194" t="n">
        <f aca="false">IF('Advanced Inputs'!$L$73="",I21,'Advanced Inputs'!$L$73)</f>
        <v>40</v>
      </c>
      <c r="AI21" s="176" t="n">
        <f aca="false">MAX(0,AH21-I21)</f>
        <v>0</v>
      </c>
      <c r="AJ21" s="176" t="n">
        <f aca="false">AI21*IF(LOWER('Advanced Inputs'!$M$73)="ag",'Advanced Inputs'!$D$51,'02_Type_Assumptions'!$E$18)</f>
        <v>0</v>
      </c>
      <c r="AK21" s="176" t="n">
        <f aca="false">AJ21*'02_Type_Assumptions'!$AB$18</f>
        <v>0</v>
      </c>
      <c r="AL21" s="176" t="n">
        <f aca="false">AJ21*'02_Type_Assumptions'!$AC$18</f>
        <v>0</v>
      </c>
    </row>
    <row r="22" customFormat="false" ht="15" hidden="false" customHeight="true" outlineLevel="0" collapsed="false">
      <c r="A22" s="175" t="n">
        <v>20</v>
      </c>
      <c r="B22" s="185" t="str">
        <f aca="false">'Advanced Inputs'!$A$74</f>
        <v>Civic / Institutional</v>
      </c>
      <c r="C22" s="186" t="b">
        <f aca="false">('Advanced Inputs'!$B$74="Yes")</f>
        <v>0</v>
      </c>
      <c r="D22" s="185" t="str">
        <f aca="false">'Advanced Inputs'!$A$74</f>
        <v>Civic / Institutional</v>
      </c>
      <c r="E22" s="185" t="str">
        <f aca="false">'Advanced Inputs'!$D$74</f>
        <v>acres</v>
      </c>
      <c r="F22" s="187" t="n">
        <f aca="false">'Advanced Inputs'!$E$74</f>
        <v>10</v>
      </c>
      <c r="G22" s="188" t="n">
        <f aca="false">IF('Advanced Inputs'!$N$74&lt;&gt;"",'Advanced Inputs'!$N$74,IFERROR(VLOOKUP(D22,'02_Type_Assumptions'!$A$4:$Z$25,3,FALSE()),0))</f>
        <v>1</v>
      </c>
      <c r="H22" s="189" t="str">
        <f aca="false">IF('Advanced Inputs'!$F$74="","",'Advanced Inputs'!$F$74)</f>
        <v/>
      </c>
      <c r="I22" s="189" t="n">
        <f aca="false">(IF(ISNUMBER(H22),H22,IF(LOWER(E22)="sqft",IFERROR(F22/43560/'00_Inputs_Dashboard'!$B$51,0),IF(LOWER(E22)="acres",IFERROR(F22,0),IFERROR(F22*G22,0)))))*(1+IF('Typical Inputs'!E32="",0,'Typical Inputs'!E32))</f>
        <v>10</v>
      </c>
      <c r="J22" s="197" t="n">
        <f aca="false">'Advanced Inputs'!$G$74</f>
        <v>1</v>
      </c>
      <c r="K22" s="197" t="n">
        <f aca="false">'Advanced Inputs'!$H$74</f>
        <v>2</v>
      </c>
      <c r="L22" s="198" t="n">
        <f aca="false">'Advanced Inputs'!$I$74</f>
        <v>1</v>
      </c>
      <c r="M22" s="189" t="n">
        <f aca="false">I22*L22</f>
        <v>10</v>
      </c>
      <c r="N22" s="192" t="n">
        <f aca="false">IFERROR(IF(LOWER(E22)="rooms",VLOOKUP(D22,'02_Type_Assumptions'!$A$4:$Z$25,6,FALSE()),IF(LOWER(E22)="acres",VLOOKUP(D22,'02_Type_Assumptions'!$A$4:$Z$25,5,FALSE()),VLOOKUP(D22,'02_Type_Assumptions'!$A$4:$Z$25,4,FALSE()))),0)</f>
        <v>0</v>
      </c>
      <c r="O22" s="193"/>
      <c r="P22" s="192" t="n">
        <f aca="false">IF(ISNUMBER(O22),O22,IF(LOWER(E22)="rooms",F22*N22*L22,IF(LOWER(E22)="acres",M22*N22,IF(LOWER(E22)="sqft",M22*VLOOKUP(D22,'02_Type_Assumptions'!$A$4:$Z$25,5,FALSE()),F22*N22*L22))))</f>
        <v>0</v>
      </c>
      <c r="Q22" s="192" t="n">
        <f aca="false">IFERROR(IF(VLOOKUP(D22,'02_Type_Assumptions'!$A$4:$Z$25,23,FALSE())="per_acre",VLOOKUP(D22,'02_Type_Assumptions'!$A$4:$Z$25,8,FALSE()),0),0)</f>
        <v>0</v>
      </c>
      <c r="R22" s="193"/>
      <c r="S22" s="192" t="n">
        <f aca="false">IF(ISNUMBER(R22),R22*L22,M22*Q22)</f>
        <v>0</v>
      </c>
      <c r="T22" s="187" t="n">
        <f aca="false">IF(LOWER(E22)="sqft",F22*L22,M22*IFERROR(VLOOKUP(D22,'02_Type_Assumptions'!$A$4:$Z$25,9,FALSE()),0))</f>
        <v>100000</v>
      </c>
      <c r="U22" s="187" t="n">
        <f aca="false">IF(OR(LOWER(E22)="lots",LOWER(E22)="units"),F22*L22,0)</f>
        <v>0</v>
      </c>
      <c r="V22" s="187" t="n">
        <f aca="false">U22*IFERROR(VLOOKUP(D22,'02_Type_Assumptions'!$A$4:$Z$25,21,FALSE()),0)</f>
        <v>0</v>
      </c>
      <c r="W22" s="189" t="n">
        <f aca="false">IFERROR(IF(OR(LOWER(E22)="lots",LOWER(E22)="units",LOWER(E22)="rooms"),F22*L22*VLOOKUP(D22,'02_Type_Assumptions'!$A$4:$Z$25,10,FALSE()),IF(LOWER(E22)="acres",M22*VLOOKUP(D22,'02_Type_Assumptions'!$A$4:$Z$25,11,FALSE()),IF(LOWER(E22)="sqft",T22/1000*VLOOKUP(D22,'02_Type_Assumptions'!$A$4:$Z$25,12,FALSE()),0))),0)</f>
        <v>20</v>
      </c>
      <c r="X22" s="192" t="n">
        <f aca="false">'Advanced Inputs'!$D$50</f>
        <v>7165</v>
      </c>
      <c r="Y22" s="193"/>
      <c r="Z22" s="192" t="n">
        <f aca="false">IF(ISNUMBER(Y22),Y22,W22*X22)</f>
        <v>143300</v>
      </c>
      <c r="AA22" s="193"/>
      <c r="AB22" s="193"/>
      <c r="AC22" s="195" t="s">
        <v>588</v>
      </c>
      <c r="AD22" s="196" t="n">
        <f aca="false">IFERROR($P22*VLOOKUP($D22,'02_Type_Assumptions'!$A$4:$AC$25,28,FALSE()),$P22)+IFERROR(AK22,0)</f>
        <v>0</v>
      </c>
      <c r="AE22" s="196" t="n">
        <f aca="false">IFERROR($P22*VLOOKUP($D22,'02_Type_Assumptions'!$A$4:$AC$25,29,FALSE()),$P22)+IFERROR(AL22,0)</f>
        <v>0</v>
      </c>
      <c r="AF22" s="176" t="n">
        <f aca="false">IF(IFERROR(VLOOKUP($D22,'02_Type_Assumptions'!$A$4:$AC$25,27,FALSE()),"")="Industrial",$AD22,0)</f>
        <v>0</v>
      </c>
      <c r="AG22" s="176" t="n">
        <f aca="false">IF(IFERROR(VLOOKUP($D22,'02_Type_Assumptions'!$A$4:$AC$25,27,FALSE()),"")="Industrial",$AE22,0)</f>
        <v>0</v>
      </c>
      <c r="AH22" s="194" t="n">
        <f aca="false">IF('Advanced Inputs'!$L$74="",I22,'Advanced Inputs'!$L$74)</f>
        <v>10</v>
      </c>
      <c r="AI22" s="176" t="n">
        <f aca="false">MAX(0,AH22-I22)</f>
        <v>0</v>
      </c>
      <c r="AJ22" s="176" t="n">
        <f aca="false">AI22*IF(LOWER('Advanced Inputs'!$M$74)="ag",'Advanced Inputs'!$D$51,'02_Type_Assumptions'!$E$18)</f>
        <v>0</v>
      </c>
      <c r="AK22" s="176" t="n">
        <f aca="false">AJ22*'02_Type_Assumptions'!$AB$18</f>
        <v>0</v>
      </c>
      <c r="AL22" s="176" t="n">
        <f aca="false">AJ22*'02_Type_Assumptions'!$AC$18</f>
        <v>0</v>
      </c>
    </row>
    <row r="23" customFormat="false" ht="15" hidden="false" customHeight="true" outlineLevel="0" collapsed="false">
      <c r="A23" s="175" t="n">
        <v>21</v>
      </c>
      <c r="B23" s="185" t="str">
        <f aca="false">'Advanced Inputs'!$A$75</f>
        <v>Parks / Open Space</v>
      </c>
      <c r="C23" s="186" t="b">
        <f aca="false">('Advanced Inputs'!$B$75="Yes")</f>
        <v>0</v>
      </c>
      <c r="D23" s="185" t="str">
        <f aca="false">'Advanced Inputs'!$A$75</f>
        <v>Parks / Open Space</v>
      </c>
      <c r="E23" s="185" t="str">
        <f aca="false">'Advanced Inputs'!$D$75</f>
        <v>acres</v>
      </c>
      <c r="F23" s="187" t="n">
        <f aca="false">'Advanced Inputs'!$E$75</f>
        <v>10</v>
      </c>
      <c r="G23" s="188" t="n">
        <f aca="false">IF('Advanced Inputs'!$N$75&lt;&gt;"",'Advanced Inputs'!$N$75,IFERROR(VLOOKUP(D23,'02_Type_Assumptions'!$A$4:$Z$25,3,FALSE()),0))</f>
        <v>1</v>
      </c>
      <c r="H23" s="189" t="str">
        <f aca="false">IF('Advanced Inputs'!$F$75="","",'Advanced Inputs'!$F$75)</f>
        <v/>
      </c>
      <c r="I23" s="189" t="n">
        <f aca="false">(IF(ISNUMBER(H23),H23,IF(LOWER(E23)="sqft",IFERROR(F23/43560/'00_Inputs_Dashboard'!$B$51,0),IF(LOWER(E23)="acres",IFERROR(F23,0),IFERROR(F23*G23,0)))))*(1+IF('Typical Inputs'!E33="",0,'Typical Inputs'!E33))</f>
        <v>10</v>
      </c>
      <c r="J23" s="197" t="n">
        <f aca="false">'Advanced Inputs'!$G$75</f>
        <v>1</v>
      </c>
      <c r="K23" s="197" t="n">
        <f aca="false">'Advanced Inputs'!$H$75</f>
        <v>2</v>
      </c>
      <c r="L23" s="198" t="n">
        <f aca="false">'Advanced Inputs'!$I$75</f>
        <v>1</v>
      </c>
      <c r="M23" s="189" t="n">
        <f aca="false">I23*L23</f>
        <v>10</v>
      </c>
      <c r="N23" s="192" t="n">
        <f aca="false">IFERROR(IF(LOWER(E23)="rooms",VLOOKUP(D23,'02_Type_Assumptions'!$A$4:$Z$25,6,FALSE()),IF(LOWER(E23)="acres",VLOOKUP(D23,'02_Type_Assumptions'!$A$4:$Z$25,5,FALSE()),VLOOKUP(D23,'02_Type_Assumptions'!$A$4:$Z$25,4,FALSE()))),0)</f>
        <v>0</v>
      </c>
      <c r="O23" s="193"/>
      <c r="P23" s="192" t="n">
        <f aca="false">IF(ISNUMBER(O23),O23,IF(LOWER(E23)="rooms",F23*N23*L23,IF(LOWER(E23)="acres",M23*N23,IF(LOWER(E23)="sqft",M23*VLOOKUP(D23,'02_Type_Assumptions'!$A$4:$Z$25,5,FALSE()),F23*N23*L23))))</f>
        <v>0</v>
      </c>
      <c r="Q23" s="192" t="n">
        <f aca="false">IFERROR(IF(VLOOKUP(D23,'02_Type_Assumptions'!$A$4:$Z$25,23,FALSE())="per_acre",VLOOKUP(D23,'02_Type_Assumptions'!$A$4:$Z$25,8,FALSE()),0),0)</f>
        <v>0</v>
      </c>
      <c r="R23" s="193"/>
      <c r="S23" s="192" t="n">
        <f aca="false">IF(ISNUMBER(R23),R23*L23,M23*Q23)</f>
        <v>0</v>
      </c>
      <c r="T23" s="187" t="n">
        <f aca="false">IF(LOWER(E23)="sqft",F23*L23,M23*IFERROR(VLOOKUP(D23,'02_Type_Assumptions'!$A$4:$Z$25,9,FALSE()),0))</f>
        <v>0</v>
      </c>
      <c r="U23" s="187" t="n">
        <f aca="false">IF(OR(LOWER(E23)="lots",LOWER(E23)="units"),F23*L23,0)</f>
        <v>0</v>
      </c>
      <c r="V23" s="187" t="n">
        <f aca="false">U23*IFERROR(VLOOKUP(D23,'02_Type_Assumptions'!$A$4:$Z$25,21,FALSE()),0)</f>
        <v>0</v>
      </c>
      <c r="W23" s="189" t="n">
        <f aca="false">IFERROR(IF(OR(LOWER(E23)="lots",LOWER(E23)="units",LOWER(E23)="rooms"),F23*L23*VLOOKUP(D23,'02_Type_Assumptions'!$A$4:$Z$25,10,FALSE()),IF(LOWER(E23)="acres",M23*VLOOKUP(D23,'02_Type_Assumptions'!$A$4:$Z$25,11,FALSE()),IF(LOWER(E23)="sqft",T23/1000*VLOOKUP(D23,'02_Type_Assumptions'!$A$4:$Z$25,12,FALSE()),0))),0)</f>
        <v>0</v>
      </c>
      <c r="X23" s="192" t="n">
        <f aca="false">'Advanced Inputs'!$D$50</f>
        <v>7165</v>
      </c>
      <c r="Y23" s="193"/>
      <c r="Z23" s="192" t="n">
        <f aca="false">IF(ISNUMBER(Y23),Y23,W23*X23)</f>
        <v>0</v>
      </c>
      <c r="AA23" s="193"/>
      <c r="AB23" s="193"/>
      <c r="AC23" s="195" t="s">
        <v>589</v>
      </c>
      <c r="AD23" s="196" t="n">
        <f aca="false">IFERROR($P23*VLOOKUP($D23,'02_Type_Assumptions'!$A$4:$AC$25,28,FALSE()),$P23)+IFERROR(AK23,0)</f>
        <v>0</v>
      </c>
      <c r="AE23" s="196" t="n">
        <f aca="false">IFERROR($P23*VLOOKUP($D23,'02_Type_Assumptions'!$A$4:$AC$25,29,FALSE()),$P23)+IFERROR(AL23,0)</f>
        <v>0</v>
      </c>
      <c r="AF23" s="176" t="n">
        <f aca="false">IF(IFERROR(VLOOKUP($D23,'02_Type_Assumptions'!$A$4:$AC$25,27,FALSE()),"")="Industrial",$AD23,0)</f>
        <v>0</v>
      </c>
      <c r="AG23" s="176" t="n">
        <f aca="false">IF(IFERROR(VLOOKUP($D23,'02_Type_Assumptions'!$A$4:$AC$25,27,FALSE()),"")="Industrial",$AE23,0)</f>
        <v>0</v>
      </c>
      <c r="AH23" s="194" t="n">
        <f aca="false">IF('Advanced Inputs'!$L$75="",I23,'Advanced Inputs'!$L$75)</f>
        <v>10</v>
      </c>
      <c r="AI23" s="176" t="n">
        <f aca="false">MAX(0,AH23-I23)</f>
        <v>0</v>
      </c>
      <c r="AJ23" s="176" t="n">
        <f aca="false">AI23*IF(LOWER('Advanced Inputs'!$M$75)="ag",'Advanced Inputs'!$D$51,'02_Type_Assumptions'!$E$18)</f>
        <v>0</v>
      </c>
      <c r="AK23" s="176" t="n">
        <f aca="false">AJ23*'02_Type_Assumptions'!$AB$18</f>
        <v>0</v>
      </c>
      <c r="AL23" s="176" t="n">
        <f aca="false">AJ23*'02_Type_Assumptions'!$AC$18</f>
        <v>0</v>
      </c>
    </row>
    <row r="24" customFormat="false" ht="15" hidden="false" customHeight="true" outlineLevel="0" collapsed="false">
      <c r="A24" s="175" t="n">
        <v>22</v>
      </c>
      <c r="B24" s="185" t="str">
        <f aca="false">'Advanced Inputs'!$A$76</f>
        <v>Vacant / Holding Land</v>
      </c>
      <c r="C24" s="186" t="b">
        <f aca="false">('Advanced Inputs'!$B$76="Yes")</f>
        <v>0</v>
      </c>
      <c r="D24" s="185" t="str">
        <f aca="false">'Advanced Inputs'!$A$76</f>
        <v>Vacant / Holding Land</v>
      </c>
      <c r="E24" s="185" t="str">
        <f aca="false">'Advanced Inputs'!$D$76</f>
        <v>acres</v>
      </c>
      <c r="F24" s="187" t="n">
        <f aca="false">'Advanced Inputs'!$E$76</f>
        <v>10</v>
      </c>
      <c r="G24" s="188" t="n">
        <f aca="false">IF('Advanced Inputs'!$N$76&lt;&gt;"",'Advanced Inputs'!$N$76,IFERROR(VLOOKUP(D24,'02_Type_Assumptions'!$A$4:$Z$25,3,FALSE()),0))</f>
        <v>1</v>
      </c>
      <c r="H24" s="189" t="str">
        <f aca="false">IF('Advanced Inputs'!$F$76="","",'Advanced Inputs'!$F$76)</f>
        <v/>
      </c>
      <c r="I24" s="189" t="n">
        <f aca="false">(IF(ISNUMBER(H24),H24,IF(LOWER(E24)="sqft",IFERROR(F24/43560/'00_Inputs_Dashboard'!$B$51,0),IF(LOWER(E24)="acres",IFERROR(F24,0),IFERROR(F24*G24,0)))))*(1+IF('Typical Inputs'!E34="",0,'Typical Inputs'!E34))</f>
        <v>10</v>
      </c>
      <c r="J24" s="197" t="n">
        <f aca="false">'Advanced Inputs'!$G$76</f>
        <v>1</v>
      </c>
      <c r="K24" s="197" t="n">
        <f aca="false">'Advanced Inputs'!$H$76</f>
        <v>2</v>
      </c>
      <c r="L24" s="198" t="n">
        <f aca="false">'Advanced Inputs'!$I$76</f>
        <v>1</v>
      </c>
      <c r="M24" s="189" t="n">
        <f aca="false">I24*L24</f>
        <v>10</v>
      </c>
      <c r="N24" s="192" t="n">
        <f aca="false">IFERROR(IF(LOWER(E24)="rooms",VLOOKUP(D24,'02_Type_Assumptions'!$A$4:$Z$25,6,FALSE()),IF(LOWER(E24)="acres",VLOOKUP(D24,'02_Type_Assumptions'!$A$4:$Z$25,5,FALSE()),VLOOKUP(D24,'02_Type_Assumptions'!$A$4:$Z$25,4,FALSE()))),0)</f>
        <v>25000</v>
      </c>
      <c r="O24" s="193"/>
      <c r="P24" s="192" t="n">
        <f aca="false">IF(ISNUMBER(O24),O24,IF(LOWER(E24)="rooms",F24*N24*L24,IF(LOWER(E24)="acres",M24*N24,IF(LOWER(E24)="sqft",M24*VLOOKUP(D24,'02_Type_Assumptions'!$A$4:$Z$25,5,FALSE()),F24*N24*L24))))</f>
        <v>250000</v>
      </c>
      <c r="Q24" s="192" t="n">
        <f aca="false">IFERROR(IF(VLOOKUP(D24,'02_Type_Assumptions'!$A$4:$Z$25,23,FALSE())="per_acre",VLOOKUP(D24,'02_Type_Assumptions'!$A$4:$Z$25,8,FALSE()),0),0)</f>
        <v>0</v>
      </c>
      <c r="R24" s="193"/>
      <c r="S24" s="192" t="n">
        <f aca="false">IF(ISNUMBER(R24),R24*L24,M24*Q24)</f>
        <v>0</v>
      </c>
      <c r="T24" s="187" t="n">
        <f aca="false">IF(LOWER(E24)="sqft",F24*L24,M24*IFERROR(VLOOKUP(D24,'02_Type_Assumptions'!$A$4:$Z$25,9,FALSE()),0))</f>
        <v>0</v>
      </c>
      <c r="U24" s="187" t="n">
        <f aca="false">IF(OR(LOWER(E24)="lots",LOWER(E24)="units"),F24*L24,0)</f>
        <v>0</v>
      </c>
      <c r="V24" s="187" t="n">
        <f aca="false">U24*IFERROR(VLOOKUP(D24,'02_Type_Assumptions'!$A$4:$Z$25,21,FALSE()),0)</f>
        <v>0</v>
      </c>
      <c r="W24" s="189" t="n">
        <f aca="false">IFERROR(IF(OR(LOWER(E24)="lots",LOWER(E24)="units",LOWER(E24)="rooms"),F24*L24*VLOOKUP(D24,'02_Type_Assumptions'!$A$4:$Z$25,10,FALSE()),IF(LOWER(E24)="acres",M24*VLOOKUP(D24,'02_Type_Assumptions'!$A$4:$Z$25,11,FALSE()),IF(LOWER(E24)="sqft",T24/1000*VLOOKUP(D24,'02_Type_Assumptions'!$A$4:$Z$25,12,FALSE()),0))),0)</f>
        <v>0</v>
      </c>
      <c r="X24" s="192" t="n">
        <f aca="false">'Advanced Inputs'!$D$50</f>
        <v>7165</v>
      </c>
      <c r="Y24" s="193"/>
      <c r="Z24" s="192" t="n">
        <f aca="false">IF(ISNUMBER(Y24),Y24,W24*X24)</f>
        <v>0</v>
      </c>
      <c r="AA24" s="193"/>
      <c r="AB24" s="193"/>
      <c r="AC24" s="195" t="s">
        <v>590</v>
      </c>
      <c r="AD24" s="196" t="n">
        <f aca="false">IFERROR($P24*VLOOKUP($D24,'02_Type_Assumptions'!$A$4:$AC$25,28,FALSE()),$P24)+IFERROR(AK24,0)</f>
        <v>250000</v>
      </c>
      <c r="AE24" s="196" t="n">
        <f aca="false">IFERROR($P24*VLOOKUP($D24,'02_Type_Assumptions'!$A$4:$AC$25,29,FALSE()),$P24)+IFERROR(AL24,0)</f>
        <v>250000</v>
      </c>
      <c r="AF24" s="176" t="n">
        <f aca="false">IF(IFERROR(VLOOKUP($D24,'02_Type_Assumptions'!$A$4:$AC$25,27,FALSE()),"")="Industrial",$AD24,0)</f>
        <v>0</v>
      </c>
      <c r="AG24" s="176" t="n">
        <f aca="false">IF(IFERROR(VLOOKUP($D24,'02_Type_Assumptions'!$A$4:$AC$25,27,FALSE()),"")="Industrial",$AE24,0)</f>
        <v>0</v>
      </c>
      <c r="AH24" s="194" t="n">
        <f aca="false">IF('Advanced Inputs'!$L$76="",I24,'Advanced Inputs'!$L$76)</f>
        <v>10</v>
      </c>
      <c r="AI24" s="176" t="n">
        <f aca="false">MAX(0,AH24-I24)</f>
        <v>0</v>
      </c>
      <c r="AJ24" s="176" t="n">
        <f aca="false">AI24*IF(LOWER('Advanced Inputs'!$M$76)="ag",'Advanced Inputs'!$D$51,'02_Type_Assumptions'!$E$18)</f>
        <v>0</v>
      </c>
      <c r="AK24" s="176" t="n">
        <f aca="false">AJ24*'02_Type_Assumptions'!$AB$18</f>
        <v>0</v>
      </c>
      <c r="AL24" s="176" t="n">
        <f aca="false">AJ24*'02_Type_Assumptions'!$AC$18</f>
        <v>0</v>
      </c>
    </row>
    <row r="25" customFormat="false" ht="15" hidden="false" customHeight="true" outlineLevel="0" collapsed="false">
      <c r="A25" s="175" t="n">
        <v>23</v>
      </c>
      <c r="B25" s="199"/>
      <c r="C25" s="186" t="b">
        <f aca="false">FALSE()</f>
        <v>0</v>
      </c>
      <c r="D25" s="199"/>
      <c r="E25" s="199"/>
      <c r="F25" s="200"/>
      <c r="G25" s="188" t="n">
        <f aca="false">IFERROR(VLOOKUP(D25,'02_Type_Assumptions'!$A$4:$Z$25,3,FALSE()),0)</f>
        <v>0</v>
      </c>
      <c r="H25" s="201"/>
      <c r="I25" s="189" t="n">
        <f aca="false">IF(ISNUMBER(H25),H25,IF(LOWER(E25)="sqft",IFERROR(F25/43560/'00_Inputs_Dashboard'!$B$51,0),IF(LOWER(E25)="acres",IFERROR(F25,0),IFERROR(F25*G25,0))))</f>
        <v>0</v>
      </c>
      <c r="J25" s="197" t="n">
        <v>1</v>
      </c>
      <c r="K25" s="197" t="n">
        <v>1</v>
      </c>
      <c r="L25" s="198" t="n">
        <v>0.8</v>
      </c>
      <c r="M25" s="189" t="n">
        <f aca="false">I25*L25</f>
        <v>0</v>
      </c>
      <c r="N25" s="192" t="n">
        <f aca="false">IFERROR(IF(LOWER(E25)="rooms",VLOOKUP(D25,'02_Type_Assumptions'!$A$4:$Z$25,6,FALSE()),IF(LOWER(E25)="acres",VLOOKUP(D25,'02_Type_Assumptions'!$A$4:$Z$25,5,FALSE()),VLOOKUP(D25,'02_Type_Assumptions'!$A$4:$Z$25,4,FALSE()))),0)</f>
        <v>0</v>
      </c>
      <c r="O25" s="193"/>
      <c r="P25" s="192" t="n">
        <f aca="false">IF(ISNUMBER(O25),O25,IF(LOWER(E25)="rooms",F25*N25*L25,IF(LOWER(E25)="acres",M25*N25,IF(LOWER(E25)="sqft",M25*VLOOKUP(D25,'02_Type_Assumptions'!$A$4:$Z$25,5,FALSE()),F25*N25*L25))))</f>
        <v>0</v>
      </c>
      <c r="Q25" s="192" t="n">
        <f aca="false">IFERROR(IF(VLOOKUP(D25,'02_Type_Assumptions'!$A$4:$Z$25,23,FALSE())="per_acre",VLOOKUP(D25,'02_Type_Assumptions'!$A$4:$Z$25,8,FALSE()),0),0)</f>
        <v>0</v>
      </c>
      <c r="R25" s="193"/>
      <c r="S25" s="192" t="n">
        <f aca="false">IF(ISNUMBER(R25),R25*L25,M25*Q25)</f>
        <v>0</v>
      </c>
      <c r="T25" s="187" t="n">
        <f aca="false">IF(LOWER(E25)="sqft",F25*L25,M25*IFERROR(VLOOKUP(D25,'02_Type_Assumptions'!$A$4:$Z$25,9,FALSE()),0))</f>
        <v>0</v>
      </c>
      <c r="U25" s="187" t="n">
        <f aca="false">IF(OR(LOWER(E25)="lots",LOWER(E25)="units"),F25*L25,0)</f>
        <v>0</v>
      </c>
      <c r="V25" s="187" t="n">
        <f aca="false">U25*IFERROR(VLOOKUP(D25,'02_Type_Assumptions'!$A$4:$Z$25,21,FALSE()),0)</f>
        <v>0</v>
      </c>
      <c r="W25" s="189" t="n">
        <f aca="false">IFERROR(IF(OR(LOWER(E25)="lots",LOWER(E25)="units",LOWER(E25)="rooms"),F25*L25*VLOOKUP(D25,'02_Type_Assumptions'!$A$4:$Z$25,10,FALSE()),IF(LOWER(E25)="acres",M25*VLOOKUP(D25,'02_Type_Assumptions'!$A$4:$Z$25,11,FALSE()),IF(LOWER(E25)="sqft",T25/1000*VLOOKUP(D25,'02_Type_Assumptions'!$A$4:$Z$25,12,FALSE()),0))),0)</f>
        <v>0</v>
      </c>
      <c r="X25" s="192" t="n">
        <f aca="false">'Advanced Inputs'!$D$50</f>
        <v>7165</v>
      </c>
      <c r="Y25" s="193"/>
      <c r="Z25" s="192" t="n">
        <f aca="false">IF(ISNUMBER(Y25),Y25,W25*X25)</f>
        <v>0</v>
      </c>
      <c r="AA25" s="193"/>
      <c r="AB25" s="193"/>
      <c r="AC25" s="195"/>
      <c r="AD25" s="196" t="n">
        <f aca="false">IFERROR($P25*VLOOKUP($D25,'02_Type_Assumptions'!$A$4:$AC$25,28,FALSE()),$P25)</f>
        <v>0</v>
      </c>
      <c r="AE25" s="196" t="n">
        <f aca="false">IFERROR($P25*VLOOKUP($D25,'02_Type_Assumptions'!$A$4:$AC$25,29,FALSE()),$P25)</f>
        <v>0</v>
      </c>
      <c r="AF25" s="176" t="n">
        <f aca="false">IF(IFERROR(VLOOKUP($D25,'02_Type_Assumptions'!$A$4:$AC$25,27,FALSE()),"")="Industrial",$AD25,0)</f>
        <v>0</v>
      </c>
      <c r="AG25" s="176" t="n">
        <f aca="false">IF(IFERROR(VLOOKUP($D25,'02_Type_Assumptions'!$A$4:$AC$25,27,FALSE()),"")="Industrial",$AE25,0)</f>
        <v>0</v>
      </c>
      <c r="AH25" s="161"/>
      <c r="AI25" s="161"/>
      <c r="AJ25" s="161"/>
      <c r="AK25" s="161"/>
      <c r="AL25" s="161"/>
    </row>
    <row r="26" customFormat="false" ht="15" hidden="false" customHeight="true" outlineLevel="0" collapsed="false">
      <c r="A26" s="175" t="n">
        <v>24</v>
      </c>
      <c r="B26" s="199"/>
      <c r="C26" s="186" t="b">
        <f aca="false">FALSE()</f>
        <v>0</v>
      </c>
      <c r="D26" s="199"/>
      <c r="E26" s="199"/>
      <c r="F26" s="200"/>
      <c r="G26" s="188" t="n">
        <f aca="false">IFERROR(VLOOKUP(D26,'02_Type_Assumptions'!$A$4:$Z$25,3,FALSE()),0)</f>
        <v>0</v>
      </c>
      <c r="H26" s="201"/>
      <c r="I26" s="189" t="n">
        <f aca="false">IF(ISNUMBER(H26),H26,IF(LOWER(E26)="sqft",IFERROR(F26/43560/'00_Inputs_Dashboard'!$B$51,0),IF(LOWER(E26)="acres",IFERROR(F26,0),IFERROR(F26*G26,0))))</f>
        <v>0</v>
      </c>
      <c r="J26" s="197" t="n">
        <v>1</v>
      </c>
      <c r="K26" s="197" t="n">
        <v>1</v>
      </c>
      <c r="L26" s="198" t="n">
        <v>0.8</v>
      </c>
      <c r="M26" s="189" t="n">
        <f aca="false">I26*L26</f>
        <v>0</v>
      </c>
      <c r="N26" s="192" t="n">
        <f aca="false">IFERROR(IF(LOWER(E26)="rooms",VLOOKUP(D26,'02_Type_Assumptions'!$A$4:$Z$25,6,FALSE()),IF(LOWER(E26)="acres",VLOOKUP(D26,'02_Type_Assumptions'!$A$4:$Z$25,5,FALSE()),VLOOKUP(D26,'02_Type_Assumptions'!$A$4:$Z$25,4,FALSE()))),0)</f>
        <v>0</v>
      </c>
      <c r="O26" s="193"/>
      <c r="P26" s="192" t="n">
        <f aca="false">IF(ISNUMBER(O26),O26,IF(LOWER(E26)="rooms",F26*N26*L26,IF(LOWER(E26)="acres",M26*N26,IF(LOWER(E26)="sqft",M26*VLOOKUP(D26,'02_Type_Assumptions'!$A$4:$Z$25,5,FALSE()),F26*N26*L26))))</f>
        <v>0</v>
      </c>
      <c r="Q26" s="192" t="n">
        <f aca="false">IFERROR(IF(VLOOKUP(D26,'02_Type_Assumptions'!$A$4:$Z$25,23,FALSE())="per_acre",VLOOKUP(D26,'02_Type_Assumptions'!$A$4:$Z$25,8,FALSE()),0),0)</f>
        <v>0</v>
      </c>
      <c r="R26" s="193"/>
      <c r="S26" s="192" t="n">
        <f aca="false">IF(ISNUMBER(R26),R26*L26,M26*Q26)</f>
        <v>0</v>
      </c>
      <c r="T26" s="187" t="n">
        <f aca="false">IF(LOWER(E26)="sqft",F26*L26,M26*IFERROR(VLOOKUP(D26,'02_Type_Assumptions'!$A$4:$Z$25,9,FALSE()),0))</f>
        <v>0</v>
      </c>
      <c r="U26" s="187" t="n">
        <f aca="false">IF(OR(LOWER(E26)="lots",LOWER(E26)="units"),F26*L26,0)</f>
        <v>0</v>
      </c>
      <c r="V26" s="187" t="n">
        <f aca="false">U26*IFERROR(VLOOKUP(D26,'02_Type_Assumptions'!$A$4:$Z$25,21,FALSE()),0)</f>
        <v>0</v>
      </c>
      <c r="W26" s="189" t="n">
        <f aca="false">IFERROR(IF(OR(LOWER(E26)="lots",LOWER(E26)="units",LOWER(E26)="rooms"),F26*L26*VLOOKUP(D26,'02_Type_Assumptions'!$A$4:$Z$25,10,FALSE()),IF(LOWER(E26)="acres",M26*VLOOKUP(D26,'02_Type_Assumptions'!$A$4:$Z$25,11,FALSE()),IF(LOWER(E26)="sqft",T26/1000*VLOOKUP(D26,'02_Type_Assumptions'!$A$4:$Z$25,12,FALSE()),0))),0)</f>
        <v>0</v>
      </c>
      <c r="X26" s="192" t="n">
        <f aca="false">'Advanced Inputs'!$D$50</f>
        <v>7165</v>
      </c>
      <c r="Y26" s="193"/>
      <c r="Z26" s="192" t="n">
        <f aca="false">IF(ISNUMBER(Y26),Y26,W26*X26)</f>
        <v>0</v>
      </c>
      <c r="AA26" s="193"/>
      <c r="AB26" s="193"/>
      <c r="AC26" s="195"/>
      <c r="AD26" s="196" t="n">
        <f aca="false">IFERROR($P26*VLOOKUP($D26,'02_Type_Assumptions'!$A$4:$AC$25,28,FALSE()),$P26)</f>
        <v>0</v>
      </c>
      <c r="AE26" s="196" t="n">
        <f aca="false">IFERROR($P26*VLOOKUP($D26,'02_Type_Assumptions'!$A$4:$AC$25,29,FALSE()),$P26)</f>
        <v>0</v>
      </c>
      <c r="AF26" s="176" t="n">
        <f aca="false">IF(IFERROR(VLOOKUP($D26,'02_Type_Assumptions'!$A$4:$AC$25,27,FALSE()),"")="Industrial",$AD26,0)</f>
        <v>0</v>
      </c>
      <c r="AG26" s="176" t="n">
        <f aca="false">IF(IFERROR(VLOOKUP($D26,'02_Type_Assumptions'!$A$4:$AC$25,27,FALSE()),"")="Industrial",$AE26,0)</f>
        <v>0</v>
      </c>
      <c r="AH26" s="161"/>
      <c r="AI26" s="161"/>
      <c r="AJ26" s="161"/>
      <c r="AK26" s="161"/>
      <c r="AL26" s="161"/>
    </row>
    <row r="27" customFormat="false" ht="15" hidden="false" customHeight="true" outlineLevel="0" collapsed="false">
      <c r="A27" s="175" t="n">
        <v>25</v>
      </c>
      <c r="B27" s="199"/>
      <c r="C27" s="186" t="b">
        <f aca="false">FALSE()</f>
        <v>0</v>
      </c>
      <c r="D27" s="199"/>
      <c r="E27" s="199"/>
      <c r="F27" s="200"/>
      <c r="G27" s="188" t="n">
        <f aca="false">IFERROR(VLOOKUP(D27,'02_Type_Assumptions'!$A$4:$Z$25,3,FALSE()),0)</f>
        <v>0</v>
      </c>
      <c r="H27" s="201"/>
      <c r="I27" s="189" t="n">
        <f aca="false">IF(ISNUMBER(H27),H27,IF(LOWER(E27)="sqft",IFERROR(F27/43560/'00_Inputs_Dashboard'!$B$51,0),IF(LOWER(E27)="acres",IFERROR(F27,0),IFERROR(F27*G27,0))))</f>
        <v>0</v>
      </c>
      <c r="J27" s="197" t="n">
        <v>1</v>
      </c>
      <c r="K27" s="197" t="n">
        <v>1</v>
      </c>
      <c r="L27" s="198" t="n">
        <v>0.8</v>
      </c>
      <c r="M27" s="189" t="n">
        <f aca="false">I27*L27</f>
        <v>0</v>
      </c>
      <c r="N27" s="192" t="n">
        <f aca="false">IFERROR(IF(LOWER(E27)="rooms",VLOOKUP(D27,'02_Type_Assumptions'!$A$4:$Z$25,6,FALSE()),IF(LOWER(E27)="acres",VLOOKUP(D27,'02_Type_Assumptions'!$A$4:$Z$25,5,FALSE()),VLOOKUP(D27,'02_Type_Assumptions'!$A$4:$Z$25,4,FALSE()))),0)</f>
        <v>0</v>
      </c>
      <c r="O27" s="193"/>
      <c r="P27" s="192" t="n">
        <f aca="false">IF(ISNUMBER(O27),O27,IF(LOWER(E27)="rooms",F27*N27*L27,IF(LOWER(E27)="acres",M27*N27,IF(LOWER(E27)="sqft",M27*VLOOKUP(D27,'02_Type_Assumptions'!$A$4:$Z$25,5,FALSE()),F27*N27*L27))))</f>
        <v>0</v>
      </c>
      <c r="Q27" s="192" t="n">
        <f aca="false">IFERROR(IF(VLOOKUP(D27,'02_Type_Assumptions'!$A$4:$Z$25,23,FALSE())="per_acre",VLOOKUP(D27,'02_Type_Assumptions'!$A$4:$Z$25,8,FALSE()),0),0)</f>
        <v>0</v>
      </c>
      <c r="R27" s="193"/>
      <c r="S27" s="192" t="n">
        <f aca="false">IF(ISNUMBER(R27),R27*L27,M27*Q27)</f>
        <v>0</v>
      </c>
      <c r="T27" s="187" t="n">
        <f aca="false">IF(LOWER(E27)="sqft",F27*L27,M27*IFERROR(VLOOKUP(D27,'02_Type_Assumptions'!$A$4:$Z$25,9,FALSE()),0))</f>
        <v>0</v>
      </c>
      <c r="U27" s="187" t="n">
        <f aca="false">IF(OR(LOWER(E27)="lots",LOWER(E27)="units"),F27*L27,0)</f>
        <v>0</v>
      </c>
      <c r="V27" s="187" t="n">
        <f aca="false">U27*IFERROR(VLOOKUP(D27,'02_Type_Assumptions'!$A$4:$Z$25,21,FALSE()),0)</f>
        <v>0</v>
      </c>
      <c r="W27" s="189" t="n">
        <f aca="false">IFERROR(IF(OR(LOWER(E27)="lots",LOWER(E27)="units",LOWER(E27)="rooms"),F27*L27*VLOOKUP(D27,'02_Type_Assumptions'!$A$4:$Z$25,10,FALSE()),IF(LOWER(E27)="acres",M27*VLOOKUP(D27,'02_Type_Assumptions'!$A$4:$Z$25,11,FALSE()),IF(LOWER(E27)="sqft",T27/1000*VLOOKUP(D27,'02_Type_Assumptions'!$A$4:$Z$25,12,FALSE()),0))),0)</f>
        <v>0</v>
      </c>
      <c r="X27" s="192" t="n">
        <f aca="false">'Advanced Inputs'!$D$50</f>
        <v>7165</v>
      </c>
      <c r="Y27" s="193"/>
      <c r="Z27" s="192" t="n">
        <f aca="false">IF(ISNUMBER(Y27),Y27,W27*X27)</f>
        <v>0</v>
      </c>
      <c r="AA27" s="193"/>
      <c r="AB27" s="193"/>
      <c r="AC27" s="195"/>
      <c r="AD27" s="196" t="n">
        <f aca="false">IFERROR($P27*VLOOKUP($D27,'02_Type_Assumptions'!$A$4:$AC$25,28,FALSE()),$P27)</f>
        <v>0</v>
      </c>
      <c r="AE27" s="196" t="n">
        <f aca="false">IFERROR($P27*VLOOKUP($D27,'02_Type_Assumptions'!$A$4:$AC$25,29,FALSE()),$P27)</f>
        <v>0</v>
      </c>
      <c r="AF27" s="176" t="n">
        <f aca="false">IF(IFERROR(VLOOKUP($D27,'02_Type_Assumptions'!$A$4:$AC$25,27,FALSE()),"")="Industrial",$AD27,0)</f>
        <v>0</v>
      </c>
      <c r="AG27" s="176" t="n">
        <f aca="false">IF(IFERROR(VLOOKUP($D27,'02_Type_Assumptions'!$A$4:$AC$25,27,FALSE()),"")="Industrial",$AE27,0)</f>
        <v>0</v>
      </c>
      <c r="AH27" s="161"/>
      <c r="AI27" s="161"/>
      <c r="AJ27" s="161"/>
      <c r="AK27" s="161"/>
      <c r="AL27" s="161"/>
    </row>
  </sheetData>
  <mergeCells count="1">
    <mergeCell ref="A1:AC1"/>
  </mergeCells>
  <dataValidations count="2">
    <dataValidation allowBlank="false" errorStyle="stop" operator="between" showDropDown="false" showErrorMessage="false" showInputMessage="false" sqref="C3:C27" type="list">
      <formula1>"TRUE,FALSE"</formula1>
      <formula2>0</formula2>
    </dataValidation>
    <dataValidation allowBlank="false" errorStyle="stop" operator="between" showDropDown="false" showErrorMessage="false" showInputMessage="false" sqref="E3:E27" type="list">
      <formula1>"lots,units,acres,rooms,sqft"</formula1>
      <formula2>0</formula2>
    </dataValidation>
  </dataValidation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0"/>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K59" activeCellId="0" sqref="K59"/>
    </sheetView>
  </sheetViews>
  <sheetFormatPr defaultColWidth="8.66796875" defaultRowHeight="14.25" customHeight="false" zeroHeight="false" outlineLevelRow="0" outlineLevelCol="0"/>
  <cols>
    <col collapsed="false" customWidth="true" hidden="false" outlineLevel="0" max="1" min="1" style="16" width="34"/>
    <col collapsed="false" customWidth="true" hidden="false" outlineLevel="0" max="2" min="2" style="202" width="13"/>
    <col collapsed="false" customWidth="true" hidden="false" outlineLevel="0" max="6" min="3" style="16" width="13"/>
    <col collapsed="false" customWidth="false" hidden="false" outlineLevel="0" max="16384" min="7" style="16" width="8.67"/>
  </cols>
  <sheetData>
    <row r="1" customFormat="false" ht="21.75" hidden="false" customHeight="true" outlineLevel="0" collapsed="false">
      <c r="A1" s="203" t="s">
        <v>591</v>
      </c>
      <c r="B1" s="203"/>
      <c r="C1" s="203"/>
      <c r="D1" s="203"/>
      <c r="E1" s="203"/>
      <c r="F1" s="203"/>
    </row>
    <row r="2" customFormat="false" ht="14.25" hidden="false" customHeight="true" outlineLevel="0" collapsed="false">
      <c r="A2" s="161"/>
      <c r="B2" s="161"/>
      <c r="C2" s="161"/>
      <c r="D2" s="161"/>
      <c r="E2" s="161"/>
      <c r="F2" s="161"/>
    </row>
    <row r="3" customFormat="false" ht="14.25" hidden="false" customHeight="true" outlineLevel="0" collapsed="false">
      <c r="A3" s="204" t="s">
        <v>592</v>
      </c>
      <c r="B3" s="161"/>
      <c r="C3" s="161"/>
      <c r="D3" s="161"/>
      <c r="E3" s="161"/>
      <c r="F3" s="161"/>
    </row>
    <row r="4" customFormat="false" ht="15" hidden="false" customHeight="true" outlineLevel="0" collapsed="false">
      <c r="A4" s="205" t="s">
        <v>593</v>
      </c>
      <c r="B4" s="205"/>
      <c r="C4" s="205"/>
      <c r="D4" s="205"/>
      <c r="E4" s="205"/>
      <c r="F4" s="205"/>
    </row>
    <row r="5" customFormat="false" ht="15" hidden="false" customHeight="true" outlineLevel="0" collapsed="false">
      <c r="A5" s="204" t="s">
        <v>594</v>
      </c>
      <c r="B5" s="206" t="n">
        <f aca="false">'Advanced Inputs'!D6</f>
        <v>0</v>
      </c>
      <c r="C5" s="207" t="s">
        <v>595</v>
      </c>
      <c r="D5" s="161"/>
      <c r="E5" s="161"/>
      <c r="F5" s="161"/>
    </row>
    <row r="6" customFormat="false" ht="15" hidden="false" customHeight="true" outlineLevel="0" collapsed="false">
      <c r="A6" s="204" t="s">
        <v>596</v>
      </c>
      <c r="B6" s="206" t="n">
        <f aca="false">'Advanced Inputs'!D7</f>
        <v>0</v>
      </c>
      <c r="C6" s="207" t="s">
        <v>597</v>
      </c>
      <c r="D6" s="161"/>
      <c r="E6" s="161"/>
      <c r="F6" s="161"/>
    </row>
    <row r="7" customFormat="false" ht="15" hidden="false" customHeight="true" outlineLevel="0" collapsed="false">
      <c r="A7" s="204" t="s">
        <v>598</v>
      </c>
      <c r="B7" s="206" t="n">
        <f aca="false">'Advanced Inputs'!D8</f>
        <v>0</v>
      </c>
      <c r="C7" s="207" t="s">
        <v>599</v>
      </c>
      <c r="D7" s="161"/>
      <c r="E7" s="161"/>
      <c r="F7" s="161"/>
    </row>
    <row r="8" customFormat="false" ht="15" hidden="false" customHeight="true" outlineLevel="0" collapsed="false">
      <c r="A8" s="204" t="s">
        <v>600</v>
      </c>
      <c r="B8" s="208" t="n">
        <f aca="false">B5+B7</f>
        <v>0</v>
      </c>
      <c r="C8" s="204" t="str">
        <f aca="false">IF(ABS(B5+B7-1)&lt;0.001,"✓ 100%","❌ Off")</f>
        <v>❌ Off</v>
      </c>
      <c r="D8" s="161"/>
      <c r="E8" s="161"/>
      <c r="F8" s="161"/>
    </row>
    <row r="9" customFormat="false" ht="14.25" hidden="false" customHeight="true" outlineLevel="0" collapsed="false">
      <c r="A9" s="204" t="s">
        <v>601</v>
      </c>
      <c r="B9" s="209" t="n">
        <f aca="false">'Advanced Inputs'!F7</f>
        <v>1</v>
      </c>
      <c r="C9" s="161"/>
      <c r="D9" s="161"/>
      <c r="E9" s="161"/>
      <c r="F9" s="161"/>
    </row>
    <row r="10" customFormat="false" ht="15" hidden="false" customHeight="true" outlineLevel="0" collapsed="false">
      <c r="A10" s="205" t="s">
        <v>602</v>
      </c>
      <c r="B10" s="205"/>
      <c r="C10" s="205"/>
      <c r="D10" s="205"/>
      <c r="E10" s="205"/>
      <c r="F10" s="205"/>
    </row>
    <row r="11" customFormat="false" ht="15" hidden="false" customHeight="true" outlineLevel="0" collapsed="false">
      <c r="A11" s="204" t="s">
        <v>89</v>
      </c>
      <c r="B11" s="210" t="n">
        <f aca="false">'Advanced Inputs'!D13</f>
        <v>7937</v>
      </c>
      <c r="C11" s="207" t="s">
        <v>603</v>
      </c>
      <c r="D11" s="161"/>
      <c r="E11" s="161"/>
      <c r="F11" s="161"/>
    </row>
    <row r="12" customFormat="false" ht="15" hidden="false" customHeight="true" outlineLevel="0" collapsed="false">
      <c r="A12" s="204" t="s">
        <v>604</v>
      </c>
      <c r="B12" s="211" t="n">
        <f aca="false">'Advanced Inputs'!D14</f>
        <v>0.032</v>
      </c>
      <c r="C12" s="207" t="s">
        <v>605</v>
      </c>
      <c r="D12" s="161"/>
      <c r="E12" s="161"/>
      <c r="F12" s="161"/>
    </row>
    <row r="13" customFormat="false" ht="15" hidden="false" customHeight="true" outlineLevel="0" collapsed="false">
      <c r="A13" s="204" t="s">
        <v>606</v>
      </c>
      <c r="B13" s="212" t="n">
        <f aca="false">'Advanced Inputs'!D15</f>
        <v>3700000</v>
      </c>
      <c r="C13" s="207" t="s">
        <v>607</v>
      </c>
      <c r="D13" s="161"/>
      <c r="E13" s="161"/>
      <c r="F13" s="161"/>
    </row>
    <row r="14" customFormat="false" ht="15" hidden="false" customHeight="true" outlineLevel="0" collapsed="false">
      <c r="A14" s="204" t="s">
        <v>608</v>
      </c>
      <c r="B14" s="211" t="n">
        <f aca="false">'Advanced Inputs'!D16</f>
        <v>0.065</v>
      </c>
      <c r="C14" s="207" t="s">
        <v>609</v>
      </c>
      <c r="D14" s="161"/>
      <c r="E14" s="161"/>
      <c r="F14" s="161"/>
    </row>
    <row r="15" customFormat="false" ht="15" hidden="false" customHeight="true" outlineLevel="0" collapsed="false">
      <c r="A15" s="204" t="s">
        <v>610</v>
      </c>
      <c r="B15" s="211" t="n">
        <f aca="false">'Advanced Inputs'!D17</f>
        <v>0.06</v>
      </c>
      <c r="C15" s="207" t="s">
        <v>611</v>
      </c>
      <c r="D15" s="161"/>
      <c r="E15" s="161"/>
      <c r="F15" s="161"/>
    </row>
    <row r="16" customFormat="false" ht="15" hidden="false" customHeight="true" outlineLevel="0" collapsed="false">
      <c r="A16" s="204" t="s">
        <v>612</v>
      </c>
      <c r="B16" s="206" t="n">
        <f aca="false">'Advanced Inputs'!D18</f>
        <v>0.8</v>
      </c>
      <c r="C16" s="207" t="s">
        <v>613</v>
      </c>
      <c r="D16" s="161"/>
      <c r="E16" s="161"/>
      <c r="F16" s="161"/>
    </row>
    <row r="17" customFormat="false" ht="14.25" hidden="false" customHeight="true" outlineLevel="0" collapsed="false">
      <c r="A17" s="161"/>
      <c r="B17" s="161"/>
      <c r="C17" s="161"/>
      <c r="D17" s="161"/>
      <c r="E17" s="161"/>
      <c r="F17" s="161"/>
    </row>
    <row r="18" customFormat="false" ht="15" hidden="false" customHeight="true" outlineLevel="0" collapsed="false">
      <c r="A18" s="205" t="s">
        <v>614</v>
      </c>
      <c r="B18" s="205"/>
      <c r="C18" s="205"/>
      <c r="D18" s="205"/>
      <c r="E18" s="205"/>
      <c r="F18" s="205"/>
    </row>
    <row r="19" customFormat="false" ht="15" hidden="false" customHeight="true" outlineLevel="0" collapsed="false">
      <c r="A19" s="204" t="s">
        <v>615</v>
      </c>
      <c r="B19" s="213" t="n">
        <v>10</v>
      </c>
      <c r="C19" s="207" t="s">
        <v>616</v>
      </c>
      <c r="D19" s="161"/>
      <c r="E19" s="161"/>
      <c r="F19" s="161"/>
    </row>
    <row r="20" customFormat="false" ht="15" hidden="false" customHeight="true" outlineLevel="0" collapsed="false">
      <c r="A20" s="204" t="s">
        <v>617</v>
      </c>
      <c r="B20" s="211" t="n">
        <f aca="false">'Advanced Inputs'!D9</f>
        <v>0.015</v>
      </c>
      <c r="C20" s="207" t="s">
        <v>618</v>
      </c>
      <c r="D20" s="161"/>
      <c r="E20" s="161"/>
      <c r="F20" s="161"/>
    </row>
    <row r="21" customFormat="false" ht="15" hidden="false" customHeight="true" outlineLevel="0" collapsed="false">
      <c r="A21" s="204" t="s">
        <v>86</v>
      </c>
      <c r="B21" s="214" t="n">
        <f aca="false">'Advanced Inputs'!D10</f>
        <v>0.0037731</v>
      </c>
      <c r="C21" s="207" t="s">
        <v>619</v>
      </c>
      <c r="D21" s="161"/>
      <c r="E21" s="161"/>
      <c r="F21" s="161"/>
    </row>
    <row r="22" customFormat="false" ht="15" hidden="false" customHeight="true" outlineLevel="0" collapsed="false">
      <c r="A22" s="204" t="s">
        <v>620</v>
      </c>
      <c r="B22" s="214" t="n">
        <f aca="false">'Advanced Inputs'!D11</f>
        <v>0.000931</v>
      </c>
      <c r="C22" s="207" t="s">
        <v>621</v>
      </c>
      <c r="D22" s="161"/>
      <c r="E22" s="161"/>
      <c r="F22" s="161"/>
    </row>
    <row r="23" customFormat="false" ht="15" hidden="false" customHeight="true" outlineLevel="0" collapsed="false">
      <c r="A23" s="204" t="s">
        <v>95</v>
      </c>
      <c r="B23" s="211" t="n">
        <f aca="false">'Advanced Inputs'!D19</f>
        <v>0.025</v>
      </c>
      <c r="C23" s="207" t="s">
        <v>622</v>
      </c>
      <c r="D23" s="161"/>
      <c r="E23" s="161"/>
      <c r="F23" s="161"/>
    </row>
    <row r="24" customFormat="false" ht="15" hidden="false" customHeight="true" outlineLevel="0" collapsed="false">
      <c r="A24" s="204" t="s">
        <v>96</v>
      </c>
      <c r="B24" s="211" t="n">
        <f aca="false">'Advanced Inputs'!D20</f>
        <v>0.045</v>
      </c>
      <c r="C24" s="207" t="s">
        <v>623</v>
      </c>
      <c r="D24" s="161"/>
      <c r="E24" s="161"/>
      <c r="F24" s="161"/>
    </row>
    <row r="25" customFormat="false" ht="15" hidden="false" customHeight="true" outlineLevel="0" collapsed="false">
      <c r="A25" s="204" t="s">
        <v>624</v>
      </c>
      <c r="B25" s="211" t="n">
        <f aca="false">'Advanced Inputs'!D21</f>
        <v>0.025</v>
      </c>
      <c r="C25" s="207" t="s">
        <v>625</v>
      </c>
      <c r="D25" s="161"/>
      <c r="E25" s="161"/>
      <c r="F25" s="161"/>
    </row>
    <row r="26" customFormat="false" ht="15" hidden="false" customHeight="true" outlineLevel="0" collapsed="false">
      <c r="A26" s="204" t="s">
        <v>626</v>
      </c>
      <c r="B26" s="211" t="n">
        <f aca="false">'Advanced Inputs'!D22</f>
        <v>0.025</v>
      </c>
      <c r="C26" s="207" t="s">
        <v>627</v>
      </c>
      <c r="D26" s="161"/>
      <c r="E26" s="161"/>
      <c r="F26" s="161"/>
    </row>
    <row r="27" customFormat="false" ht="15" hidden="false" customHeight="true" outlineLevel="0" collapsed="false">
      <c r="A27" s="204" t="s">
        <v>628</v>
      </c>
      <c r="B27" s="213" t="n">
        <f aca="false">'Advanced Inputs'!D23</f>
        <v>0</v>
      </c>
      <c r="C27" s="207" t="s">
        <v>629</v>
      </c>
      <c r="D27" s="161"/>
      <c r="E27" s="161"/>
      <c r="F27" s="161"/>
    </row>
    <row r="28" customFormat="false" ht="14.25" hidden="false" customHeight="true" outlineLevel="0" collapsed="false">
      <c r="A28" s="161"/>
      <c r="B28" s="161"/>
      <c r="C28" s="161"/>
      <c r="D28" s="161"/>
      <c r="E28" s="161"/>
      <c r="F28" s="161"/>
    </row>
    <row r="29" customFormat="false" ht="15" hidden="false" customHeight="true" outlineLevel="0" collapsed="false">
      <c r="A29" s="205" t="s">
        <v>630</v>
      </c>
      <c r="B29" s="205"/>
      <c r="C29" s="205"/>
      <c r="D29" s="205"/>
      <c r="E29" s="205"/>
      <c r="F29" s="205"/>
    </row>
    <row r="30" customFormat="false" ht="15" hidden="false" customHeight="true" outlineLevel="0" collapsed="false">
      <c r="A30" s="204" t="s">
        <v>102</v>
      </c>
      <c r="B30" s="206" t="n">
        <f aca="false">'Advanced Inputs'!D26</f>
        <v>0.95</v>
      </c>
      <c r="C30" s="207" t="s">
        <v>631</v>
      </c>
      <c r="D30" s="161"/>
      <c r="E30" s="161"/>
      <c r="F30" s="161"/>
    </row>
    <row r="31" customFormat="false" ht="15" hidden="false" customHeight="true" outlineLevel="0" collapsed="false">
      <c r="A31" s="204" t="s">
        <v>103</v>
      </c>
      <c r="B31" s="206" t="n">
        <f aca="false">'Advanced Inputs'!D27</f>
        <v>0.92</v>
      </c>
      <c r="C31" s="207" t="s">
        <v>632</v>
      </c>
      <c r="D31" s="161"/>
      <c r="E31" s="161"/>
      <c r="F31" s="161"/>
    </row>
    <row r="32" customFormat="false" ht="15" hidden="false" customHeight="true" outlineLevel="0" collapsed="false">
      <c r="A32" s="204" t="s">
        <v>104</v>
      </c>
      <c r="B32" s="215" t="n">
        <f aca="false">'Advanced Inputs'!D28</f>
        <v>2.7</v>
      </c>
      <c r="C32" s="207" t="s">
        <v>633</v>
      </c>
      <c r="D32" s="161"/>
      <c r="E32" s="161"/>
      <c r="F32" s="161"/>
    </row>
    <row r="33" customFormat="false" ht="15" hidden="false" customHeight="true" outlineLevel="0" collapsed="false">
      <c r="A33" s="204" t="s">
        <v>105</v>
      </c>
      <c r="B33" s="215" t="n">
        <f aca="false">'Advanced Inputs'!D29</f>
        <v>2.1</v>
      </c>
      <c r="C33" s="207" t="s">
        <v>634</v>
      </c>
      <c r="D33" s="161"/>
      <c r="E33" s="161"/>
      <c r="F33" s="161"/>
    </row>
    <row r="34" customFormat="false" ht="15" hidden="false" customHeight="true" outlineLevel="0" collapsed="false">
      <c r="A34" s="204" t="s">
        <v>106</v>
      </c>
      <c r="B34" s="212" t="n">
        <f aca="false">'Advanced Inputs'!D30</f>
        <v>6000</v>
      </c>
      <c r="C34" s="207" t="s">
        <v>635</v>
      </c>
      <c r="D34" s="161"/>
      <c r="E34" s="161"/>
      <c r="F34" s="161"/>
    </row>
    <row r="35" customFormat="false" ht="15" hidden="false" customHeight="true" outlineLevel="0" collapsed="false">
      <c r="A35" s="204" t="s">
        <v>107</v>
      </c>
      <c r="B35" s="206" t="n">
        <f aca="false">'Advanced Inputs'!D31</f>
        <v>0.7</v>
      </c>
      <c r="C35" s="207" t="s">
        <v>636</v>
      </c>
      <c r="D35" s="161"/>
      <c r="E35" s="161"/>
      <c r="F35" s="161"/>
    </row>
    <row r="36" customFormat="false" ht="15" hidden="false" customHeight="true" outlineLevel="0" collapsed="false">
      <c r="A36" s="204" t="s">
        <v>108</v>
      </c>
      <c r="B36" s="206" t="n">
        <f aca="false">'Advanced Inputs'!D32</f>
        <v>0.75</v>
      </c>
      <c r="C36" s="207" t="s">
        <v>637</v>
      </c>
      <c r="D36" s="161"/>
      <c r="E36" s="161"/>
      <c r="F36" s="161"/>
    </row>
    <row r="37" customFormat="false" ht="15" hidden="false" customHeight="true" outlineLevel="0" collapsed="false">
      <c r="A37" s="204" t="s">
        <v>638</v>
      </c>
      <c r="B37" s="211" t="n">
        <f aca="false">'Advanced Inputs'!D33</f>
        <v>0.04</v>
      </c>
      <c r="C37" s="207" t="s">
        <v>639</v>
      </c>
      <c r="D37" s="161"/>
      <c r="E37" s="161"/>
      <c r="F37" s="161"/>
    </row>
    <row r="38" customFormat="false" ht="15" hidden="false" customHeight="true" outlineLevel="0" collapsed="false">
      <c r="A38" s="204" t="s">
        <v>640</v>
      </c>
      <c r="B38" s="213" t="n">
        <f aca="false">'Advanced Inputs'!D34</f>
        <v>1</v>
      </c>
      <c r="C38" s="207" t="s">
        <v>641</v>
      </c>
      <c r="D38" s="161"/>
      <c r="E38" s="161"/>
      <c r="F38" s="161"/>
    </row>
    <row r="39" customFormat="false" ht="14.25" hidden="false" customHeight="true" outlineLevel="0" collapsed="false">
      <c r="A39" s="161"/>
      <c r="B39" s="161"/>
      <c r="C39" s="161"/>
      <c r="D39" s="161"/>
      <c r="E39" s="161"/>
      <c r="F39" s="161"/>
    </row>
    <row r="40" customFormat="false" ht="15" hidden="false" customHeight="true" outlineLevel="0" collapsed="false">
      <c r="A40" s="216" t="s">
        <v>642</v>
      </c>
      <c r="B40" s="216"/>
      <c r="C40" s="216"/>
      <c r="D40" s="216"/>
      <c r="E40" s="216"/>
      <c r="F40" s="216"/>
    </row>
    <row r="41" customFormat="false" ht="14.25" hidden="false" customHeight="true" outlineLevel="0" collapsed="false">
      <c r="A41" s="161"/>
      <c r="B41" s="161"/>
      <c r="C41" s="161"/>
      <c r="D41" s="161"/>
      <c r="E41" s="161"/>
      <c r="F41" s="161"/>
    </row>
    <row r="42" customFormat="false" ht="14.25" hidden="false" customHeight="true" outlineLevel="0" collapsed="false">
      <c r="A42" s="161"/>
      <c r="B42" s="161"/>
      <c r="C42" s="161"/>
      <c r="D42" s="161"/>
      <c r="E42" s="161"/>
      <c r="F42" s="161"/>
    </row>
    <row r="43" customFormat="false" ht="15" hidden="false" customHeight="true" outlineLevel="0" collapsed="false">
      <c r="A43" s="205" t="s">
        <v>643</v>
      </c>
      <c r="B43" s="205"/>
      <c r="C43" s="205"/>
      <c r="D43" s="205"/>
      <c r="E43" s="205"/>
      <c r="F43" s="205"/>
    </row>
    <row r="44" customFormat="false" ht="15" hidden="false" customHeight="true" outlineLevel="0" collapsed="false">
      <c r="A44" s="217" t="s">
        <v>644</v>
      </c>
      <c r="B44" s="217" t="s">
        <v>645</v>
      </c>
      <c r="C44" s="217" t="s">
        <v>646</v>
      </c>
      <c r="D44" s="217" t="s">
        <v>647</v>
      </c>
      <c r="E44" s="161"/>
      <c r="F44" s="161"/>
    </row>
    <row r="45" customFormat="false" ht="15" hidden="false" customHeight="true" outlineLevel="0" collapsed="false">
      <c r="A45" s="204" t="s">
        <v>648</v>
      </c>
      <c r="B45" s="218" t="n">
        <v>4000</v>
      </c>
      <c r="C45" s="219" t="n">
        <v>0.6</v>
      </c>
      <c r="D45" s="219" t="n">
        <v>0.6</v>
      </c>
      <c r="E45" s="161"/>
      <c r="F45" s="161"/>
    </row>
    <row r="46" customFormat="false" ht="15" hidden="false" customHeight="true" outlineLevel="0" collapsed="false">
      <c r="A46" s="204" t="s">
        <v>649</v>
      </c>
      <c r="B46" s="218" t="n">
        <v>6000</v>
      </c>
      <c r="C46" s="219" t="n">
        <v>0.7</v>
      </c>
      <c r="D46" s="219" t="n">
        <v>0.75</v>
      </c>
      <c r="E46" s="161"/>
      <c r="F46" s="161"/>
    </row>
    <row r="47" customFormat="false" ht="14.25" hidden="false" customHeight="true" outlineLevel="0" collapsed="false">
      <c r="A47" s="175" t="s">
        <v>331</v>
      </c>
      <c r="B47" s="220" t="n">
        <v>8000</v>
      </c>
      <c r="C47" s="221" t="n">
        <v>0.75</v>
      </c>
      <c r="D47" s="221" t="n">
        <v>0.9</v>
      </c>
      <c r="E47" s="161"/>
      <c r="F47" s="161"/>
    </row>
    <row r="48" customFormat="false" ht="14.25" hidden="false" customHeight="true" outlineLevel="0" collapsed="false">
      <c r="A48" s="175"/>
      <c r="B48" s="222"/>
      <c r="C48" s="175"/>
      <c r="D48" s="175"/>
      <c r="E48" s="161"/>
      <c r="F48" s="161"/>
    </row>
    <row r="49" customFormat="false" ht="14.25" hidden="false" customHeight="true" outlineLevel="0" collapsed="false">
      <c r="A49" s="223" t="s">
        <v>650</v>
      </c>
      <c r="B49" s="222"/>
      <c r="C49" s="175"/>
      <c r="D49" s="175"/>
      <c r="E49" s="161"/>
      <c r="F49" s="161"/>
    </row>
    <row r="50" customFormat="false" ht="27" hidden="false" customHeight="true" outlineLevel="0" collapsed="false">
      <c r="A50" s="224" t="s">
        <v>651</v>
      </c>
      <c r="B50" s="225" t="n">
        <f aca="false">'Advanced Inputs'!D24</f>
        <v>1</v>
      </c>
      <c r="C50" s="224" t="s">
        <v>652</v>
      </c>
      <c r="D50" s="175"/>
      <c r="E50" s="161"/>
      <c r="F50" s="161"/>
    </row>
    <row r="51" customFormat="false" ht="14.25" hidden="false" customHeight="true" outlineLevel="0" collapsed="false">
      <c r="A51" s="161"/>
      <c r="B51" s="209" t="n">
        <f aca="false">'Advanced Inputs'!D47</f>
        <v>0.3</v>
      </c>
      <c r="C51" s="161"/>
      <c r="D51" s="161"/>
      <c r="E51" s="161"/>
      <c r="F51" s="161"/>
    </row>
    <row r="52" customFormat="false" ht="14.25" hidden="false" customHeight="true" outlineLevel="0" collapsed="false">
      <c r="A52" s="161"/>
      <c r="B52" s="209" t="n">
        <f aca="false">'Advanced Inputs'!D48</f>
        <v>0</v>
      </c>
      <c r="C52" s="161"/>
      <c r="D52" s="161"/>
      <c r="E52" s="161"/>
      <c r="F52" s="161"/>
    </row>
    <row r="53" s="90" customFormat="true" ht="14.25" hidden="false" customHeight="true" outlineLevel="0" collapsed="false">
      <c r="A53" s="161"/>
      <c r="B53" s="226" t="n">
        <f aca="false">'Advanced Inputs'!D49</f>
        <v>10</v>
      </c>
      <c r="C53" s="161"/>
      <c r="D53" s="161"/>
      <c r="E53" s="161"/>
      <c r="F53" s="161"/>
    </row>
    <row r="54" customFormat="false" ht="14.25" hidden="false" customHeight="true" outlineLevel="0" collapsed="false">
      <c r="A54" s="227"/>
      <c r="B54" s="161"/>
      <c r="C54" s="161"/>
      <c r="D54" s="161"/>
      <c r="E54" s="161"/>
      <c r="F54" s="161"/>
    </row>
    <row r="55" customFormat="false" ht="14.25" hidden="false" customHeight="true" outlineLevel="0" collapsed="false">
      <c r="A55" s="227"/>
      <c r="B55" s="161"/>
      <c r="C55" s="161"/>
      <c r="D55" s="161"/>
      <c r="E55" s="161"/>
      <c r="F55" s="161"/>
    </row>
    <row r="56" customFormat="false" ht="14.25" hidden="false" customHeight="true" outlineLevel="0" collapsed="false">
      <c r="A56" s="227" t="s">
        <v>653</v>
      </c>
      <c r="B56" s="228" t="n">
        <v>1</v>
      </c>
      <c r="C56" s="161"/>
      <c r="D56" s="161"/>
      <c r="E56" s="161"/>
      <c r="F56" s="161"/>
    </row>
    <row r="57" customFormat="false" ht="14.25" hidden="false" customHeight="true" outlineLevel="0" collapsed="false">
      <c r="A57" s="227"/>
      <c r="B57" s="161"/>
      <c r="C57" s="161"/>
      <c r="D57" s="161"/>
      <c r="E57" s="161"/>
      <c r="F57" s="161"/>
    </row>
    <row r="58" customFormat="false" ht="14.25" hidden="false" customHeight="true" outlineLevel="0" collapsed="false">
      <c r="A58" s="227"/>
      <c r="B58" s="161"/>
      <c r="C58" s="161"/>
      <c r="D58" s="161"/>
      <c r="E58" s="161"/>
      <c r="F58" s="161"/>
    </row>
    <row r="59" customFormat="false" ht="14.25" hidden="false" customHeight="true" outlineLevel="0" collapsed="false">
      <c r="A59" s="227"/>
      <c r="B59" s="161"/>
      <c r="C59" s="161"/>
      <c r="D59" s="161"/>
      <c r="E59" s="161"/>
      <c r="F59" s="161"/>
    </row>
    <row r="60" customFormat="false" ht="14.25" hidden="false" customHeight="true" outlineLevel="0" collapsed="false">
      <c r="A60" s="227"/>
      <c r="B60" s="161"/>
      <c r="C60" s="161"/>
      <c r="D60" s="161"/>
      <c r="E60" s="161"/>
      <c r="F60" s="161"/>
    </row>
  </sheetData>
  <mergeCells count="7">
    <mergeCell ref="A1:F1"/>
    <mergeCell ref="A4:F4"/>
    <mergeCell ref="A10:F10"/>
    <mergeCell ref="A18:F18"/>
    <mergeCell ref="A29:F29"/>
    <mergeCell ref="A40:F40"/>
    <mergeCell ref="A43:F43"/>
  </mergeCell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E22" activeCellId="0" sqref="E22"/>
    </sheetView>
  </sheetViews>
  <sheetFormatPr defaultColWidth="8.66796875" defaultRowHeight="12.75" customHeight="false" zeroHeight="false" outlineLevelRow="0" outlineLevelCol="0"/>
  <cols>
    <col collapsed="false" customWidth="true" hidden="false" outlineLevel="0" max="1" min="1" style="1" width="30"/>
    <col collapsed="false" customWidth="true" hidden="false" outlineLevel="0" max="29" min="2" style="1" width="12"/>
  </cols>
  <sheetData>
    <row r="1" customFormat="false" ht="21.75" hidden="false" customHeight="true" outlineLevel="0" collapsed="false">
      <c r="A1" s="160" t="str">
        <f aca="false">"Type Assumptions — "&amp;COUNTA($A$4:$A$25)&amp;" development types"</f>
        <v>Type Assumptions — 22 development types</v>
      </c>
      <c r="B1" s="160"/>
      <c r="C1" s="160"/>
      <c r="D1" s="160"/>
      <c r="E1" s="160"/>
      <c r="F1" s="160"/>
      <c r="G1" s="160"/>
      <c r="H1" s="160"/>
      <c r="I1" s="160"/>
      <c r="J1" s="160"/>
      <c r="K1" s="160"/>
      <c r="L1" s="160"/>
      <c r="M1" s="160"/>
      <c r="N1" s="160"/>
      <c r="O1" s="160"/>
      <c r="P1" s="160"/>
      <c r="Q1" s="160"/>
      <c r="R1" s="160"/>
      <c r="S1" s="160"/>
      <c r="T1" s="160"/>
      <c r="U1" s="160"/>
      <c r="V1" s="160"/>
      <c r="W1" s="160"/>
      <c r="X1" s="160"/>
      <c r="Y1" s="160"/>
      <c r="Z1" s="160"/>
      <c r="AA1" s="161"/>
      <c r="AB1" s="161"/>
      <c r="AC1" s="161"/>
    </row>
    <row r="2" customFormat="false" ht="12.75" hidden="false" customHeight="true" outlineLevel="0" collapsed="false">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row>
    <row r="3" customFormat="false" ht="31.5" hidden="false" customHeight="true" outlineLevel="0" collapsed="false">
      <c r="A3" s="182" t="s">
        <v>654</v>
      </c>
      <c r="B3" s="182" t="s">
        <v>655</v>
      </c>
      <c r="C3" s="182" t="s">
        <v>656</v>
      </c>
      <c r="D3" s="182" t="s">
        <v>657</v>
      </c>
      <c r="E3" s="182" t="s">
        <v>658</v>
      </c>
      <c r="F3" s="182" t="s">
        <v>659</v>
      </c>
      <c r="G3" s="182" t="s">
        <v>660</v>
      </c>
      <c r="H3" s="182" t="s">
        <v>661</v>
      </c>
      <c r="I3" s="182" t="s">
        <v>662</v>
      </c>
      <c r="J3" s="182" t="s">
        <v>663</v>
      </c>
      <c r="K3" s="182" t="s">
        <v>664</v>
      </c>
      <c r="L3" s="182" t="s">
        <v>665</v>
      </c>
      <c r="M3" s="182" t="s">
        <v>666</v>
      </c>
      <c r="N3" s="182" t="s">
        <v>667</v>
      </c>
      <c r="O3" s="182" t="s">
        <v>668</v>
      </c>
      <c r="P3" s="182" t="s">
        <v>669</v>
      </c>
      <c r="Q3" s="182" t="s">
        <v>670</v>
      </c>
      <c r="R3" s="182" t="s">
        <v>671</v>
      </c>
      <c r="S3" s="182" t="s">
        <v>672</v>
      </c>
      <c r="T3" s="182" t="s">
        <v>673</v>
      </c>
      <c r="U3" s="182" t="s">
        <v>674</v>
      </c>
      <c r="V3" s="182" t="s">
        <v>675</v>
      </c>
      <c r="W3" s="182" t="s">
        <v>676</v>
      </c>
      <c r="X3" s="182" t="s">
        <v>677</v>
      </c>
      <c r="Y3" s="182" t="s">
        <v>323</v>
      </c>
      <c r="Z3" s="182" t="s">
        <v>678</v>
      </c>
      <c r="AA3" s="183" t="s">
        <v>679</v>
      </c>
      <c r="AB3" s="183" t="s">
        <v>680</v>
      </c>
      <c r="AC3" s="183" t="s">
        <v>681</v>
      </c>
    </row>
    <row r="4" customFormat="false" ht="15" hidden="false" customHeight="true" outlineLevel="0" collapsed="false">
      <c r="A4" s="229" t="s">
        <v>44</v>
      </c>
      <c r="B4" s="165" t="s">
        <v>682</v>
      </c>
      <c r="C4" s="230" t="n">
        <v>0.125</v>
      </c>
      <c r="D4" s="230" t="n">
        <v>270000</v>
      </c>
      <c r="E4" s="230" t="n">
        <v>0</v>
      </c>
      <c r="F4" s="230" t="n">
        <v>0</v>
      </c>
      <c r="G4" s="230" t="n">
        <v>0</v>
      </c>
      <c r="H4" s="230" t="n">
        <v>0</v>
      </c>
      <c r="I4" s="230" t="n">
        <v>0</v>
      </c>
      <c r="J4" s="230" t="n">
        <v>1</v>
      </c>
      <c r="K4" s="230" t="n">
        <v>0</v>
      </c>
      <c r="L4" s="230" t="n">
        <v>0</v>
      </c>
      <c r="M4" s="230" t="n">
        <v>1800</v>
      </c>
      <c r="N4" s="230" t="n">
        <v>680</v>
      </c>
      <c r="O4" s="230" t="n">
        <v>0</v>
      </c>
      <c r="P4" s="230" t="n">
        <v>0</v>
      </c>
      <c r="Q4" s="230" t="n">
        <v>250</v>
      </c>
      <c r="R4" s="230" t="n">
        <v>220</v>
      </c>
      <c r="S4" s="230" t="n">
        <v>0</v>
      </c>
      <c r="T4" s="230" t="n">
        <v>0</v>
      </c>
      <c r="U4" s="230" t="n">
        <v>2.7</v>
      </c>
      <c r="V4" s="165" t="s">
        <v>683</v>
      </c>
      <c r="W4" s="165" t="s">
        <v>684</v>
      </c>
      <c r="X4" s="165" t="s">
        <v>683</v>
      </c>
      <c r="Y4" s="165" t="s">
        <v>685</v>
      </c>
      <c r="Z4" s="165" t="s">
        <v>686</v>
      </c>
      <c r="AA4" s="176" t="s">
        <v>128</v>
      </c>
      <c r="AB4" s="231" t="n">
        <f aca="false">IFERROR(VLOOKUP($AA4,'Advanced Inputs'!$A$38:$Q$42,9,FALSE()),1)</f>
        <v>0.98</v>
      </c>
      <c r="AC4" s="231" t="n">
        <f aca="false">IFERROR(VLOOKUP($AA4,'Advanced Inputs'!$A$38:$Q$42,17,FALSE()),1)</f>
        <v>0.965</v>
      </c>
    </row>
    <row r="5" customFormat="false" ht="15" hidden="false" customHeight="true" outlineLevel="0" collapsed="false">
      <c r="A5" s="229" t="s">
        <v>45</v>
      </c>
      <c r="B5" s="165" t="s">
        <v>682</v>
      </c>
      <c r="C5" s="230" t="n">
        <v>0.18</v>
      </c>
      <c r="D5" s="230" t="n">
        <v>310000</v>
      </c>
      <c r="E5" s="230" t="n">
        <v>0</v>
      </c>
      <c r="F5" s="230" t="n">
        <v>0</v>
      </c>
      <c r="G5" s="230" t="n">
        <v>0</v>
      </c>
      <c r="H5" s="230" t="n">
        <v>0</v>
      </c>
      <c r="I5" s="230" t="n">
        <v>0</v>
      </c>
      <c r="J5" s="230" t="n">
        <v>1</v>
      </c>
      <c r="K5" s="230" t="n">
        <v>0</v>
      </c>
      <c r="L5" s="230" t="n">
        <v>0</v>
      </c>
      <c r="M5" s="230" t="n">
        <v>2000</v>
      </c>
      <c r="N5" s="230" t="n">
        <v>680</v>
      </c>
      <c r="O5" s="230" t="n">
        <v>0</v>
      </c>
      <c r="P5" s="230" t="n">
        <v>0</v>
      </c>
      <c r="Q5" s="230" t="n">
        <v>260</v>
      </c>
      <c r="R5" s="230" t="n">
        <v>220</v>
      </c>
      <c r="S5" s="230" t="n">
        <v>0</v>
      </c>
      <c r="T5" s="230" t="n">
        <v>0</v>
      </c>
      <c r="U5" s="230" t="n">
        <v>2.6</v>
      </c>
      <c r="V5" s="165" t="s">
        <v>683</v>
      </c>
      <c r="W5" s="165" t="s">
        <v>684</v>
      </c>
      <c r="X5" s="165" t="s">
        <v>683</v>
      </c>
      <c r="Y5" s="165" t="s">
        <v>685</v>
      </c>
      <c r="Z5" s="165" t="s">
        <v>687</v>
      </c>
      <c r="AA5" s="176" t="s">
        <v>128</v>
      </c>
      <c r="AB5" s="231" t="n">
        <f aca="false">IFERROR(VLOOKUP($AA5,'Advanced Inputs'!$A$38:$Q$42,9,FALSE()),1)</f>
        <v>0.98</v>
      </c>
      <c r="AC5" s="231" t="n">
        <f aca="false">IFERROR(VLOOKUP($AA5,'Advanced Inputs'!$A$38:$Q$42,17,FALSE()),1)</f>
        <v>0.965</v>
      </c>
    </row>
    <row r="6" customFormat="false" ht="15" hidden="false" customHeight="true" outlineLevel="0" collapsed="false">
      <c r="A6" s="229" t="s">
        <v>46</v>
      </c>
      <c r="B6" s="165" t="s">
        <v>688</v>
      </c>
      <c r="C6" s="230" t="n">
        <v>0.1</v>
      </c>
      <c r="D6" s="230" t="n">
        <v>220000</v>
      </c>
      <c r="E6" s="230" t="n">
        <v>0</v>
      </c>
      <c r="F6" s="230" t="n">
        <v>0</v>
      </c>
      <c r="G6" s="230" t="n">
        <v>0</v>
      </c>
      <c r="H6" s="230" t="n">
        <v>0</v>
      </c>
      <c r="I6" s="230" t="n">
        <v>0</v>
      </c>
      <c r="J6" s="230" t="n">
        <v>0.8</v>
      </c>
      <c r="K6" s="230" t="n">
        <v>0</v>
      </c>
      <c r="L6" s="230" t="n">
        <v>0</v>
      </c>
      <c r="M6" s="230" t="n">
        <v>2500</v>
      </c>
      <c r="N6" s="230" t="n">
        <v>680</v>
      </c>
      <c r="O6" s="230" t="n">
        <v>0</v>
      </c>
      <c r="P6" s="230" t="n">
        <v>0</v>
      </c>
      <c r="Q6" s="230" t="n">
        <v>300</v>
      </c>
      <c r="R6" s="230" t="n">
        <v>220</v>
      </c>
      <c r="S6" s="230" t="n">
        <v>0</v>
      </c>
      <c r="T6" s="230" t="n">
        <v>0</v>
      </c>
      <c r="U6" s="230" t="n">
        <v>2.4</v>
      </c>
      <c r="V6" s="165" t="s">
        <v>683</v>
      </c>
      <c r="W6" s="165" t="s">
        <v>684</v>
      </c>
      <c r="X6" s="165" t="s">
        <v>683</v>
      </c>
      <c r="Y6" s="165" t="s">
        <v>685</v>
      </c>
      <c r="Z6" s="165" t="s">
        <v>689</v>
      </c>
      <c r="AA6" s="176" t="s">
        <v>128</v>
      </c>
      <c r="AB6" s="231" t="n">
        <f aca="false">IFERROR(VLOOKUP($AA6,'Advanced Inputs'!$A$38:$Q$42,9,FALSE()),1)</f>
        <v>0.98</v>
      </c>
      <c r="AC6" s="231" t="n">
        <f aca="false">IFERROR(VLOOKUP($AA6,'Advanced Inputs'!$A$38:$Q$42,17,FALSE()),1)</f>
        <v>0.965</v>
      </c>
    </row>
    <row r="7" customFormat="false" ht="15" hidden="false" customHeight="true" outlineLevel="0" collapsed="false">
      <c r="A7" s="229" t="s">
        <v>47</v>
      </c>
      <c r="B7" s="165" t="s">
        <v>688</v>
      </c>
      <c r="C7" s="230" t="n">
        <v>0.04</v>
      </c>
      <c r="D7" s="230" t="n">
        <v>80000</v>
      </c>
      <c r="E7" s="230" t="n">
        <v>0</v>
      </c>
      <c r="F7" s="230" t="n">
        <v>0</v>
      </c>
      <c r="G7" s="230" t="n">
        <v>0</v>
      </c>
      <c r="H7" s="230" t="n">
        <v>0</v>
      </c>
      <c r="I7" s="230" t="n">
        <v>0</v>
      </c>
      <c r="J7" s="230" t="n">
        <v>0.65</v>
      </c>
      <c r="K7" s="230" t="n">
        <v>0</v>
      </c>
      <c r="L7" s="230" t="n">
        <v>0</v>
      </c>
      <c r="M7" s="230" t="n">
        <v>3200</v>
      </c>
      <c r="N7" s="230" t="n">
        <v>680</v>
      </c>
      <c r="O7" s="230" t="n">
        <v>0</v>
      </c>
      <c r="P7" s="230" t="n">
        <v>0</v>
      </c>
      <c r="Q7" s="230" t="n">
        <v>400</v>
      </c>
      <c r="R7" s="230" t="n">
        <v>220</v>
      </c>
      <c r="S7" s="230" t="n">
        <v>0</v>
      </c>
      <c r="T7" s="230" t="n">
        <v>0</v>
      </c>
      <c r="U7" s="230" t="n">
        <v>2.1</v>
      </c>
      <c r="V7" s="165" t="s">
        <v>683</v>
      </c>
      <c r="W7" s="165" t="s">
        <v>684</v>
      </c>
      <c r="X7" s="165" t="s">
        <v>683</v>
      </c>
      <c r="Y7" s="165" t="s">
        <v>690</v>
      </c>
      <c r="Z7" s="165" t="s">
        <v>691</v>
      </c>
      <c r="AA7" s="176" t="s">
        <v>128</v>
      </c>
      <c r="AB7" s="231" t="n">
        <f aca="false">IFERROR(VLOOKUP($AA7,'Advanced Inputs'!$A$38:$Q$42,9,FALSE()),1)</f>
        <v>0.98</v>
      </c>
      <c r="AC7" s="231" t="n">
        <f aca="false">IFERROR(VLOOKUP($AA7,'Advanced Inputs'!$A$38:$Q$42,17,FALSE()),1)</f>
        <v>0.965</v>
      </c>
    </row>
    <row r="8" customFormat="false" ht="15" hidden="false" customHeight="true" outlineLevel="0" collapsed="false">
      <c r="A8" s="229" t="s">
        <v>30</v>
      </c>
      <c r="B8" s="165" t="s">
        <v>232</v>
      </c>
      <c r="C8" s="230" t="n">
        <v>1</v>
      </c>
      <c r="D8" s="230" t="n">
        <v>0</v>
      </c>
      <c r="E8" s="230" t="n">
        <v>850000</v>
      </c>
      <c r="F8" s="230" t="n">
        <v>0</v>
      </c>
      <c r="G8" s="230" t="n">
        <v>0</v>
      </c>
      <c r="H8" s="230" t="n">
        <v>8000000</v>
      </c>
      <c r="I8" s="230" t="n">
        <v>18000</v>
      </c>
      <c r="J8" s="230" t="n">
        <v>0</v>
      </c>
      <c r="K8" s="230" t="n">
        <v>12</v>
      </c>
      <c r="L8" s="230" t="n">
        <v>0</v>
      </c>
      <c r="M8" s="230" t="n">
        <v>2400</v>
      </c>
      <c r="N8" s="230" t="n">
        <v>0</v>
      </c>
      <c r="O8" s="230" t="n">
        <v>0.05</v>
      </c>
      <c r="P8" s="230" t="n">
        <v>0</v>
      </c>
      <c r="Q8" s="230" t="n">
        <v>180</v>
      </c>
      <c r="R8" s="230" t="n">
        <v>0</v>
      </c>
      <c r="S8" s="230" t="n">
        <v>0.005</v>
      </c>
      <c r="T8" s="230" t="n">
        <v>0</v>
      </c>
      <c r="U8" s="230" t="n">
        <v>0</v>
      </c>
      <c r="V8" s="165" t="s">
        <v>692</v>
      </c>
      <c r="W8" s="165" t="s">
        <v>692</v>
      </c>
      <c r="X8" s="165" t="s">
        <v>692</v>
      </c>
      <c r="Y8" s="165" t="s">
        <v>685</v>
      </c>
      <c r="Z8" s="165" t="s">
        <v>693</v>
      </c>
      <c r="AA8" s="176" t="s">
        <v>129</v>
      </c>
      <c r="AB8" s="231" t="n">
        <f aca="false">IFERROR(VLOOKUP($AA8,'Advanced Inputs'!$A$38:$Q$42,9,FALSE()),1)</f>
        <v>0.99</v>
      </c>
      <c r="AC8" s="231" t="n">
        <f aca="false">IFERROR(VLOOKUP($AA8,'Advanced Inputs'!$A$38:$Q$42,17,FALSE()),1)</f>
        <v>0.99</v>
      </c>
    </row>
    <row r="9" customFormat="false" ht="15" hidden="false" customHeight="true" outlineLevel="0" collapsed="false">
      <c r="A9" s="229" t="s">
        <v>32</v>
      </c>
      <c r="B9" s="165" t="s">
        <v>232</v>
      </c>
      <c r="C9" s="230" t="n">
        <v>1</v>
      </c>
      <c r="D9" s="230" t="n">
        <v>0</v>
      </c>
      <c r="E9" s="230" t="n">
        <v>550000</v>
      </c>
      <c r="F9" s="230" t="n">
        <v>0</v>
      </c>
      <c r="G9" s="230" t="n">
        <v>0</v>
      </c>
      <c r="H9" s="230" t="n">
        <v>3500000</v>
      </c>
      <c r="I9" s="230" t="n">
        <v>12000</v>
      </c>
      <c r="J9" s="230" t="n">
        <v>0</v>
      </c>
      <c r="K9" s="230" t="n">
        <v>8</v>
      </c>
      <c r="L9" s="230" t="n">
        <v>0</v>
      </c>
      <c r="M9" s="230" t="n">
        <v>2400</v>
      </c>
      <c r="N9" s="230" t="n">
        <v>0</v>
      </c>
      <c r="O9" s="230" t="n">
        <v>0.05</v>
      </c>
      <c r="P9" s="230" t="n">
        <v>0</v>
      </c>
      <c r="Q9" s="230" t="n">
        <v>180</v>
      </c>
      <c r="R9" s="230" t="n">
        <v>0</v>
      </c>
      <c r="S9" s="230" t="n">
        <v>0.005</v>
      </c>
      <c r="T9" s="230" t="n">
        <v>0</v>
      </c>
      <c r="U9" s="230" t="n">
        <v>0</v>
      </c>
      <c r="V9" s="165" t="s">
        <v>692</v>
      </c>
      <c r="W9" s="165" t="s">
        <v>692</v>
      </c>
      <c r="X9" s="165" t="s">
        <v>692</v>
      </c>
      <c r="Y9" s="165" t="s">
        <v>685</v>
      </c>
      <c r="Z9" s="165" t="s">
        <v>694</v>
      </c>
      <c r="AA9" s="176" t="s">
        <v>129</v>
      </c>
      <c r="AB9" s="231" t="n">
        <f aca="false">IFERROR(VLOOKUP($AA9,'Advanced Inputs'!$A$38:$Q$42,9,FALSE()),1)</f>
        <v>0.99</v>
      </c>
      <c r="AC9" s="231" t="n">
        <f aca="false">IFERROR(VLOOKUP($AA9,'Advanced Inputs'!$A$38:$Q$42,17,FALSE()),1)</f>
        <v>0.99</v>
      </c>
    </row>
    <row r="10" customFormat="false" ht="15" hidden="false" customHeight="true" outlineLevel="0" collapsed="false">
      <c r="A10" s="229" t="s">
        <v>34</v>
      </c>
      <c r="B10" s="165" t="s">
        <v>232</v>
      </c>
      <c r="C10" s="230" t="n">
        <v>1</v>
      </c>
      <c r="D10" s="230" t="n">
        <v>0</v>
      </c>
      <c r="E10" s="230" t="n">
        <v>650000</v>
      </c>
      <c r="F10" s="230" t="n">
        <v>0</v>
      </c>
      <c r="G10" s="230" t="n">
        <v>0</v>
      </c>
      <c r="H10" s="230" t="n">
        <v>150000</v>
      </c>
      <c r="I10" s="230" t="n">
        <v>14000</v>
      </c>
      <c r="J10" s="230" t="n">
        <v>0</v>
      </c>
      <c r="K10" s="230" t="n">
        <v>6</v>
      </c>
      <c r="L10" s="230" t="n">
        <v>0</v>
      </c>
      <c r="M10" s="230" t="n">
        <v>1200</v>
      </c>
      <c r="N10" s="230" t="n">
        <v>0</v>
      </c>
      <c r="O10" s="230" t="n">
        <v>0.04</v>
      </c>
      <c r="P10" s="230" t="n">
        <v>0</v>
      </c>
      <c r="Q10" s="230" t="n">
        <v>120</v>
      </c>
      <c r="R10" s="230" t="n">
        <v>0</v>
      </c>
      <c r="S10" s="230" t="n">
        <v>0.004</v>
      </c>
      <c r="T10" s="230" t="n">
        <v>0</v>
      </c>
      <c r="U10" s="230" t="n">
        <v>0</v>
      </c>
      <c r="V10" s="165" t="s">
        <v>692</v>
      </c>
      <c r="W10" s="165" t="s">
        <v>692</v>
      </c>
      <c r="X10" s="165" t="s">
        <v>692</v>
      </c>
      <c r="Y10" s="165" t="s">
        <v>685</v>
      </c>
      <c r="Z10" s="165" t="s">
        <v>695</v>
      </c>
      <c r="AA10" s="176" t="s">
        <v>129</v>
      </c>
      <c r="AB10" s="231" t="n">
        <f aca="false">IFERROR(VLOOKUP($AA10,'Advanced Inputs'!$A$38:$Q$42,9,FALSE()),1)</f>
        <v>0.99</v>
      </c>
      <c r="AC10" s="231" t="n">
        <f aca="false">IFERROR(VLOOKUP($AA10,'Advanced Inputs'!$A$38:$Q$42,17,FALSE()),1)</f>
        <v>0.99</v>
      </c>
    </row>
    <row r="11" customFormat="false" ht="15" hidden="false" customHeight="true" outlineLevel="0" collapsed="false">
      <c r="A11" s="229" t="s">
        <v>48</v>
      </c>
      <c r="B11" s="165" t="s">
        <v>696</v>
      </c>
      <c r="C11" s="230" t="n">
        <v>0.02</v>
      </c>
      <c r="D11" s="230" t="n">
        <v>0</v>
      </c>
      <c r="E11" s="230" t="n">
        <v>0</v>
      </c>
      <c r="F11" s="230" t="n">
        <v>90000</v>
      </c>
      <c r="G11" s="230" t="n">
        <v>0</v>
      </c>
      <c r="H11" s="230" t="n">
        <v>0</v>
      </c>
      <c r="I11" s="230" t="n">
        <v>0</v>
      </c>
      <c r="J11" s="230" t="n">
        <v>0.5</v>
      </c>
      <c r="K11" s="230" t="n">
        <v>0</v>
      </c>
      <c r="L11" s="230" t="n">
        <v>0</v>
      </c>
      <c r="M11" s="230" t="n">
        <v>2000</v>
      </c>
      <c r="N11" s="230" t="n">
        <v>0</v>
      </c>
      <c r="O11" s="230" t="n">
        <v>0.05</v>
      </c>
      <c r="P11" s="230" t="n">
        <v>0</v>
      </c>
      <c r="Q11" s="230" t="n">
        <v>180</v>
      </c>
      <c r="R11" s="230" t="n">
        <v>0</v>
      </c>
      <c r="S11" s="230" t="n">
        <v>0.005</v>
      </c>
      <c r="T11" s="230" t="n">
        <v>0</v>
      </c>
      <c r="U11" s="230" t="n">
        <v>0</v>
      </c>
      <c r="V11" s="165" t="s">
        <v>697</v>
      </c>
      <c r="W11" s="165" t="s">
        <v>698</v>
      </c>
      <c r="X11" s="165" t="s">
        <v>683</v>
      </c>
      <c r="Y11" s="165" t="s">
        <v>685</v>
      </c>
      <c r="Z11" s="165" t="s">
        <v>699</v>
      </c>
      <c r="AA11" s="176" t="s">
        <v>129</v>
      </c>
      <c r="AB11" s="231" t="n">
        <f aca="false">IFERROR(VLOOKUP($AA11,'Advanced Inputs'!$A$38:$Q$42,9,FALSE()),1)</f>
        <v>0.99</v>
      </c>
      <c r="AC11" s="231" t="n">
        <f aca="false">IFERROR(VLOOKUP($AA11,'Advanced Inputs'!$A$38:$Q$42,17,FALSE()),1)</f>
        <v>0.99</v>
      </c>
    </row>
    <row r="12" customFormat="false" ht="15" hidden="false" customHeight="true" outlineLevel="0" collapsed="false">
      <c r="A12" s="229" t="s">
        <v>49</v>
      </c>
      <c r="B12" s="165" t="s">
        <v>232</v>
      </c>
      <c r="C12" s="230" t="n">
        <v>1</v>
      </c>
      <c r="D12" s="230" t="n">
        <v>0</v>
      </c>
      <c r="E12" s="230" t="n">
        <v>750000</v>
      </c>
      <c r="F12" s="230" t="n">
        <v>0</v>
      </c>
      <c r="G12" s="230" t="n">
        <v>0</v>
      </c>
      <c r="H12" s="230" t="n">
        <v>0</v>
      </c>
      <c r="I12" s="230" t="n">
        <v>16000</v>
      </c>
      <c r="J12" s="230" t="n">
        <v>0</v>
      </c>
      <c r="K12" s="230" t="n">
        <v>4</v>
      </c>
      <c r="L12" s="230" t="n">
        <v>0</v>
      </c>
      <c r="M12" s="230" t="n">
        <v>1400</v>
      </c>
      <c r="N12" s="230" t="n">
        <v>0</v>
      </c>
      <c r="O12" s="230" t="n">
        <v>0.02</v>
      </c>
      <c r="P12" s="230" t="n">
        <v>0</v>
      </c>
      <c r="Q12" s="230" t="n">
        <v>90</v>
      </c>
      <c r="R12" s="230" t="n">
        <v>0</v>
      </c>
      <c r="S12" s="230" t="n">
        <v>0.002</v>
      </c>
      <c r="T12" s="230" t="n">
        <v>0</v>
      </c>
      <c r="U12" s="230" t="n">
        <v>0</v>
      </c>
      <c r="V12" s="165" t="s">
        <v>692</v>
      </c>
      <c r="W12" s="165" t="s">
        <v>698</v>
      </c>
      <c r="X12" s="165" t="s">
        <v>692</v>
      </c>
      <c r="Y12" s="165" t="s">
        <v>690</v>
      </c>
      <c r="Z12" s="165" t="s">
        <v>700</v>
      </c>
      <c r="AA12" s="176" t="s">
        <v>130</v>
      </c>
      <c r="AB12" s="231" t="n">
        <f aca="false">IFERROR(VLOOKUP($AA12,'Advanced Inputs'!$A$38:$Q$42,9,FALSE()),1)</f>
        <v>0.92</v>
      </c>
      <c r="AC12" s="231" t="n">
        <f aca="false">IFERROR(VLOOKUP($AA12,'Advanced Inputs'!$A$38:$Q$42,17,FALSE()),1)</f>
        <v>0.92</v>
      </c>
    </row>
    <row r="13" customFormat="false" ht="15" hidden="false" customHeight="true" outlineLevel="0" collapsed="false">
      <c r="A13" s="229" t="s">
        <v>50</v>
      </c>
      <c r="B13" s="165" t="s">
        <v>232</v>
      </c>
      <c r="C13" s="230" t="n">
        <v>1</v>
      </c>
      <c r="D13" s="230" t="n">
        <v>0</v>
      </c>
      <c r="E13" s="230" t="n">
        <v>600000</v>
      </c>
      <c r="F13" s="230" t="n">
        <v>0</v>
      </c>
      <c r="G13" s="230" t="n">
        <v>0</v>
      </c>
      <c r="H13" s="230" t="n">
        <v>0</v>
      </c>
      <c r="I13" s="230" t="n">
        <v>18000</v>
      </c>
      <c r="J13" s="230" t="n">
        <v>0</v>
      </c>
      <c r="K13" s="230" t="n">
        <v>4</v>
      </c>
      <c r="L13" s="230" t="n">
        <v>0</v>
      </c>
      <c r="M13" s="230" t="n">
        <v>1400</v>
      </c>
      <c r="N13" s="230" t="n">
        <v>0</v>
      </c>
      <c r="O13" s="230" t="n">
        <v>0.02</v>
      </c>
      <c r="P13" s="230" t="n">
        <v>0</v>
      </c>
      <c r="Q13" s="230" t="n">
        <v>90</v>
      </c>
      <c r="R13" s="230" t="n">
        <v>0</v>
      </c>
      <c r="S13" s="230" t="n">
        <v>0.002</v>
      </c>
      <c r="T13" s="230" t="n">
        <v>0</v>
      </c>
      <c r="U13" s="230" t="n">
        <v>0</v>
      </c>
      <c r="V13" s="165" t="s">
        <v>692</v>
      </c>
      <c r="W13" s="165" t="s">
        <v>698</v>
      </c>
      <c r="X13" s="165" t="s">
        <v>692</v>
      </c>
      <c r="Y13" s="165" t="s">
        <v>685</v>
      </c>
      <c r="Z13" s="165" t="s">
        <v>701</v>
      </c>
      <c r="AA13" s="176" t="s">
        <v>130</v>
      </c>
      <c r="AB13" s="231" t="n">
        <f aca="false">IFERROR(VLOOKUP($AA13,'Advanced Inputs'!$A$38:$Q$42,9,FALSE()),1)</f>
        <v>0.92</v>
      </c>
      <c r="AC13" s="231" t="n">
        <f aca="false">IFERROR(VLOOKUP($AA13,'Advanced Inputs'!$A$38:$Q$42,17,FALSE()),1)</f>
        <v>0.92</v>
      </c>
    </row>
    <row r="14" customFormat="false" ht="15" hidden="false" customHeight="true" outlineLevel="0" collapsed="false">
      <c r="A14" s="229" t="s">
        <v>35</v>
      </c>
      <c r="B14" s="165" t="s">
        <v>232</v>
      </c>
      <c r="C14" s="230" t="n">
        <v>1</v>
      </c>
      <c r="D14" s="230" t="n">
        <v>0</v>
      </c>
      <c r="E14" s="230" t="n">
        <v>450000</v>
      </c>
      <c r="F14" s="230" t="n">
        <v>0</v>
      </c>
      <c r="G14" s="230" t="n">
        <v>0</v>
      </c>
      <c r="H14" s="230" t="n">
        <v>50000</v>
      </c>
      <c r="I14" s="230" t="n">
        <v>15000</v>
      </c>
      <c r="J14" s="230" t="n">
        <v>0</v>
      </c>
      <c r="K14" s="230" t="n">
        <v>3</v>
      </c>
      <c r="L14" s="230" t="n">
        <v>0</v>
      </c>
      <c r="M14" s="230" t="n">
        <v>1400</v>
      </c>
      <c r="N14" s="230" t="n">
        <v>0</v>
      </c>
      <c r="O14" s="230" t="n">
        <v>0.02</v>
      </c>
      <c r="P14" s="230" t="n">
        <v>0</v>
      </c>
      <c r="Q14" s="230" t="n">
        <v>90</v>
      </c>
      <c r="R14" s="230" t="n">
        <v>0</v>
      </c>
      <c r="S14" s="230" t="n">
        <v>0.002</v>
      </c>
      <c r="T14" s="230" t="n">
        <v>0</v>
      </c>
      <c r="U14" s="230" t="n">
        <v>0</v>
      </c>
      <c r="V14" s="165" t="s">
        <v>692</v>
      </c>
      <c r="W14" s="165" t="s">
        <v>692</v>
      </c>
      <c r="X14" s="165" t="s">
        <v>692</v>
      </c>
      <c r="Y14" s="165" t="s">
        <v>685</v>
      </c>
      <c r="Z14" s="165" t="s">
        <v>702</v>
      </c>
      <c r="AA14" s="176" t="s">
        <v>130</v>
      </c>
      <c r="AB14" s="231" t="n">
        <f aca="false">IFERROR(VLOOKUP($AA14,'Advanced Inputs'!$A$38:$Q$42,9,FALSE()),1)</f>
        <v>0.92</v>
      </c>
      <c r="AC14" s="231" t="n">
        <f aca="false">IFERROR(VLOOKUP($AA14,'Advanced Inputs'!$A$38:$Q$42,17,FALSE()),1)</f>
        <v>0.92</v>
      </c>
    </row>
    <row r="15" customFormat="false" ht="15" hidden="false" customHeight="true" outlineLevel="0" collapsed="false">
      <c r="A15" s="229" t="s">
        <v>36</v>
      </c>
      <c r="B15" s="165" t="s">
        <v>232</v>
      </c>
      <c r="C15" s="230" t="n">
        <v>1</v>
      </c>
      <c r="D15" s="230" t="n">
        <v>0</v>
      </c>
      <c r="E15" s="230" t="n">
        <v>1200000</v>
      </c>
      <c r="F15" s="230" t="n">
        <v>0</v>
      </c>
      <c r="G15" s="230" t="n">
        <v>0</v>
      </c>
      <c r="H15" s="230" t="n">
        <v>1800000</v>
      </c>
      <c r="I15" s="230" t="n">
        <v>24000</v>
      </c>
      <c r="J15" s="230" t="n">
        <v>0</v>
      </c>
      <c r="K15" s="230" t="n">
        <v>8</v>
      </c>
      <c r="L15" s="230" t="n">
        <v>0</v>
      </c>
      <c r="M15" s="230" t="n">
        <v>2800</v>
      </c>
      <c r="N15" s="230" t="n">
        <v>0</v>
      </c>
      <c r="O15" s="230" t="n">
        <v>0.05</v>
      </c>
      <c r="P15" s="230" t="n">
        <v>0</v>
      </c>
      <c r="Q15" s="230" t="n">
        <v>200</v>
      </c>
      <c r="R15" s="230" t="n">
        <v>0</v>
      </c>
      <c r="S15" s="230" t="n">
        <v>0.005</v>
      </c>
      <c r="T15" s="230" t="n">
        <v>0</v>
      </c>
      <c r="U15" s="230" t="n">
        <v>0</v>
      </c>
      <c r="V15" s="165" t="s">
        <v>692</v>
      </c>
      <c r="W15" s="165" t="s">
        <v>692</v>
      </c>
      <c r="X15" s="165" t="s">
        <v>692</v>
      </c>
      <c r="Y15" s="165" t="s">
        <v>685</v>
      </c>
      <c r="Z15" s="165" t="s">
        <v>703</v>
      </c>
      <c r="AA15" s="176" t="s">
        <v>129</v>
      </c>
      <c r="AB15" s="231" t="n">
        <f aca="false">IFERROR(VLOOKUP($AA15,'Advanced Inputs'!$A$38:$Q$42,9,FALSE()),1)</f>
        <v>0.99</v>
      </c>
      <c r="AC15" s="231" t="n">
        <f aca="false">IFERROR(VLOOKUP($AA15,'Advanced Inputs'!$A$38:$Q$42,17,FALSE()),1)</f>
        <v>0.99</v>
      </c>
    </row>
    <row r="16" customFormat="false" ht="15" hidden="false" customHeight="true" outlineLevel="0" collapsed="false">
      <c r="A16" s="229" t="s">
        <v>51</v>
      </c>
      <c r="B16" s="165" t="s">
        <v>232</v>
      </c>
      <c r="C16" s="230" t="n">
        <v>1</v>
      </c>
      <c r="D16" s="230" t="n">
        <v>0</v>
      </c>
      <c r="E16" s="230" t="n">
        <v>0</v>
      </c>
      <c r="F16" s="230" t="n">
        <v>0</v>
      </c>
      <c r="G16" s="230" t="n">
        <v>0</v>
      </c>
      <c r="H16" s="230" t="n">
        <v>0</v>
      </c>
      <c r="I16" s="230" t="n">
        <v>10000</v>
      </c>
      <c r="J16" s="230" t="n">
        <v>0</v>
      </c>
      <c r="K16" s="230" t="n">
        <v>2</v>
      </c>
      <c r="L16" s="230" t="n">
        <v>0</v>
      </c>
      <c r="M16" s="230" t="n">
        <v>800</v>
      </c>
      <c r="N16" s="230" t="n">
        <v>0</v>
      </c>
      <c r="O16" s="230" t="n">
        <v>0.01</v>
      </c>
      <c r="P16" s="230" t="n">
        <v>0</v>
      </c>
      <c r="Q16" s="230" t="n">
        <v>60</v>
      </c>
      <c r="R16" s="230" t="n">
        <v>0</v>
      </c>
      <c r="S16" s="230" t="n">
        <v>0.001</v>
      </c>
      <c r="T16" s="230" t="n">
        <v>0</v>
      </c>
      <c r="U16" s="230" t="n">
        <v>0</v>
      </c>
      <c r="V16" s="165" t="s">
        <v>692</v>
      </c>
      <c r="W16" s="165" t="s">
        <v>704</v>
      </c>
      <c r="X16" s="165" t="s">
        <v>692</v>
      </c>
      <c r="Y16" s="165" t="s">
        <v>705</v>
      </c>
      <c r="Z16" s="165" t="s">
        <v>706</v>
      </c>
      <c r="AA16" s="176" t="s">
        <v>131</v>
      </c>
      <c r="AB16" s="231" t="n">
        <f aca="false">IFERROR(VLOOKUP($AA16,'Advanced Inputs'!$A$38:$Q$42,9,FALSE()),1)</f>
        <v>0</v>
      </c>
      <c r="AC16" s="231" t="n">
        <f aca="false">IFERROR(VLOOKUP($AA16,'Advanced Inputs'!$A$38:$Q$42,17,FALSE()),1)</f>
        <v>0</v>
      </c>
    </row>
    <row r="17" customFormat="false" ht="15" hidden="false" customHeight="true" outlineLevel="0" collapsed="false">
      <c r="A17" s="229" t="s">
        <v>52</v>
      </c>
      <c r="B17" s="165" t="s">
        <v>232</v>
      </c>
      <c r="C17" s="230" t="n">
        <v>1</v>
      </c>
      <c r="D17" s="230" t="n">
        <v>0</v>
      </c>
      <c r="E17" s="230" t="n">
        <v>0</v>
      </c>
      <c r="F17" s="230" t="n">
        <v>0</v>
      </c>
      <c r="G17" s="230" t="n">
        <v>0</v>
      </c>
      <c r="H17" s="230" t="n">
        <v>0</v>
      </c>
      <c r="I17" s="230" t="n">
        <v>0</v>
      </c>
      <c r="J17" s="230" t="n">
        <v>0</v>
      </c>
      <c r="K17" s="230" t="n">
        <v>0</v>
      </c>
      <c r="L17" s="230" t="n">
        <v>0</v>
      </c>
      <c r="M17" s="230" t="n">
        <v>400</v>
      </c>
      <c r="N17" s="230" t="n">
        <v>0</v>
      </c>
      <c r="O17" s="230" t="n">
        <v>0</v>
      </c>
      <c r="P17" s="230" t="n">
        <v>0</v>
      </c>
      <c r="Q17" s="230" t="n">
        <v>30</v>
      </c>
      <c r="R17" s="230" t="n">
        <v>0</v>
      </c>
      <c r="S17" s="230" t="n">
        <v>0</v>
      </c>
      <c r="T17" s="230" t="n">
        <v>0</v>
      </c>
      <c r="U17" s="230" t="n">
        <v>0</v>
      </c>
      <c r="V17" s="165" t="s">
        <v>692</v>
      </c>
      <c r="W17" s="165" t="s">
        <v>704</v>
      </c>
      <c r="X17" s="165" t="s">
        <v>692</v>
      </c>
      <c r="Y17" s="165" t="s">
        <v>705</v>
      </c>
      <c r="Z17" s="165" t="s">
        <v>707</v>
      </c>
      <c r="AA17" s="176" t="s">
        <v>131</v>
      </c>
      <c r="AB17" s="231" t="n">
        <f aca="false">IFERROR(VLOOKUP($AA17,'Advanced Inputs'!$A$38:$Q$42,9,FALSE()),1)</f>
        <v>0</v>
      </c>
      <c r="AC17" s="231" t="n">
        <f aca="false">IFERROR(VLOOKUP($AA17,'Advanced Inputs'!$A$38:$Q$42,17,FALSE()),1)</f>
        <v>0</v>
      </c>
    </row>
    <row r="18" customFormat="false" ht="15" hidden="false" customHeight="true" outlineLevel="0" collapsed="false">
      <c r="A18" s="229" t="s">
        <v>53</v>
      </c>
      <c r="B18" s="165" t="s">
        <v>232</v>
      </c>
      <c r="C18" s="230" t="n">
        <v>1</v>
      </c>
      <c r="D18" s="230" t="n">
        <v>0</v>
      </c>
      <c r="E18" s="230" t="n">
        <v>25000</v>
      </c>
      <c r="F18" s="230" t="n">
        <v>0</v>
      </c>
      <c r="G18" s="230" t="n">
        <v>0</v>
      </c>
      <c r="H18" s="230" t="n">
        <v>0</v>
      </c>
      <c r="I18" s="230" t="n">
        <v>0</v>
      </c>
      <c r="J18" s="230" t="n">
        <v>0</v>
      </c>
      <c r="K18" s="230" t="n">
        <v>0</v>
      </c>
      <c r="L18" s="230" t="n">
        <v>0</v>
      </c>
      <c r="M18" s="230" t="n">
        <v>150</v>
      </c>
      <c r="N18" s="230" t="n">
        <v>0</v>
      </c>
      <c r="O18" s="230" t="n">
        <v>0</v>
      </c>
      <c r="P18" s="230" t="n">
        <v>0</v>
      </c>
      <c r="Q18" s="230" t="n">
        <v>30</v>
      </c>
      <c r="R18" s="230" t="n">
        <v>0</v>
      </c>
      <c r="S18" s="230" t="n">
        <v>0</v>
      </c>
      <c r="T18" s="230" t="n">
        <v>0</v>
      </c>
      <c r="U18" s="230" t="n">
        <v>0</v>
      </c>
      <c r="V18" s="165" t="s">
        <v>692</v>
      </c>
      <c r="W18" s="165" t="s">
        <v>704</v>
      </c>
      <c r="X18" s="165" t="s">
        <v>692</v>
      </c>
      <c r="Y18" s="165" t="s">
        <v>705</v>
      </c>
      <c r="Z18" s="165" t="s">
        <v>708</v>
      </c>
      <c r="AA18" s="176" t="s">
        <v>132</v>
      </c>
      <c r="AB18" s="231" t="n">
        <f aca="false">IFERROR(VLOOKUP($AA18,'Advanced Inputs'!$A$38:$Q$42,9,FALSE()),1)</f>
        <v>1</v>
      </c>
      <c r="AC18" s="231" t="n">
        <f aca="false">IFERROR(VLOOKUP($AA18,'Advanced Inputs'!$A$38:$Q$42,17,FALSE()),1)</f>
        <v>1</v>
      </c>
    </row>
    <row r="19" customFormat="false" ht="12.75" hidden="false" customHeight="true" outlineLevel="0" collapsed="false">
      <c r="A19" s="176" t="s">
        <v>37</v>
      </c>
      <c r="B19" s="176" t="s">
        <v>232</v>
      </c>
      <c r="C19" s="232" t="n">
        <v>1</v>
      </c>
      <c r="D19" s="232" t="n">
        <v>0</v>
      </c>
      <c r="E19" s="232" t="n">
        <v>1400000</v>
      </c>
      <c r="F19" s="232" t="n">
        <v>0</v>
      </c>
      <c r="G19" s="232" t="n">
        <v>0</v>
      </c>
      <c r="H19" s="232" t="n">
        <v>1900000</v>
      </c>
      <c r="I19" s="232" t="n">
        <v>6000</v>
      </c>
      <c r="J19" s="232" t="n">
        <v>0</v>
      </c>
      <c r="K19" s="232" t="n">
        <v>8</v>
      </c>
      <c r="L19" s="232" t="n">
        <v>0</v>
      </c>
      <c r="M19" s="232" t="n">
        <v>2400</v>
      </c>
      <c r="N19" s="232" t="n">
        <v>0</v>
      </c>
      <c r="O19" s="232" t="n">
        <v>0.05</v>
      </c>
      <c r="P19" s="232" t="n">
        <v>0</v>
      </c>
      <c r="Q19" s="232" t="n">
        <v>180</v>
      </c>
      <c r="R19" s="232" t="n">
        <v>0</v>
      </c>
      <c r="S19" s="232" t="n">
        <v>0.005</v>
      </c>
      <c r="T19" s="232" t="n">
        <v>0</v>
      </c>
      <c r="U19" s="232" t="n">
        <v>0</v>
      </c>
      <c r="V19" s="176" t="s">
        <v>692</v>
      </c>
      <c r="W19" s="176" t="s">
        <v>692</v>
      </c>
      <c r="X19" s="176" t="s">
        <v>692</v>
      </c>
      <c r="Y19" s="176" t="s">
        <v>685</v>
      </c>
      <c r="Z19" s="176" t="s">
        <v>709</v>
      </c>
      <c r="AA19" s="176" t="s">
        <v>129</v>
      </c>
      <c r="AB19" s="231" t="n">
        <f aca="false">IFERROR(VLOOKUP($AA19,'Advanced Inputs'!$A$38:$Q$42,9,FALSE()),1)</f>
        <v>0.99</v>
      </c>
      <c r="AC19" s="231" t="n">
        <f aca="false">IFERROR(VLOOKUP($AA19,'Advanced Inputs'!$A$38:$Q$42,17,FALSE()),1)</f>
        <v>0.99</v>
      </c>
    </row>
    <row r="20" customFormat="false" ht="12.75" hidden="false" customHeight="true" outlineLevel="0" collapsed="false">
      <c r="A20" s="176" t="s">
        <v>38</v>
      </c>
      <c r="B20" s="176" t="s">
        <v>232</v>
      </c>
      <c r="C20" s="232" t="n">
        <v>1</v>
      </c>
      <c r="D20" s="232" t="n">
        <v>0</v>
      </c>
      <c r="E20" s="232" t="n">
        <v>1500000</v>
      </c>
      <c r="F20" s="232" t="n">
        <v>0</v>
      </c>
      <c r="G20" s="232" t="n">
        <v>0</v>
      </c>
      <c r="H20" s="232" t="n">
        <v>2000000</v>
      </c>
      <c r="I20" s="232" t="n">
        <v>5000</v>
      </c>
      <c r="J20" s="232" t="n">
        <v>0</v>
      </c>
      <c r="K20" s="232" t="n">
        <v>8</v>
      </c>
      <c r="L20" s="232" t="n">
        <v>0</v>
      </c>
      <c r="M20" s="232" t="n">
        <v>2400</v>
      </c>
      <c r="N20" s="232" t="n">
        <v>0</v>
      </c>
      <c r="O20" s="232" t="n">
        <v>0.05</v>
      </c>
      <c r="P20" s="232" t="n">
        <v>0</v>
      </c>
      <c r="Q20" s="232" t="n">
        <v>180</v>
      </c>
      <c r="R20" s="232" t="n">
        <v>0</v>
      </c>
      <c r="S20" s="232" t="n">
        <v>0.005</v>
      </c>
      <c r="T20" s="232" t="n">
        <v>0</v>
      </c>
      <c r="U20" s="232" t="n">
        <v>0</v>
      </c>
      <c r="V20" s="176" t="s">
        <v>692</v>
      </c>
      <c r="W20" s="176" t="s">
        <v>692</v>
      </c>
      <c r="X20" s="176" t="s">
        <v>692</v>
      </c>
      <c r="Y20" s="176" t="s">
        <v>685</v>
      </c>
      <c r="Z20" s="176" t="s">
        <v>710</v>
      </c>
      <c r="AA20" s="176" t="s">
        <v>129</v>
      </c>
      <c r="AB20" s="231" t="n">
        <f aca="false">IFERROR(VLOOKUP($AA20,'Advanced Inputs'!$A$38:$Q$42,9,FALSE()),1)</f>
        <v>0.99</v>
      </c>
      <c r="AC20" s="231" t="n">
        <f aca="false">IFERROR(VLOOKUP($AA20,'Advanced Inputs'!$A$38:$Q$42,17,FALSE()),1)</f>
        <v>0.99</v>
      </c>
    </row>
    <row r="21" customFormat="false" ht="12.75" hidden="false" customHeight="true" outlineLevel="0" collapsed="false">
      <c r="A21" s="176" t="s">
        <v>39</v>
      </c>
      <c r="B21" s="176" t="s">
        <v>232</v>
      </c>
      <c r="C21" s="232" t="n">
        <v>1</v>
      </c>
      <c r="D21" s="232" t="n">
        <v>0</v>
      </c>
      <c r="E21" s="232" t="n">
        <v>1000000</v>
      </c>
      <c r="F21" s="232" t="n">
        <v>0</v>
      </c>
      <c r="G21" s="232" t="n">
        <v>0</v>
      </c>
      <c r="H21" s="232" t="n">
        <v>3000000</v>
      </c>
      <c r="I21" s="232" t="n">
        <v>3000</v>
      </c>
      <c r="J21" s="232" t="n">
        <v>0</v>
      </c>
      <c r="K21" s="232" t="n">
        <v>8</v>
      </c>
      <c r="L21" s="232" t="n">
        <v>0</v>
      </c>
      <c r="M21" s="232" t="n">
        <v>2400</v>
      </c>
      <c r="N21" s="232" t="n">
        <v>0</v>
      </c>
      <c r="O21" s="232" t="n">
        <v>0.05</v>
      </c>
      <c r="P21" s="232" t="n">
        <v>0</v>
      </c>
      <c r="Q21" s="232" t="n">
        <v>180</v>
      </c>
      <c r="R21" s="232" t="n">
        <v>0</v>
      </c>
      <c r="S21" s="232" t="n">
        <v>0.005</v>
      </c>
      <c r="T21" s="232" t="n">
        <v>0</v>
      </c>
      <c r="U21" s="232" t="n">
        <v>0</v>
      </c>
      <c r="V21" s="176" t="s">
        <v>692</v>
      </c>
      <c r="W21" s="176" t="s">
        <v>692</v>
      </c>
      <c r="X21" s="176" t="s">
        <v>692</v>
      </c>
      <c r="Y21" s="176" t="s">
        <v>685</v>
      </c>
      <c r="Z21" s="176" t="s">
        <v>711</v>
      </c>
      <c r="AA21" s="176" t="s">
        <v>129</v>
      </c>
      <c r="AB21" s="231" t="n">
        <f aca="false">IFERROR(VLOOKUP($AA21,'Advanced Inputs'!$A$38:$Q$42,9,FALSE()),1)</f>
        <v>0.99</v>
      </c>
      <c r="AC21" s="231" t="n">
        <f aca="false">IFERROR(VLOOKUP($AA21,'Advanced Inputs'!$A$38:$Q$42,17,FALSE()),1)</f>
        <v>0.99</v>
      </c>
    </row>
    <row r="22" customFormat="false" ht="12.75" hidden="false" customHeight="true" outlineLevel="0" collapsed="false">
      <c r="A22" s="176" t="s">
        <v>40</v>
      </c>
      <c r="B22" s="176" t="s">
        <v>232</v>
      </c>
      <c r="C22" s="232" t="n">
        <v>1</v>
      </c>
      <c r="D22" s="232" t="n">
        <v>0</v>
      </c>
      <c r="E22" s="232" t="n">
        <v>900000</v>
      </c>
      <c r="F22" s="232" t="n">
        <v>0</v>
      </c>
      <c r="G22" s="232" t="n">
        <v>0</v>
      </c>
      <c r="H22" s="232" t="n">
        <v>2500000</v>
      </c>
      <c r="I22" s="232" t="n">
        <v>5000</v>
      </c>
      <c r="J22" s="232" t="n">
        <v>0</v>
      </c>
      <c r="K22" s="232" t="n">
        <v>8</v>
      </c>
      <c r="L22" s="232" t="n">
        <v>0</v>
      </c>
      <c r="M22" s="232" t="n">
        <v>2400</v>
      </c>
      <c r="N22" s="232" t="n">
        <v>0</v>
      </c>
      <c r="O22" s="232" t="n">
        <v>0.05</v>
      </c>
      <c r="P22" s="232" t="n">
        <v>0</v>
      </c>
      <c r="Q22" s="232" t="n">
        <v>180</v>
      </c>
      <c r="R22" s="232" t="n">
        <v>0</v>
      </c>
      <c r="S22" s="232" t="n">
        <v>0.005</v>
      </c>
      <c r="T22" s="232" t="n">
        <v>0</v>
      </c>
      <c r="U22" s="232" t="n">
        <v>0</v>
      </c>
      <c r="V22" s="176" t="s">
        <v>692</v>
      </c>
      <c r="W22" s="176" t="s">
        <v>692</v>
      </c>
      <c r="X22" s="176" t="s">
        <v>692</v>
      </c>
      <c r="Y22" s="176" t="s">
        <v>685</v>
      </c>
      <c r="Z22" s="176" t="s">
        <v>712</v>
      </c>
      <c r="AA22" s="176" t="s">
        <v>129</v>
      </c>
      <c r="AB22" s="231" t="n">
        <f aca="false">IFERROR(VLOOKUP($AA22,'Advanced Inputs'!$A$38:$Q$42,9,FALSE()),1)</f>
        <v>0.99</v>
      </c>
      <c r="AC22" s="231" t="n">
        <f aca="false">IFERROR(VLOOKUP($AA22,'Advanced Inputs'!$A$38:$Q$42,17,FALSE()),1)</f>
        <v>0.99</v>
      </c>
    </row>
    <row r="23" customFormat="false" ht="12.75" hidden="false" customHeight="true" outlineLevel="0" collapsed="false">
      <c r="A23" s="176" t="s">
        <v>41</v>
      </c>
      <c r="B23" s="176" t="s">
        <v>232</v>
      </c>
      <c r="C23" s="232" t="n">
        <v>1</v>
      </c>
      <c r="D23" s="232" t="n">
        <v>0</v>
      </c>
      <c r="E23" s="232" t="n">
        <v>700000</v>
      </c>
      <c r="F23" s="232" t="n">
        <v>0</v>
      </c>
      <c r="G23" s="232" t="n">
        <v>0</v>
      </c>
      <c r="H23" s="232" t="n">
        <v>1000000</v>
      </c>
      <c r="I23" s="232" t="n">
        <v>11000</v>
      </c>
      <c r="J23" s="232" t="n">
        <v>0</v>
      </c>
      <c r="K23" s="232" t="n">
        <v>8</v>
      </c>
      <c r="L23" s="232" t="n">
        <v>0</v>
      </c>
      <c r="M23" s="232" t="n">
        <v>2400</v>
      </c>
      <c r="N23" s="232" t="n">
        <v>0</v>
      </c>
      <c r="O23" s="232" t="n">
        <v>0.05</v>
      </c>
      <c r="P23" s="232" t="n">
        <v>0</v>
      </c>
      <c r="Q23" s="232" t="n">
        <v>180</v>
      </c>
      <c r="R23" s="232" t="n">
        <v>0</v>
      </c>
      <c r="S23" s="232" t="n">
        <v>0.005</v>
      </c>
      <c r="T23" s="232" t="n">
        <v>0</v>
      </c>
      <c r="U23" s="232" t="n">
        <v>0</v>
      </c>
      <c r="V23" s="176" t="s">
        <v>692</v>
      </c>
      <c r="W23" s="176" t="s">
        <v>692</v>
      </c>
      <c r="X23" s="176" t="s">
        <v>692</v>
      </c>
      <c r="Y23" s="176" t="s">
        <v>685</v>
      </c>
      <c r="Z23" s="176" t="s">
        <v>713</v>
      </c>
      <c r="AA23" s="176" t="s">
        <v>129</v>
      </c>
      <c r="AB23" s="231" t="n">
        <f aca="false">IFERROR(VLOOKUP($AA23,'Advanced Inputs'!$A$38:$Q$42,9,FALSE()),1)</f>
        <v>0.99</v>
      </c>
      <c r="AC23" s="231" t="n">
        <f aca="false">IFERROR(VLOOKUP($AA23,'Advanced Inputs'!$A$38:$Q$42,17,FALSE()),1)</f>
        <v>0.99</v>
      </c>
    </row>
    <row r="24" customFormat="false" ht="12.75" hidden="false" customHeight="true" outlineLevel="0" collapsed="false">
      <c r="A24" s="176" t="s">
        <v>42</v>
      </c>
      <c r="B24" s="176" t="s">
        <v>232</v>
      </c>
      <c r="C24" s="232" t="n">
        <v>1</v>
      </c>
      <c r="D24" s="232" t="n">
        <v>0</v>
      </c>
      <c r="E24" s="232" t="n">
        <v>600000</v>
      </c>
      <c r="F24" s="232" t="n">
        <v>0</v>
      </c>
      <c r="G24" s="232" t="n">
        <v>0</v>
      </c>
      <c r="H24" s="232" t="n">
        <v>1500000</v>
      </c>
      <c r="I24" s="232" t="n">
        <v>8000</v>
      </c>
      <c r="J24" s="232" t="n">
        <v>0</v>
      </c>
      <c r="K24" s="232" t="n">
        <v>8</v>
      </c>
      <c r="L24" s="232" t="n">
        <v>0</v>
      </c>
      <c r="M24" s="232" t="n">
        <v>2400</v>
      </c>
      <c r="N24" s="232" t="n">
        <v>0</v>
      </c>
      <c r="O24" s="232" t="n">
        <v>0.05</v>
      </c>
      <c r="P24" s="232" t="n">
        <v>0</v>
      </c>
      <c r="Q24" s="232" t="n">
        <v>180</v>
      </c>
      <c r="R24" s="232" t="n">
        <v>0</v>
      </c>
      <c r="S24" s="232" t="n">
        <v>0.005</v>
      </c>
      <c r="T24" s="232" t="n">
        <v>0</v>
      </c>
      <c r="U24" s="232" t="n">
        <v>0</v>
      </c>
      <c r="V24" s="176" t="s">
        <v>692</v>
      </c>
      <c r="W24" s="176" t="s">
        <v>692</v>
      </c>
      <c r="X24" s="176" t="s">
        <v>692</v>
      </c>
      <c r="Y24" s="176" t="s">
        <v>685</v>
      </c>
      <c r="Z24" s="176" t="s">
        <v>714</v>
      </c>
      <c r="AA24" s="176" t="s">
        <v>129</v>
      </c>
      <c r="AB24" s="231" t="n">
        <f aca="false">IFERROR(VLOOKUP($AA24,'Advanced Inputs'!$A$38:$Q$42,9,FALSE()),1)</f>
        <v>0.99</v>
      </c>
      <c r="AC24" s="231" t="n">
        <f aca="false">IFERROR(VLOOKUP($AA24,'Advanced Inputs'!$A$38:$Q$42,17,FALSE()),1)</f>
        <v>0.99</v>
      </c>
    </row>
    <row r="25" customFormat="false" ht="12.75" hidden="false" customHeight="true" outlineLevel="0" collapsed="false">
      <c r="A25" s="176" t="s">
        <v>43</v>
      </c>
      <c r="B25" s="176" t="s">
        <v>232</v>
      </c>
      <c r="C25" s="232" t="n">
        <v>1</v>
      </c>
      <c r="D25" s="232" t="n">
        <v>0</v>
      </c>
      <c r="E25" s="232" t="n">
        <v>700000</v>
      </c>
      <c r="F25" s="232" t="n">
        <v>0</v>
      </c>
      <c r="G25" s="232" t="n">
        <v>0</v>
      </c>
      <c r="H25" s="232" t="n">
        <v>1200000</v>
      </c>
      <c r="I25" s="232" t="n">
        <v>4000</v>
      </c>
      <c r="J25" s="232" t="n">
        <v>0</v>
      </c>
      <c r="K25" s="232" t="n">
        <v>8</v>
      </c>
      <c r="L25" s="232" t="n">
        <v>0</v>
      </c>
      <c r="M25" s="232" t="n">
        <v>2400</v>
      </c>
      <c r="N25" s="232" t="n">
        <v>0</v>
      </c>
      <c r="O25" s="232" t="n">
        <v>0.05</v>
      </c>
      <c r="P25" s="232" t="n">
        <v>0</v>
      </c>
      <c r="Q25" s="232" t="n">
        <v>180</v>
      </c>
      <c r="R25" s="232" t="n">
        <v>0</v>
      </c>
      <c r="S25" s="232" t="n">
        <v>0.005</v>
      </c>
      <c r="T25" s="232" t="n">
        <v>0</v>
      </c>
      <c r="U25" s="232" t="n">
        <v>0</v>
      </c>
      <c r="V25" s="176" t="s">
        <v>692</v>
      </c>
      <c r="W25" s="176" t="s">
        <v>692</v>
      </c>
      <c r="X25" s="176" t="s">
        <v>692</v>
      </c>
      <c r="Y25" s="176" t="s">
        <v>685</v>
      </c>
      <c r="Z25" s="176" t="s">
        <v>715</v>
      </c>
      <c r="AA25" s="176" t="s">
        <v>129</v>
      </c>
      <c r="AB25" s="231" t="n">
        <f aca="false">IFERROR(VLOOKUP($AA25,'Advanced Inputs'!$A$38:$Q$42,9,FALSE()),1)</f>
        <v>0.99</v>
      </c>
      <c r="AC25" s="231" t="n">
        <f aca="false">IFERROR(VLOOKUP($AA25,'Advanced Inputs'!$A$38:$Q$42,17,FALSE()),1)</f>
        <v>0.99</v>
      </c>
    </row>
  </sheetData>
  <mergeCells count="1">
    <mergeCell ref="A1:Z1"/>
  </mergeCell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20" activeCellId="0" sqref="B20"/>
    </sheetView>
  </sheetViews>
  <sheetFormatPr defaultColWidth="8.66796875" defaultRowHeight="12.75" customHeight="false" zeroHeight="false" outlineLevelRow="0" outlineLevelCol="0"/>
  <cols>
    <col collapsed="false" customWidth="true" hidden="false" outlineLevel="0" max="1" min="1" style="1" width="40"/>
    <col collapsed="false" customWidth="true" hidden="false" outlineLevel="0" max="6" min="2" style="1" width="15"/>
  </cols>
  <sheetData>
    <row r="1" customFormat="false" ht="21.75" hidden="false" customHeight="true" outlineLevel="0" collapsed="false">
      <c r="A1" s="160" t="s">
        <v>716</v>
      </c>
      <c r="B1" s="160"/>
      <c r="C1" s="160"/>
      <c r="D1" s="160"/>
      <c r="E1" s="160"/>
      <c r="F1" s="160"/>
    </row>
    <row r="2" customFormat="false" ht="12.75" hidden="false" customHeight="true" outlineLevel="0" collapsed="false">
      <c r="A2" s="161"/>
      <c r="B2" s="161"/>
      <c r="C2" s="161"/>
      <c r="D2" s="161"/>
      <c r="E2" s="161"/>
      <c r="F2" s="161"/>
    </row>
    <row r="3" customFormat="false" ht="15" hidden="false" customHeight="true" outlineLevel="0" collapsed="false">
      <c r="A3" s="199" t="s">
        <v>306</v>
      </c>
      <c r="B3" s="199" t="s">
        <v>56</v>
      </c>
      <c r="C3" s="199" t="s">
        <v>57</v>
      </c>
      <c r="D3" s="199" t="s">
        <v>58</v>
      </c>
      <c r="E3" s="199" t="s">
        <v>59</v>
      </c>
      <c r="F3" s="199" t="s">
        <v>60</v>
      </c>
    </row>
    <row r="4" customFormat="false" ht="15" hidden="false" customHeight="true" outlineLevel="0" collapsed="false">
      <c r="A4" s="161" t="s">
        <v>717</v>
      </c>
      <c r="B4" s="233" t="n">
        <f aca="false">SUM('04_Annual_Calculations'!B4:F4)</f>
        <v>28.75</v>
      </c>
      <c r="C4" s="233" t="n">
        <f aca="false">SUM('04_Annual_Calculations'!B4:K4)</f>
        <v>28.75</v>
      </c>
      <c r="D4" s="233" t="n">
        <f aca="false">SUM('04_Annual_Calculations'!B4:P4)</f>
        <v>28.75</v>
      </c>
      <c r="E4" s="233" t="n">
        <f aca="false">SUM('04_Annual_Calculations'!B4:U4)</f>
        <v>28.75</v>
      </c>
      <c r="F4" s="233" t="n">
        <f aca="false">SUM('04_Annual_Calculations'!B4:AE4)</f>
        <v>28.75</v>
      </c>
    </row>
    <row r="5" customFormat="false" ht="15" hidden="false" customHeight="true" outlineLevel="0" collapsed="false">
      <c r="A5" s="161" t="s">
        <v>718</v>
      </c>
      <c r="B5" s="233" t="n">
        <f aca="false">'04_Annual_Calculations'!F5</f>
        <v>28.75</v>
      </c>
      <c r="C5" s="233" t="n">
        <f aca="false">'04_Annual_Calculations'!K5</f>
        <v>28.75</v>
      </c>
      <c r="D5" s="233" t="n">
        <f aca="false">'04_Annual_Calculations'!P5</f>
        <v>28.75</v>
      </c>
      <c r="E5" s="233" t="n">
        <f aca="false">'04_Annual_Calculations'!U5</f>
        <v>28.75</v>
      </c>
      <c r="F5" s="233" t="n">
        <f aca="false">'04_Annual_Calculations'!AE5</f>
        <v>28.75</v>
      </c>
    </row>
    <row r="6" customFormat="false" ht="15" hidden="false" customHeight="true" outlineLevel="0" collapsed="false">
      <c r="A6" s="161" t="s">
        <v>719</v>
      </c>
      <c r="B6" s="234" t="n">
        <f aca="false">SUM('04_Annual_Calculations'!B6:F6)</f>
        <v>270</v>
      </c>
      <c r="C6" s="234" t="n">
        <f aca="false">SUM('04_Annual_Calculations'!B6:K6)</f>
        <v>270</v>
      </c>
      <c r="D6" s="234" t="n">
        <f aca="false">SUM('04_Annual_Calculations'!B6:P6)</f>
        <v>270</v>
      </c>
      <c r="E6" s="234" t="n">
        <f aca="false">SUM('04_Annual_Calculations'!B6:U6)</f>
        <v>270</v>
      </c>
      <c r="F6" s="234" t="n">
        <f aca="false">SUM('04_Annual_Calculations'!B6:AE6)</f>
        <v>270</v>
      </c>
    </row>
    <row r="7" customFormat="false" ht="15" hidden="false" customHeight="true" outlineLevel="0" collapsed="false">
      <c r="A7" s="161" t="s">
        <v>720</v>
      </c>
      <c r="B7" s="234" t="n">
        <f aca="false">'04_Annual_Calculations'!F7</f>
        <v>270</v>
      </c>
      <c r="C7" s="234" t="n">
        <f aca="false">'04_Annual_Calculations'!K7</f>
        <v>270</v>
      </c>
      <c r="D7" s="234" t="n">
        <f aca="false">'04_Annual_Calculations'!P7</f>
        <v>270</v>
      </c>
      <c r="E7" s="234" t="n">
        <f aca="false">'04_Annual_Calculations'!U7</f>
        <v>270</v>
      </c>
      <c r="F7" s="234" t="n">
        <f aca="false">'04_Annual_Calculations'!AE7</f>
        <v>270</v>
      </c>
    </row>
    <row r="8" customFormat="false" ht="15" hidden="false" customHeight="true" outlineLevel="0" collapsed="false">
      <c r="A8" s="161" t="s">
        <v>721</v>
      </c>
      <c r="B8" s="234" t="n">
        <f aca="false">SUM('04_Annual_Calculations'!B8:F8)</f>
        <v>100</v>
      </c>
      <c r="C8" s="234" t="n">
        <f aca="false">SUM('04_Annual_Calculations'!B8:K8)</f>
        <v>100</v>
      </c>
      <c r="D8" s="234" t="n">
        <f aca="false">SUM('04_Annual_Calculations'!B8:P8)</f>
        <v>100</v>
      </c>
      <c r="E8" s="234" t="n">
        <f aca="false">SUM('04_Annual_Calculations'!B8:U8)</f>
        <v>100</v>
      </c>
      <c r="F8" s="234" t="n">
        <f aca="false">SUM('04_Annual_Calculations'!B8:AE8)</f>
        <v>100</v>
      </c>
    </row>
    <row r="9" customFormat="false" ht="15" hidden="false" customHeight="true" outlineLevel="0" collapsed="false">
      <c r="A9" s="161" t="s">
        <v>722</v>
      </c>
      <c r="B9" s="234" t="n">
        <f aca="false">'04_Annual_Calculations'!F9</f>
        <v>100</v>
      </c>
      <c r="C9" s="234" t="n">
        <f aca="false">'04_Annual_Calculations'!K9</f>
        <v>100</v>
      </c>
      <c r="D9" s="234" t="n">
        <f aca="false">'04_Annual_Calculations'!P9</f>
        <v>100</v>
      </c>
      <c r="E9" s="234" t="n">
        <f aca="false">'04_Annual_Calculations'!U9</f>
        <v>100</v>
      </c>
      <c r="F9" s="234" t="n">
        <f aca="false">'04_Annual_Calculations'!AE9</f>
        <v>100</v>
      </c>
    </row>
    <row r="10" customFormat="false" ht="15" hidden="false" customHeight="true" outlineLevel="0" collapsed="false">
      <c r="A10" s="161" t="s">
        <v>723</v>
      </c>
      <c r="B10" s="234" t="n">
        <f aca="false">'04_Annual_Calculations'!F10</f>
        <v>180000</v>
      </c>
      <c r="C10" s="234" t="n">
        <f aca="false">'04_Annual_Calculations'!K10</f>
        <v>180000</v>
      </c>
      <c r="D10" s="234" t="n">
        <f aca="false">'04_Annual_Calculations'!P10</f>
        <v>180000</v>
      </c>
      <c r="E10" s="234" t="n">
        <f aca="false">'04_Annual_Calculations'!U10</f>
        <v>180000</v>
      </c>
      <c r="F10" s="234" t="n">
        <f aca="false">'04_Annual_Calculations'!AE10</f>
        <v>180000</v>
      </c>
    </row>
    <row r="11" customFormat="false" ht="15" hidden="false" customHeight="true" outlineLevel="0" collapsed="false">
      <c r="A11" s="161" t="s">
        <v>724</v>
      </c>
      <c r="B11" s="235" t="n">
        <f aca="false">'04_Annual_Calculations'!F11</f>
        <v>35500000</v>
      </c>
      <c r="C11" s="235" t="n">
        <f aca="false">'04_Annual_Calculations'!K11</f>
        <v>35500000</v>
      </c>
      <c r="D11" s="235" t="n">
        <f aca="false">'04_Annual_Calculations'!P11</f>
        <v>35500000</v>
      </c>
      <c r="E11" s="235" t="n">
        <f aca="false">'04_Annual_Calculations'!U11</f>
        <v>35500000</v>
      </c>
      <c r="F11" s="235" t="n">
        <f aca="false">'04_Annual_Calculations'!AE11</f>
        <v>35500000</v>
      </c>
    </row>
    <row r="12" customFormat="false" ht="15" hidden="false" customHeight="true" outlineLevel="0" collapsed="false">
      <c r="A12" s="161" t="s">
        <v>725</v>
      </c>
      <c r="B12" s="235" t="n">
        <f aca="false">SUM('04_Annual_Calculations'!B12:F12)</f>
        <v>102917308.05</v>
      </c>
      <c r="C12" s="235" t="n">
        <f aca="false">SUM('04_Annual_Calculations'!B12:K12)</f>
        <v>726979833.408443</v>
      </c>
      <c r="D12" s="235" t="n">
        <f aca="false">SUM('04_Annual_Calculations'!B12:P12)</f>
        <v>1581999576.53952</v>
      </c>
      <c r="E12" s="235" t="n">
        <f aca="false">SUM('04_Annual_Calculations'!B12:U12)</f>
        <v>2753450723.56046</v>
      </c>
      <c r="F12" s="235" t="n">
        <f aca="false">SUM('04_Annual_Calculations'!B12:AE12)</f>
        <v>6557415153.74257</v>
      </c>
    </row>
    <row r="13" customFormat="false" ht="15" hidden="false" customHeight="true" outlineLevel="0" collapsed="false">
      <c r="A13" s="161" t="s">
        <v>726</v>
      </c>
      <c r="B13" s="235" t="n">
        <f aca="false">SUM('04_Annual_Calculations'!B15:F15)</f>
        <v>997911.89568</v>
      </c>
      <c r="C13" s="235" t="n">
        <f aca="false">SUM('04_Annual_Calculations'!B15:K15)</f>
        <v>2969904.92614536</v>
      </c>
      <c r="D13" s="235" t="n">
        <f aca="false">SUM('04_Annual_Calculations'!B15:P15)</f>
        <v>5369135.97017361</v>
      </c>
      <c r="E13" s="235" t="n">
        <f aca="false">SUM('04_Annual_Calculations'!B15:U15)</f>
        <v>8288167.38341877</v>
      </c>
      <c r="F13" s="235" t="n">
        <f aca="false">SUM('04_Annual_Calculations'!B15:AE15)</f>
        <v>16160494.9914935</v>
      </c>
    </row>
    <row r="14" customFormat="false" ht="15" hidden="false" customHeight="true" outlineLevel="0" collapsed="false">
      <c r="A14" s="161" t="s">
        <v>727</v>
      </c>
      <c r="B14" s="235" t="n">
        <f aca="false">SUM('04_Annual_Calculations'!B16:F16)</f>
        <v>103915219.94568</v>
      </c>
      <c r="C14" s="235" t="n">
        <f aca="false">SUM('04_Annual_Calculations'!B16:K16)</f>
        <v>729949738.334588</v>
      </c>
      <c r="D14" s="235" t="n">
        <f aca="false">SUM('04_Annual_Calculations'!B16:P16)</f>
        <v>1587368712.50969</v>
      </c>
      <c r="E14" s="235" t="n">
        <f aca="false">SUM('04_Annual_Calculations'!B16:U16)</f>
        <v>2761738890.94388</v>
      </c>
      <c r="F14" s="235" t="n">
        <f aca="false">SUM('04_Annual_Calculations'!B16:AE16)</f>
        <v>6573575648.73406</v>
      </c>
    </row>
    <row r="15" customFormat="false" ht="15" hidden="false" customHeight="true" outlineLevel="0" collapsed="false">
      <c r="A15" s="161" t="s">
        <v>728</v>
      </c>
      <c r="B15" s="235" t="n">
        <f aca="false">SUM('04_Annual_Calculations'!B17:F17)</f>
        <v>1558728.2991852</v>
      </c>
      <c r="C15" s="235" t="n">
        <f aca="false">SUM('04_Annual_Calculations'!B17:K17)</f>
        <v>10949246.0750188</v>
      </c>
      <c r="D15" s="235" t="n">
        <f aca="false">SUM('04_Annual_Calculations'!B17:P17)</f>
        <v>23810530.6876454</v>
      </c>
      <c r="E15" s="235" t="n">
        <f aca="false">SUM('04_Annual_Calculations'!B17:U17)</f>
        <v>41426083.3641582</v>
      </c>
      <c r="F15" s="235" t="n">
        <f aca="false">SUM('04_Annual_Calculations'!B17:AE17)</f>
        <v>98603634.7310109</v>
      </c>
    </row>
    <row r="16" customFormat="false" ht="15" hidden="false" customHeight="true" outlineLevel="0" collapsed="false">
      <c r="A16" s="161" t="s">
        <v>729</v>
      </c>
      <c r="B16" s="235" t="n">
        <f aca="false">SUM('04_Annual_Calculations'!B18:F18)</f>
        <v>0</v>
      </c>
      <c r="C16" s="235" t="n">
        <f aca="false">SUM('04_Annual_Calculations'!B18:K18)</f>
        <v>0</v>
      </c>
      <c r="D16" s="235" t="n">
        <f aca="false">SUM('04_Annual_Calculations'!B18:P18)</f>
        <v>0</v>
      </c>
      <c r="E16" s="235" t="n">
        <f aca="false">SUM('04_Annual_Calculations'!B18:U18)</f>
        <v>0</v>
      </c>
      <c r="F16" s="235" t="n">
        <f aca="false">SUM('04_Annual_Calculations'!B18:AE18)</f>
        <v>0</v>
      </c>
    </row>
    <row r="17" customFormat="false" ht="15" hidden="false" customHeight="true" outlineLevel="0" collapsed="false">
      <c r="A17" s="161" t="s">
        <v>730</v>
      </c>
      <c r="B17" s="235" t="n">
        <f aca="false">SUM('04_Annual_Calculations'!B19:F19)</f>
        <v>0</v>
      </c>
      <c r="C17" s="235" t="n">
        <f aca="false">SUM('04_Annual_Calculations'!B19:K19)</f>
        <v>0</v>
      </c>
      <c r="D17" s="235" t="n">
        <f aca="false">SUM('04_Annual_Calculations'!B19:P19)</f>
        <v>0</v>
      </c>
      <c r="E17" s="235" t="n">
        <f aca="false">SUM('04_Annual_Calculations'!B19:U19)</f>
        <v>0</v>
      </c>
      <c r="F17" s="235" t="n">
        <f aca="false">SUM('04_Annual_Calculations'!B19:AE19)</f>
        <v>0</v>
      </c>
    </row>
    <row r="18" customFormat="false" ht="15" hidden="false" customHeight="true" outlineLevel="0" collapsed="false">
      <c r="A18" s="161" t="s">
        <v>731</v>
      </c>
      <c r="B18" s="235" t="n">
        <f aca="false">SUM('04_Annual_Calculations'!B20:F20)</f>
        <v>0</v>
      </c>
      <c r="C18" s="235" t="n">
        <f aca="false">SUM('04_Annual_Calculations'!B20:K20)</f>
        <v>0</v>
      </c>
      <c r="D18" s="235" t="n">
        <f aca="false">SUM('04_Annual_Calculations'!B20:P20)</f>
        <v>0</v>
      </c>
      <c r="E18" s="235" t="n">
        <f aca="false">SUM('04_Annual_Calculations'!B20:U20)</f>
        <v>0</v>
      </c>
      <c r="F18" s="235" t="n">
        <f aca="false">SUM('04_Annual_Calculations'!B20:AE20)</f>
        <v>0</v>
      </c>
    </row>
    <row r="19" customFormat="false" ht="15" hidden="false" customHeight="true" outlineLevel="0" collapsed="false">
      <c r="A19" s="161" t="s">
        <v>732</v>
      </c>
      <c r="B19" s="235" t="n">
        <f aca="false">SUM('04_Annual_Calculations'!B21:F21)</f>
        <v>0</v>
      </c>
      <c r="C19" s="235" t="n">
        <f aca="false">SUM('04_Annual_Calculations'!B21:K21)</f>
        <v>0</v>
      </c>
      <c r="D19" s="235" t="n">
        <f aca="false">SUM('04_Annual_Calculations'!B21:P21)</f>
        <v>0</v>
      </c>
      <c r="E19" s="235" t="n">
        <f aca="false">SUM('04_Annual_Calculations'!B21:U21)</f>
        <v>0</v>
      </c>
      <c r="F19" s="235" t="n">
        <f aca="false">SUM('04_Annual_Calculations'!B21:AE21)</f>
        <v>0</v>
      </c>
    </row>
    <row r="20" customFormat="false" ht="15" hidden="false" customHeight="true" outlineLevel="0" collapsed="false">
      <c r="A20" s="161" t="s">
        <v>733</v>
      </c>
      <c r="B20" s="235" t="n">
        <f aca="false">SUM('04_Annual_Calculations'!B22:F22)</f>
        <v>480191.285255825</v>
      </c>
      <c r="C20" s="235" t="n">
        <f aca="false">SUM('04_Annual_Calculations'!B22:K22)</f>
        <v>1472843.36075236</v>
      </c>
      <c r="D20" s="235" t="n">
        <f aca="false">SUM('04_Annual_Calculations'!B22:P22)</f>
        <v>2801235.75783954</v>
      </c>
      <c r="E20" s="235" t="n">
        <f aca="false">SUM('04_Annual_Calculations'!B22:U22)</f>
        <v>4578924.44071099</v>
      </c>
      <c r="F20" s="235" t="n">
        <f aca="false">SUM('04_Annual_Calculations'!B22:AE22)</f>
        <v>10141442.5880303</v>
      </c>
    </row>
    <row r="21" customFormat="false" ht="15" hidden="false" customHeight="true" outlineLevel="0" collapsed="false">
      <c r="A21" s="161" t="s">
        <v>734</v>
      </c>
      <c r="B21" s="235" t="n">
        <f aca="false">SUM('04_Annual_Calculations'!B23:F23)</f>
        <v>117160.854544591</v>
      </c>
      <c r="C21" s="235" t="n">
        <f aca="false">SUM('04_Annual_Calculations'!B23:K23)</f>
        <v>359250.094771307</v>
      </c>
      <c r="D21" s="235" t="n">
        <f aca="false">SUM('04_Annual_Calculations'!B23:P23)</f>
        <v>683220.108104448</v>
      </c>
      <c r="E21" s="235" t="n">
        <f aca="false">SUM('04_Annual_Calculations'!B23:U23)</f>
        <v>1116765.06632227</v>
      </c>
      <c r="F21" s="235" t="n">
        <f aca="false">SUM('04_Annual_Calculations'!B23:AE23)</f>
        <v>2473359.00822104</v>
      </c>
    </row>
    <row r="22" customFormat="false" ht="15" hidden="false" customHeight="true" outlineLevel="0" collapsed="false">
      <c r="A22" s="161" t="s">
        <v>735</v>
      </c>
      <c r="B22" s="235" t="n">
        <f aca="false">SUM('04_Annual_Calculations'!B24:F24)</f>
        <v>1576300</v>
      </c>
      <c r="C22" s="235" t="n">
        <f aca="false">SUM('04_Annual_Calculations'!B24:K24)</f>
        <v>1576300</v>
      </c>
      <c r="D22" s="235" t="n">
        <f aca="false">SUM('04_Annual_Calculations'!B24:P24)</f>
        <v>1576300</v>
      </c>
      <c r="E22" s="235" t="n">
        <f aca="false">SUM('04_Annual_Calculations'!B24:U24)</f>
        <v>1576300</v>
      </c>
      <c r="F22" s="235" t="n">
        <f aca="false">SUM('04_Annual_Calculations'!B24:AE24)</f>
        <v>1576300</v>
      </c>
    </row>
    <row r="23" customFormat="false" ht="15" hidden="false" customHeight="true" outlineLevel="0" collapsed="false">
      <c r="A23" s="161" t="s">
        <v>736</v>
      </c>
      <c r="B23" s="235" t="n">
        <f aca="false">SUM('04_Annual_Calculations'!B25:F25)</f>
        <v>819887.664667969</v>
      </c>
      <c r="C23" s="235" t="n">
        <f aca="false">SUM('04_Annual_Calculations'!B25:K25)</f>
        <v>2308732.44636358</v>
      </c>
      <c r="D23" s="235" t="n">
        <f aca="false">SUM('04_Annual_Calculations'!B25:P25)</f>
        <v>3993223.66009334</v>
      </c>
      <c r="E23" s="235" t="n">
        <f aca="false">SUM('04_Annual_Calculations'!B25:U25)</f>
        <v>5899070.85384928</v>
      </c>
      <c r="F23" s="235" t="n">
        <f aca="false">SUM('04_Annual_Calculations'!B25:AE25)</f>
        <v>10495007.5577063</v>
      </c>
    </row>
    <row r="24" customFormat="false" ht="15" hidden="false" customHeight="true" outlineLevel="0" collapsed="false">
      <c r="A24" s="161" t="s">
        <v>737</v>
      </c>
      <c r="B24" s="235" t="n">
        <f aca="false">IF('00_Inputs_Dashboard'!$B$56=2,SUM('04_Annual_Calculations'!B27:F27),'Capital Items'!X34)</f>
        <v>4399527.63986097</v>
      </c>
      <c r="C24" s="235" t="n">
        <f aca="false">IF('00_Inputs_Dashboard'!$B$56=2,SUM('04_Annual_Calculations'!B27:K27),'Capital Items'!Y34)</f>
        <v>8799055.27972194</v>
      </c>
      <c r="D24" s="235" t="n">
        <f aca="false">IF('00_Inputs_Dashboard'!$B$56=2,SUM('04_Annual_Calculations'!B27:P27),'Capital Items'!Z34)</f>
        <v>13198582.9195829</v>
      </c>
      <c r="E24" s="235" t="n">
        <f aca="false">IF('00_Inputs_Dashboard'!$B$56=2,SUM('04_Annual_Calculations'!B27:U27),'Capital Items'!AA34)</f>
        <v>17598110.5594439</v>
      </c>
      <c r="F24" s="235" t="n">
        <f aca="false">IF('00_Inputs_Dashboard'!$B$56=2,SUM('04_Annual_Calculations'!B27:AE27),'Capital Items'!AB34)</f>
        <v>18246110.5594439</v>
      </c>
    </row>
    <row r="25" customFormat="false" ht="15" hidden="false" customHeight="true" outlineLevel="0" collapsed="false">
      <c r="A25" s="161" t="s">
        <v>738</v>
      </c>
      <c r="B25" s="235" t="n">
        <f aca="false">SUM('04_Annual_Calculations'!B29:F29)</f>
        <v>20497.1916166992</v>
      </c>
      <c r="C25" s="235" t="n">
        <f aca="false">SUM('04_Annual_Calculations'!B29:K29)</f>
        <v>57718.3111590894</v>
      </c>
      <c r="D25" s="235" t="n">
        <f aca="false">SUM('04_Annual_Calculations'!B29:P29)</f>
        <v>99830.5915023334</v>
      </c>
      <c r="E25" s="235" t="n">
        <f aca="false">SUM('04_Annual_Calculations'!B29:U29)</f>
        <v>147476.771346232</v>
      </c>
      <c r="F25" s="235" t="n">
        <f aca="false">SUM('04_Annual_Calculations'!B29:AE29)</f>
        <v>262375.188942657</v>
      </c>
    </row>
    <row r="26" customFormat="false" ht="15" hidden="false" customHeight="true" outlineLevel="0" collapsed="false">
      <c r="A26" s="161" t="s">
        <v>739</v>
      </c>
      <c r="B26" s="235" t="n">
        <f aca="false">SUM('04_Annual_Calculations'!B26:F26)</f>
        <v>215519.488901367</v>
      </c>
      <c r="C26" s="235" t="n">
        <f aca="false">SUM('04_Annual_Calculations'!B26:K26)</f>
        <v>612708.307984632</v>
      </c>
      <c r="D26" s="235" t="n">
        <f aca="false">SUM('04_Annual_Calculations'!B26:P26)</f>
        <v>1062090.99996377</v>
      </c>
      <c r="E26" s="235" t="n">
        <f aca="false">SUM('04_Annual_Calculations'!B26:U26)</f>
        <v>1570526.26839986</v>
      </c>
      <c r="F26" s="235" t="n">
        <f aca="false">SUM('04_Annual_Calculations'!B26:AE26)</f>
        <v>2796614.23568106</v>
      </c>
    </row>
    <row r="27" customFormat="false" ht="15" hidden="false" customHeight="true" outlineLevel="0" collapsed="false">
      <c r="A27" s="161" t="s">
        <v>740</v>
      </c>
      <c r="B27" s="235" t="n">
        <f aca="false">IF('00_Inputs_Dashboard'!$B$56=2,SUM('04_Annual_Calculations'!B28:F28),'Capital Items'!AC35)</f>
        <v>188325</v>
      </c>
      <c r="C27" s="235" t="n">
        <f aca="false">IF('00_Inputs_Dashboard'!$B$56=2,SUM('04_Annual_Calculations'!B28:K28),'Capital Items'!AD35)</f>
        <v>373275</v>
      </c>
      <c r="D27" s="235" t="n">
        <f aca="false">IF('00_Inputs_Dashboard'!$B$56=2,SUM('04_Annual_Calculations'!B28:P28),'Capital Items'!AE35)</f>
        <v>558225</v>
      </c>
      <c r="E27" s="235" t="n">
        <f aca="false">IF('00_Inputs_Dashboard'!$B$56=2,SUM('04_Annual_Calculations'!B28:U28),'Capital Items'!AF35)</f>
        <v>743175</v>
      </c>
      <c r="F27" s="235" t="n">
        <f aca="false">IF('00_Inputs_Dashboard'!$B$56=2,SUM('04_Annual_Calculations'!B28:AE28),'Capital Items'!AG35)</f>
        <v>1113075</v>
      </c>
    </row>
    <row r="28" customFormat="false" ht="15" hidden="false" customHeight="true" outlineLevel="0" collapsed="false">
      <c r="A28" s="161" t="s">
        <v>741</v>
      </c>
      <c r="B28" s="235" t="n">
        <f aca="false">SUM('04_Annual_Calculations'!B30:F30)</f>
        <v>5387.98722253418</v>
      </c>
      <c r="C28" s="235" t="n">
        <f aca="false">SUM('04_Annual_Calculations'!B30:K30)</f>
        <v>15317.7076996158</v>
      </c>
      <c r="D28" s="235" t="n">
        <f aca="false">SUM('04_Annual_Calculations'!B30:P30)</f>
        <v>26552.2749990942</v>
      </c>
      <c r="E28" s="235" t="n">
        <f aca="false">SUM('04_Annual_Calculations'!B30:U30)</f>
        <v>39263.1567099964</v>
      </c>
      <c r="F28" s="235" t="n">
        <f aca="false">SUM('04_Annual_Calculations'!B30:AE30)</f>
        <v>69915.3558920266</v>
      </c>
    </row>
    <row r="29" customFormat="false" ht="15" hidden="false" customHeight="true" outlineLevel="0" collapsed="false">
      <c r="A29" s="161" t="s">
        <v>742</v>
      </c>
      <c r="B29" s="235" t="n">
        <f aca="false">B18+B20+B22-B23-B24-B25</f>
        <v>-3183421.21088981</v>
      </c>
      <c r="C29" s="235" t="n">
        <f aca="false">C18+C20+C22-C23-C24-C25</f>
        <v>-8116362.67649225</v>
      </c>
      <c r="D29" s="235" t="n">
        <f aca="false">D18+D20+D22-D23-D24-D25</f>
        <v>-12914101.413339</v>
      </c>
      <c r="E29" s="235" t="n">
        <f aca="false">E18+E20+E22-E23-E24-E25</f>
        <v>-17489433.7439284</v>
      </c>
      <c r="F29" s="235" t="n">
        <f aca="false">F18+F20+F22-F23-F24-F25</f>
        <v>-17285750.7180626</v>
      </c>
    </row>
    <row r="30" customFormat="false" ht="15" hidden="false" customHeight="true" outlineLevel="0" collapsed="false">
      <c r="A30" s="161" t="s">
        <v>743</v>
      </c>
      <c r="B30" s="235" t="n">
        <f aca="false">B19+B21-B26-B27-B28</f>
        <v>-292071.62157931</v>
      </c>
      <c r="C30" s="235" t="n">
        <f aca="false">C19+C21-C26-C27-C28</f>
        <v>-642050.920912942</v>
      </c>
      <c r="D30" s="235" t="n">
        <f aca="false">D19+D21-D26-D27-D28</f>
        <v>-963648.166858413</v>
      </c>
      <c r="E30" s="235" t="n">
        <f aca="false">E19+E21-E26-E27-E28</f>
        <v>-1236199.35878758</v>
      </c>
      <c r="F30" s="235" t="n">
        <f aca="false">F19+F21-F26-F27-F28</f>
        <v>-1506245.58335205</v>
      </c>
    </row>
    <row r="31" customFormat="false" ht="15" hidden="false" customHeight="true" outlineLevel="0" collapsed="false">
      <c r="A31" s="161" t="s">
        <v>744</v>
      </c>
      <c r="B31" s="235" t="n">
        <f aca="false">B29+B30</f>
        <v>-3475492.83246912</v>
      </c>
      <c r="C31" s="235" t="n">
        <f aca="false">C29+C30</f>
        <v>-8758413.59740519</v>
      </c>
      <c r="D31" s="235" t="n">
        <f aca="false">D29+D30</f>
        <v>-13877749.5801975</v>
      </c>
      <c r="E31" s="235" t="n">
        <f aca="false">E29+E30</f>
        <v>-18725633.102716</v>
      </c>
      <c r="F31" s="235" t="n">
        <f aca="false">F29+F30</f>
        <v>-18791996.3014146</v>
      </c>
    </row>
    <row r="32" customFormat="false" ht="15" hidden="false" customHeight="true" outlineLevel="0" collapsed="false">
      <c r="A32" s="236" t="s">
        <v>745</v>
      </c>
      <c r="B32" s="237" t="str">
        <f aca="false">IFERROR(IF((B23+B25+B24-B20-B22)&lt;=0,0,IF(B18&lt;=0,"&gt;100x",(B23+B25+B24-B20-B22)/B18)),"")</f>
        <v>&gt;100x</v>
      </c>
      <c r="C32" s="237" t="str">
        <f aca="false">IFERROR(IF((C23+C25+C24-C20-C22)&lt;=0,0,IF(C18&lt;=0,"&gt;100x",(C23+C25+C24-C20-C22)/C18)),"")</f>
        <v>&gt;100x</v>
      </c>
      <c r="D32" s="237" t="str">
        <f aca="false">IFERROR(IF((D23+D25+D24-D20-D22)&lt;=0,0,IF(D18&lt;=0,"&gt;100x",(D23+D25+D24-D20-D22)/D18)),"")</f>
        <v>&gt;100x</v>
      </c>
      <c r="E32" s="237" t="str">
        <f aca="false">IFERROR(IF((E23+E25+E24-E20-E22)&lt;=0,0,IF(E18&lt;=0,"&gt;100x",(E23+E25+E24-E20-E22)/E18)),"")</f>
        <v>&gt;100x</v>
      </c>
      <c r="F32" s="237" t="str">
        <f aca="false">IFERROR(IF((F23+F25+F24-F20-F22)&lt;=0,0,IF(F18&lt;=0,"&gt;100x",(F23+F25+F24-F20-F22)/F18)),"")</f>
        <v>&gt;100x</v>
      </c>
    </row>
  </sheetData>
  <mergeCells count="1">
    <mergeCell ref="A1:F1"/>
  </mergeCell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66796875" defaultRowHeight="12.75" customHeight="false" zeroHeight="false" outlineLevelRow="0" outlineLevelCol="0"/>
  <cols>
    <col collapsed="false" customWidth="true" hidden="false" outlineLevel="0" max="1" min="1" style="1" width="34"/>
    <col collapsed="false" customWidth="true" hidden="false" outlineLevel="0" max="32" min="2" style="1" width="13"/>
  </cols>
  <sheetData>
    <row r="1" customFormat="false" ht="21.75" hidden="false" customHeight="true" outlineLevel="0" collapsed="false">
      <c r="A1" s="160" t="s">
        <v>746</v>
      </c>
      <c r="B1" s="160"/>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row>
    <row r="2" customFormat="false" ht="12.75" hidden="false" customHeight="true" outlineLevel="0" collapsed="false">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row>
    <row r="3" customFormat="false" ht="15" hidden="false" customHeight="true" outlineLevel="0" collapsed="false">
      <c r="A3" s="236" t="s">
        <v>306</v>
      </c>
      <c r="B3" s="238" t="s">
        <v>747</v>
      </c>
      <c r="C3" s="238" t="s">
        <v>748</v>
      </c>
      <c r="D3" s="238" t="s">
        <v>749</v>
      </c>
      <c r="E3" s="238" t="s">
        <v>750</v>
      </c>
      <c r="F3" s="238" t="s">
        <v>751</v>
      </c>
      <c r="G3" s="238" t="s">
        <v>752</v>
      </c>
      <c r="H3" s="238" t="s">
        <v>753</v>
      </c>
      <c r="I3" s="238" t="s">
        <v>754</v>
      </c>
      <c r="J3" s="238" t="s">
        <v>755</v>
      </c>
      <c r="K3" s="238" t="s">
        <v>756</v>
      </c>
      <c r="L3" s="238" t="s">
        <v>757</v>
      </c>
      <c r="M3" s="238" t="s">
        <v>758</v>
      </c>
      <c r="N3" s="238" t="s">
        <v>759</v>
      </c>
      <c r="O3" s="238" t="s">
        <v>760</v>
      </c>
      <c r="P3" s="238" t="s">
        <v>761</v>
      </c>
      <c r="Q3" s="238" t="s">
        <v>762</v>
      </c>
      <c r="R3" s="238" t="s">
        <v>763</v>
      </c>
      <c r="S3" s="238" t="s">
        <v>764</v>
      </c>
      <c r="T3" s="238" t="s">
        <v>765</v>
      </c>
      <c r="U3" s="238" t="s">
        <v>766</v>
      </c>
      <c r="V3" s="238" t="s">
        <v>767</v>
      </c>
      <c r="W3" s="238" t="s">
        <v>768</v>
      </c>
      <c r="X3" s="238" t="s">
        <v>769</v>
      </c>
      <c r="Y3" s="238" t="s">
        <v>770</v>
      </c>
      <c r="Z3" s="238" t="s">
        <v>771</v>
      </c>
      <c r="AA3" s="238" t="s">
        <v>772</v>
      </c>
      <c r="AB3" s="238" t="s">
        <v>773</v>
      </c>
      <c r="AC3" s="238" t="s">
        <v>774</v>
      </c>
      <c r="AD3" s="238" t="s">
        <v>775</v>
      </c>
      <c r="AE3" s="238" t="s">
        <v>776</v>
      </c>
      <c r="AF3" s="161"/>
    </row>
    <row r="4" customFormat="false" ht="15" hidden="false" customHeight="true" outlineLevel="0" collapsed="false">
      <c r="A4" s="161" t="s">
        <v>717</v>
      </c>
      <c r="B4" s="233" t="n">
        <f aca="false">SUMPRODUCT(--(Scenarios!$C$3:$C$27=TRUE()),Scenarios!$M$3:$M$27,'09_Phase_Factors'!$D$30:$D$54)</f>
        <v>6.25</v>
      </c>
      <c r="C4" s="233" t="n">
        <f aca="false">SUMPRODUCT(--(Scenarios!$C$3:$C$27=TRUE()),Scenarios!$M$3:$M$27,'09_Phase_Factors'!$E$30:$E$54)</f>
        <v>6.25</v>
      </c>
      <c r="D4" s="233" t="n">
        <f aca="false">SUMPRODUCT(--(Scenarios!$C$3:$C$27=TRUE()),Scenarios!$M$3:$M$27,'09_Phase_Factors'!$F$30:$F$54)</f>
        <v>6.25</v>
      </c>
      <c r="E4" s="233" t="n">
        <f aca="false">SUMPRODUCT(--(Scenarios!$C$3:$C$27=TRUE()),Scenarios!$M$3:$M$27,'09_Phase_Factors'!$G$30:$G$54)</f>
        <v>6.25</v>
      </c>
      <c r="F4" s="233" t="n">
        <f aca="false">SUMPRODUCT(--(Scenarios!$C$3:$C$27=TRUE()),Scenarios!$M$3:$M$27,'09_Phase_Factors'!$H$30:$H$54)</f>
        <v>3.75</v>
      </c>
      <c r="G4" s="233" t="n">
        <f aca="false">SUMPRODUCT(--(Scenarios!$C$3:$C$27=TRUE()),Scenarios!$M$3:$M$27,'09_Phase_Factors'!$I$30:$I$54)</f>
        <v>0</v>
      </c>
      <c r="H4" s="233" t="n">
        <f aca="false">SUMPRODUCT(--(Scenarios!$C$3:$C$27=TRUE()),Scenarios!$M$3:$M$27,'09_Phase_Factors'!$J$30:$J$54)</f>
        <v>0</v>
      </c>
      <c r="I4" s="233" t="n">
        <f aca="false">SUMPRODUCT(--(Scenarios!$C$3:$C$27=TRUE()),Scenarios!$M$3:$M$27,'09_Phase_Factors'!$K$30:$K$54)</f>
        <v>0</v>
      </c>
      <c r="J4" s="233" t="n">
        <f aca="false">SUMPRODUCT(--(Scenarios!$C$3:$C$27=TRUE()),Scenarios!$M$3:$M$27,'09_Phase_Factors'!$L$30:$L$54)</f>
        <v>0</v>
      </c>
      <c r="K4" s="233" t="n">
        <f aca="false">SUMPRODUCT(--(Scenarios!$C$3:$C$27=TRUE()),Scenarios!$M$3:$M$27,'09_Phase_Factors'!$M$30:$M$54)</f>
        <v>0</v>
      </c>
      <c r="L4" s="233" t="n">
        <f aca="false">SUMPRODUCT(--(Scenarios!$C$3:$C$27=TRUE()),Scenarios!$M$3:$M$27,'09_Phase_Factors'!$N$30:$N$54)</f>
        <v>0</v>
      </c>
      <c r="M4" s="233" t="n">
        <f aca="false">SUMPRODUCT(--(Scenarios!$C$3:$C$27=TRUE()),Scenarios!$M$3:$M$27,'09_Phase_Factors'!$O$30:$O$54)</f>
        <v>0</v>
      </c>
      <c r="N4" s="233" t="n">
        <f aca="false">SUMPRODUCT(--(Scenarios!$C$3:$C$27=TRUE()),Scenarios!$M$3:$M$27,'09_Phase_Factors'!$P$30:$P$54)</f>
        <v>0</v>
      </c>
      <c r="O4" s="233" t="n">
        <f aca="false">SUMPRODUCT(--(Scenarios!$C$3:$C$27=TRUE()),Scenarios!$M$3:$M$27,'09_Phase_Factors'!$Q$30:$Q$54)</f>
        <v>0</v>
      </c>
      <c r="P4" s="233" t="n">
        <f aca="false">SUMPRODUCT(--(Scenarios!$C$3:$C$27=TRUE()),Scenarios!$M$3:$M$27,'09_Phase_Factors'!$R$30:$R$54)</f>
        <v>0</v>
      </c>
      <c r="Q4" s="233" t="n">
        <f aca="false">SUMPRODUCT(--(Scenarios!$C$3:$C$27=TRUE()),Scenarios!$M$3:$M$27,'09_Phase_Factors'!$S$30:$S$54)</f>
        <v>0</v>
      </c>
      <c r="R4" s="233" t="n">
        <f aca="false">SUMPRODUCT(--(Scenarios!$C$3:$C$27=TRUE()),Scenarios!$M$3:$M$27,'09_Phase_Factors'!$T$30:$T$54)</f>
        <v>0</v>
      </c>
      <c r="S4" s="233" t="n">
        <f aca="false">SUMPRODUCT(--(Scenarios!$C$3:$C$27=TRUE()),Scenarios!$M$3:$M$27,'09_Phase_Factors'!$U$30:$U$54)</f>
        <v>0</v>
      </c>
      <c r="T4" s="233" t="n">
        <f aca="false">SUMPRODUCT(--(Scenarios!$C$3:$C$27=TRUE()),Scenarios!$M$3:$M$27,'09_Phase_Factors'!$V$30:$V$54)</f>
        <v>0</v>
      </c>
      <c r="U4" s="233" t="n">
        <f aca="false">SUMPRODUCT(--(Scenarios!$C$3:$C$27=TRUE()),Scenarios!$M$3:$M$27,'09_Phase_Factors'!$W$30:$W$54)</f>
        <v>0</v>
      </c>
      <c r="V4" s="233" t="n">
        <f aca="false">SUMPRODUCT(--(Scenarios!$C$3:$C$27=TRUE()),Scenarios!$M$3:$M$27,'09_Phase_Factors'!$X$30:$X$54)</f>
        <v>0</v>
      </c>
      <c r="W4" s="233" t="n">
        <f aca="false">SUMPRODUCT(--(Scenarios!$C$3:$C$27=TRUE()),Scenarios!$M$3:$M$27,'09_Phase_Factors'!$Y$30:$Y$54)</f>
        <v>0</v>
      </c>
      <c r="X4" s="233" t="n">
        <f aca="false">SUMPRODUCT(--(Scenarios!$C$3:$C$27=TRUE()),Scenarios!$M$3:$M$27,'09_Phase_Factors'!$Z$30:$Z$54)</f>
        <v>0</v>
      </c>
      <c r="Y4" s="233" t="n">
        <f aca="false">SUMPRODUCT(--(Scenarios!$C$3:$C$27=TRUE()),Scenarios!$M$3:$M$27,'09_Phase_Factors'!$AA$30:$AA$54)</f>
        <v>0</v>
      </c>
      <c r="Z4" s="233" t="n">
        <f aca="false">SUMPRODUCT(--(Scenarios!$C$3:$C$27=TRUE()),Scenarios!$M$3:$M$27,'09_Phase_Factors'!$AB$30:$AB$54)</f>
        <v>0</v>
      </c>
      <c r="AA4" s="233" t="n">
        <f aca="false">SUMPRODUCT(--(Scenarios!$C$3:$C$27=TRUE()),Scenarios!$M$3:$M$27,'09_Phase_Factors'!$AC$30:$AC$54)</f>
        <v>0</v>
      </c>
      <c r="AB4" s="233" t="n">
        <f aca="false">SUMPRODUCT(--(Scenarios!$C$3:$C$27=TRUE()),Scenarios!$M$3:$M$27,'09_Phase_Factors'!$AD$30:$AD$54)</f>
        <v>0</v>
      </c>
      <c r="AC4" s="233" t="n">
        <f aca="false">SUMPRODUCT(--(Scenarios!$C$3:$C$27=TRUE()),Scenarios!$M$3:$M$27,'09_Phase_Factors'!$AE$30:$AE$54)</f>
        <v>0</v>
      </c>
      <c r="AD4" s="233" t="n">
        <f aca="false">SUMPRODUCT(--(Scenarios!$C$3:$C$27=TRUE()),Scenarios!$M$3:$M$27,'09_Phase_Factors'!$AF$30:$AF$54)</f>
        <v>0</v>
      </c>
      <c r="AE4" s="233" t="n">
        <f aca="false">SUMPRODUCT(--(Scenarios!$C$3:$C$27=TRUE()),Scenarios!$M$3:$M$27,'09_Phase_Factors'!$AG$30:$AG$54)</f>
        <v>0</v>
      </c>
      <c r="AF4" s="161"/>
    </row>
    <row r="5" customFormat="false" ht="15" hidden="false" customHeight="true" outlineLevel="0" collapsed="false">
      <c r="A5" s="161" t="s">
        <v>777</v>
      </c>
      <c r="B5" s="233" t="n">
        <f aca="false">SUMPRODUCT(--(Scenarios!$C$3:$C$27=TRUE()),Scenarios!$M$3:$M$27,'09_Phase_Factors'!$D$4:$D$28)</f>
        <v>6.25</v>
      </c>
      <c r="C5" s="233" t="n">
        <f aca="false">SUMPRODUCT(--(Scenarios!$C$3:$C$27=TRUE()),Scenarios!$M$3:$M$27,'09_Phase_Factors'!$E$4:$E$28)</f>
        <v>12.5</v>
      </c>
      <c r="D5" s="233" t="n">
        <f aca="false">SUMPRODUCT(--(Scenarios!$C$3:$C$27=TRUE()),Scenarios!$M$3:$M$27,'09_Phase_Factors'!$F$4:$F$28)</f>
        <v>18.75</v>
      </c>
      <c r="E5" s="233" t="n">
        <f aca="false">SUMPRODUCT(--(Scenarios!$C$3:$C$27=TRUE()),Scenarios!$M$3:$M$27,'09_Phase_Factors'!$G$4:$G$28)</f>
        <v>25</v>
      </c>
      <c r="F5" s="233" t="n">
        <f aca="false">SUMPRODUCT(--(Scenarios!$C$3:$C$27=TRUE()),Scenarios!$M$3:$M$27,'09_Phase_Factors'!$H$4:$H$28)</f>
        <v>28.75</v>
      </c>
      <c r="G5" s="233" t="n">
        <f aca="false">SUMPRODUCT(--(Scenarios!$C$3:$C$27=TRUE()),Scenarios!$M$3:$M$27,'09_Phase_Factors'!$I$4:$I$28)</f>
        <v>28.75</v>
      </c>
      <c r="H5" s="233" t="n">
        <f aca="false">SUMPRODUCT(--(Scenarios!$C$3:$C$27=TRUE()),Scenarios!$M$3:$M$27,'09_Phase_Factors'!$J$4:$J$28)</f>
        <v>28.75</v>
      </c>
      <c r="I5" s="233" t="n">
        <f aca="false">SUMPRODUCT(--(Scenarios!$C$3:$C$27=TRUE()),Scenarios!$M$3:$M$27,'09_Phase_Factors'!$K$4:$K$28)</f>
        <v>28.75</v>
      </c>
      <c r="J5" s="233" t="n">
        <f aca="false">SUMPRODUCT(--(Scenarios!$C$3:$C$27=TRUE()),Scenarios!$M$3:$M$27,'09_Phase_Factors'!$L$4:$L$28)</f>
        <v>28.75</v>
      </c>
      <c r="K5" s="233" t="n">
        <f aca="false">SUMPRODUCT(--(Scenarios!$C$3:$C$27=TRUE()),Scenarios!$M$3:$M$27,'09_Phase_Factors'!$M$4:$M$28)</f>
        <v>28.75</v>
      </c>
      <c r="L5" s="233" t="n">
        <f aca="false">SUMPRODUCT(--(Scenarios!$C$3:$C$27=TRUE()),Scenarios!$M$3:$M$27,'09_Phase_Factors'!$N$4:$N$28)</f>
        <v>28.75</v>
      </c>
      <c r="M5" s="233" t="n">
        <f aca="false">SUMPRODUCT(--(Scenarios!$C$3:$C$27=TRUE()),Scenarios!$M$3:$M$27,'09_Phase_Factors'!$O$4:$O$28)</f>
        <v>28.75</v>
      </c>
      <c r="N5" s="233" t="n">
        <f aca="false">SUMPRODUCT(--(Scenarios!$C$3:$C$27=TRUE()),Scenarios!$M$3:$M$27,'09_Phase_Factors'!$P$4:$P$28)</f>
        <v>28.75</v>
      </c>
      <c r="O5" s="233" t="n">
        <f aca="false">SUMPRODUCT(--(Scenarios!$C$3:$C$27=TRUE()),Scenarios!$M$3:$M$27,'09_Phase_Factors'!$Q$4:$Q$28)</f>
        <v>28.75</v>
      </c>
      <c r="P5" s="233" t="n">
        <f aca="false">SUMPRODUCT(--(Scenarios!$C$3:$C$27=TRUE()),Scenarios!$M$3:$M$27,'09_Phase_Factors'!$R$4:$R$28)</f>
        <v>28.75</v>
      </c>
      <c r="Q5" s="233" t="n">
        <f aca="false">SUMPRODUCT(--(Scenarios!$C$3:$C$27=TRUE()),Scenarios!$M$3:$M$27,'09_Phase_Factors'!$S$4:$S$28)</f>
        <v>28.75</v>
      </c>
      <c r="R5" s="233" t="n">
        <f aca="false">SUMPRODUCT(--(Scenarios!$C$3:$C$27=TRUE()),Scenarios!$M$3:$M$27,'09_Phase_Factors'!$T$4:$T$28)</f>
        <v>28.75</v>
      </c>
      <c r="S5" s="233" t="n">
        <f aca="false">SUMPRODUCT(--(Scenarios!$C$3:$C$27=TRUE()),Scenarios!$M$3:$M$27,'09_Phase_Factors'!$U$4:$U$28)</f>
        <v>28.75</v>
      </c>
      <c r="T5" s="233" t="n">
        <f aca="false">SUMPRODUCT(--(Scenarios!$C$3:$C$27=TRUE()),Scenarios!$M$3:$M$27,'09_Phase_Factors'!$V$4:$V$28)</f>
        <v>28.75</v>
      </c>
      <c r="U5" s="233" t="n">
        <f aca="false">SUMPRODUCT(--(Scenarios!$C$3:$C$27=TRUE()),Scenarios!$M$3:$M$27,'09_Phase_Factors'!$W$4:$W$28)</f>
        <v>28.75</v>
      </c>
      <c r="V5" s="233" t="n">
        <f aca="false">SUMPRODUCT(--(Scenarios!$C$3:$C$27=TRUE()),Scenarios!$M$3:$M$27,'09_Phase_Factors'!$X$4:$X$28)</f>
        <v>28.75</v>
      </c>
      <c r="W5" s="233" t="n">
        <f aca="false">SUMPRODUCT(--(Scenarios!$C$3:$C$27=TRUE()),Scenarios!$M$3:$M$27,'09_Phase_Factors'!$Y$4:$Y$28)</f>
        <v>28.75</v>
      </c>
      <c r="X5" s="233" t="n">
        <f aca="false">SUMPRODUCT(--(Scenarios!$C$3:$C$27=TRUE()),Scenarios!$M$3:$M$27,'09_Phase_Factors'!$Z$4:$Z$28)</f>
        <v>28.75</v>
      </c>
      <c r="Y5" s="233" t="n">
        <f aca="false">SUMPRODUCT(--(Scenarios!$C$3:$C$27=TRUE()),Scenarios!$M$3:$M$27,'09_Phase_Factors'!$AA$4:$AA$28)</f>
        <v>28.75</v>
      </c>
      <c r="Z5" s="233" t="n">
        <f aca="false">SUMPRODUCT(--(Scenarios!$C$3:$C$27=TRUE()),Scenarios!$M$3:$M$27,'09_Phase_Factors'!$AB$4:$AB$28)</f>
        <v>28.75</v>
      </c>
      <c r="AA5" s="233" t="n">
        <f aca="false">SUMPRODUCT(--(Scenarios!$C$3:$C$27=TRUE()),Scenarios!$M$3:$M$27,'09_Phase_Factors'!$AC$4:$AC$28)</f>
        <v>28.75</v>
      </c>
      <c r="AB5" s="233" t="n">
        <f aca="false">SUMPRODUCT(--(Scenarios!$C$3:$C$27=TRUE()),Scenarios!$M$3:$M$27,'09_Phase_Factors'!$AD$4:$AD$28)</f>
        <v>28.75</v>
      </c>
      <c r="AC5" s="233" t="n">
        <f aca="false">SUMPRODUCT(--(Scenarios!$C$3:$C$27=TRUE()),Scenarios!$M$3:$M$27,'09_Phase_Factors'!$AE$4:$AE$28)</f>
        <v>28.75</v>
      </c>
      <c r="AD5" s="233" t="n">
        <f aca="false">SUMPRODUCT(--(Scenarios!$C$3:$C$27=TRUE()),Scenarios!$M$3:$M$27,'09_Phase_Factors'!$AF$4:$AF$28)</f>
        <v>28.75</v>
      </c>
      <c r="AE5" s="233" t="n">
        <f aca="false">SUMPRODUCT(--(Scenarios!$C$3:$C$27=TRUE()),Scenarios!$M$3:$M$27,'09_Phase_Factors'!$AG$4:$AG$28)</f>
        <v>28.75</v>
      </c>
      <c r="AF5" s="161"/>
    </row>
    <row r="6" customFormat="false" ht="15" hidden="false" customHeight="true" outlineLevel="0" collapsed="false">
      <c r="A6" s="161" t="s">
        <v>778</v>
      </c>
      <c r="B6" s="234" t="n">
        <f aca="false">SUMPRODUCT(--(Scenarios!$C$3:$C$27=TRUE()),Scenarios!$V$3:$V$27,'09_Phase_Factors'!$D$30:$D$54)</f>
        <v>54</v>
      </c>
      <c r="C6" s="234" t="n">
        <f aca="false">SUMPRODUCT(--(Scenarios!$C$3:$C$27=TRUE()),Scenarios!$V$3:$V$27,'09_Phase_Factors'!$E$30:$E$54)</f>
        <v>54</v>
      </c>
      <c r="D6" s="234" t="n">
        <f aca="false">SUMPRODUCT(--(Scenarios!$C$3:$C$27=TRUE()),Scenarios!$V$3:$V$27,'09_Phase_Factors'!$F$30:$F$54)</f>
        <v>54</v>
      </c>
      <c r="E6" s="234" t="n">
        <f aca="false">SUMPRODUCT(--(Scenarios!$C$3:$C$27=TRUE()),Scenarios!$V$3:$V$27,'09_Phase_Factors'!$G$30:$G$54)</f>
        <v>54</v>
      </c>
      <c r="F6" s="234" t="n">
        <f aca="false">SUMPRODUCT(--(Scenarios!$C$3:$C$27=TRUE()),Scenarios!$V$3:$V$27,'09_Phase_Factors'!$H$30:$H$54)</f>
        <v>54</v>
      </c>
      <c r="G6" s="234" t="n">
        <f aca="false">SUMPRODUCT(--(Scenarios!$C$3:$C$27=TRUE()),Scenarios!$V$3:$V$27,'09_Phase_Factors'!$I$30:$I$54)</f>
        <v>0</v>
      </c>
      <c r="H6" s="234" t="n">
        <f aca="false">SUMPRODUCT(--(Scenarios!$C$3:$C$27=TRUE()),Scenarios!$V$3:$V$27,'09_Phase_Factors'!$J$30:$J$54)</f>
        <v>0</v>
      </c>
      <c r="I6" s="234" t="n">
        <f aca="false">SUMPRODUCT(--(Scenarios!$C$3:$C$27=TRUE()),Scenarios!$V$3:$V$27,'09_Phase_Factors'!$K$30:$K$54)</f>
        <v>0</v>
      </c>
      <c r="J6" s="234" t="n">
        <f aca="false">SUMPRODUCT(--(Scenarios!$C$3:$C$27=TRUE()),Scenarios!$V$3:$V$27,'09_Phase_Factors'!$L$30:$L$54)</f>
        <v>0</v>
      </c>
      <c r="K6" s="234" t="n">
        <f aca="false">SUMPRODUCT(--(Scenarios!$C$3:$C$27=TRUE()),Scenarios!$V$3:$V$27,'09_Phase_Factors'!$M$30:$M$54)</f>
        <v>0</v>
      </c>
      <c r="L6" s="234" t="n">
        <f aca="false">SUMPRODUCT(--(Scenarios!$C$3:$C$27=TRUE()),Scenarios!$V$3:$V$27,'09_Phase_Factors'!$N$30:$N$54)</f>
        <v>0</v>
      </c>
      <c r="M6" s="234" t="n">
        <f aca="false">SUMPRODUCT(--(Scenarios!$C$3:$C$27=TRUE()),Scenarios!$V$3:$V$27,'09_Phase_Factors'!$O$30:$O$54)</f>
        <v>0</v>
      </c>
      <c r="N6" s="234" t="n">
        <f aca="false">SUMPRODUCT(--(Scenarios!$C$3:$C$27=TRUE()),Scenarios!$V$3:$V$27,'09_Phase_Factors'!$P$30:$P$54)</f>
        <v>0</v>
      </c>
      <c r="O6" s="234" t="n">
        <f aca="false">SUMPRODUCT(--(Scenarios!$C$3:$C$27=TRUE()),Scenarios!$V$3:$V$27,'09_Phase_Factors'!$Q$30:$Q$54)</f>
        <v>0</v>
      </c>
      <c r="P6" s="234" t="n">
        <f aca="false">SUMPRODUCT(--(Scenarios!$C$3:$C$27=TRUE()),Scenarios!$V$3:$V$27,'09_Phase_Factors'!$R$30:$R$54)</f>
        <v>0</v>
      </c>
      <c r="Q6" s="234" t="n">
        <f aca="false">SUMPRODUCT(--(Scenarios!$C$3:$C$27=TRUE()),Scenarios!$V$3:$V$27,'09_Phase_Factors'!$S$30:$S$54)</f>
        <v>0</v>
      </c>
      <c r="R6" s="234" t="n">
        <f aca="false">SUMPRODUCT(--(Scenarios!$C$3:$C$27=TRUE()),Scenarios!$V$3:$V$27,'09_Phase_Factors'!$T$30:$T$54)</f>
        <v>0</v>
      </c>
      <c r="S6" s="234" t="n">
        <f aca="false">SUMPRODUCT(--(Scenarios!$C$3:$C$27=TRUE()),Scenarios!$V$3:$V$27,'09_Phase_Factors'!$U$30:$U$54)</f>
        <v>0</v>
      </c>
      <c r="T6" s="234" t="n">
        <f aca="false">SUMPRODUCT(--(Scenarios!$C$3:$C$27=TRUE()),Scenarios!$V$3:$V$27,'09_Phase_Factors'!$V$30:$V$54)</f>
        <v>0</v>
      </c>
      <c r="U6" s="234" t="n">
        <f aca="false">SUMPRODUCT(--(Scenarios!$C$3:$C$27=TRUE()),Scenarios!$V$3:$V$27,'09_Phase_Factors'!$W$30:$W$54)</f>
        <v>0</v>
      </c>
      <c r="V6" s="234" t="n">
        <f aca="false">SUMPRODUCT(--(Scenarios!$C$3:$C$27=TRUE()),Scenarios!$V$3:$V$27,'09_Phase_Factors'!$X$30:$X$54)</f>
        <v>0</v>
      </c>
      <c r="W6" s="234" t="n">
        <f aca="false">SUMPRODUCT(--(Scenarios!$C$3:$C$27=TRUE()),Scenarios!$V$3:$V$27,'09_Phase_Factors'!$Y$30:$Y$54)</f>
        <v>0</v>
      </c>
      <c r="X6" s="234" t="n">
        <f aca="false">SUMPRODUCT(--(Scenarios!$C$3:$C$27=TRUE()),Scenarios!$V$3:$V$27,'09_Phase_Factors'!$Z$30:$Z$54)</f>
        <v>0</v>
      </c>
      <c r="Y6" s="234" t="n">
        <f aca="false">SUMPRODUCT(--(Scenarios!$C$3:$C$27=TRUE()),Scenarios!$V$3:$V$27,'09_Phase_Factors'!$AA$30:$AA$54)</f>
        <v>0</v>
      </c>
      <c r="Z6" s="234" t="n">
        <f aca="false">SUMPRODUCT(--(Scenarios!$C$3:$C$27=TRUE()),Scenarios!$V$3:$V$27,'09_Phase_Factors'!$AB$30:$AB$54)</f>
        <v>0</v>
      </c>
      <c r="AA6" s="234" t="n">
        <f aca="false">SUMPRODUCT(--(Scenarios!$C$3:$C$27=TRUE()),Scenarios!$V$3:$V$27,'09_Phase_Factors'!$AC$30:$AC$54)</f>
        <v>0</v>
      </c>
      <c r="AB6" s="234" t="n">
        <f aca="false">SUMPRODUCT(--(Scenarios!$C$3:$C$27=TRUE()),Scenarios!$V$3:$V$27,'09_Phase_Factors'!$AD$30:$AD$54)</f>
        <v>0</v>
      </c>
      <c r="AC6" s="234" t="n">
        <f aca="false">SUMPRODUCT(--(Scenarios!$C$3:$C$27=TRUE()),Scenarios!$V$3:$V$27,'09_Phase_Factors'!$AE$30:$AE$54)</f>
        <v>0</v>
      </c>
      <c r="AD6" s="234" t="n">
        <f aca="false">SUMPRODUCT(--(Scenarios!$C$3:$C$27=TRUE()),Scenarios!$V$3:$V$27,'09_Phase_Factors'!$AF$30:$AF$54)</f>
        <v>0</v>
      </c>
      <c r="AE6" s="234" t="n">
        <f aca="false">SUMPRODUCT(--(Scenarios!$C$3:$C$27=TRUE()),Scenarios!$V$3:$V$27,'09_Phase_Factors'!$AG$30:$AG$54)</f>
        <v>0</v>
      </c>
      <c r="AF6" s="161"/>
    </row>
    <row r="7" customFormat="false" ht="15" hidden="false" customHeight="true" outlineLevel="0" collapsed="false">
      <c r="A7" s="161" t="s">
        <v>779</v>
      </c>
      <c r="B7" s="234" t="n">
        <f aca="false">SUMPRODUCT(--(Scenarios!$C$3:$C$27=TRUE()),Scenarios!$V$3:$V$27,'09_Phase_Factors'!$D$4:$D$28)</f>
        <v>54</v>
      </c>
      <c r="C7" s="234" t="n">
        <f aca="false">SUMPRODUCT(--(Scenarios!$C$3:$C$27=TRUE()),Scenarios!$V$3:$V$27,'09_Phase_Factors'!$E$4:$E$28)</f>
        <v>108</v>
      </c>
      <c r="D7" s="234" t="n">
        <f aca="false">SUMPRODUCT(--(Scenarios!$C$3:$C$27=TRUE()),Scenarios!$V$3:$V$27,'09_Phase_Factors'!$F$4:$F$28)</f>
        <v>162</v>
      </c>
      <c r="E7" s="234" t="n">
        <f aca="false">SUMPRODUCT(--(Scenarios!$C$3:$C$27=TRUE()),Scenarios!$V$3:$V$27,'09_Phase_Factors'!$G$4:$G$28)</f>
        <v>216</v>
      </c>
      <c r="F7" s="234" t="n">
        <f aca="false">SUMPRODUCT(--(Scenarios!$C$3:$C$27=TRUE()),Scenarios!$V$3:$V$27,'09_Phase_Factors'!$H$4:$H$28)</f>
        <v>270</v>
      </c>
      <c r="G7" s="234" t="n">
        <f aca="false">SUMPRODUCT(--(Scenarios!$C$3:$C$27=TRUE()),Scenarios!$V$3:$V$27,'09_Phase_Factors'!$I$4:$I$28)</f>
        <v>270</v>
      </c>
      <c r="H7" s="234" t="n">
        <f aca="false">SUMPRODUCT(--(Scenarios!$C$3:$C$27=TRUE()),Scenarios!$V$3:$V$27,'09_Phase_Factors'!$J$4:$J$28)</f>
        <v>270</v>
      </c>
      <c r="I7" s="234" t="n">
        <f aca="false">SUMPRODUCT(--(Scenarios!$C$3:$C$27=TRUE()),Scenarios!$V$3:$V$27,'09_Phase_Factors'!$K$4:$K$28)</f>
        <v>270</v>
      </c>
      <c r="J7" s="234" t="n">
        <f aca="false">SUMPRODUCT(--(Scenarios!$C$3:$C$27=TRUE()),Scenarios!$V$3:$V$27,'09_Phase_Factors'!$L$4:$L$28)</f>
        <v>270</v>
      </c>
      <c r="K7" s="234" t="n">
        <f aca="false">SUMPRODUCT(--(Scenarios!$C$3:$C$27=TRUE()),Scenarios!$V$3:$V$27,'09_Phase_Factors'!$M$4:$M$28)</f>
        <v>270</v>
      </c>
      <c r="L7" s="234" t="n">
        <f aca="false">SUMPRODUCT(--(Scenarios!$C$3:$C$27=TRUE()),Scenarios!$V$3:$V$27,'09_Phase_Factors'!$N$4:$N$28)</f>
        <v>270</v>
      </c>
      <c r="M7" s="234" t="n">
        <f aca="false">SUMPRODUCT(--(Scenarios!$C$3:$C$27=TRUE()),Scenarios!$V$3:$V$27,'09_Phase_Factors'!$O$4:$O$28)</f>
        <v>270</v>
      </c>
      <c r="N7" s="234" t="n">
        <f aca="false">SUMPRODUCT(--(Scenarios!$C$3:$C$27=TRUE()),Scenarios!$V$3:$V$27,'09_Phase_Factors'!$P$4:$P$28)</f>
        <v>270</v>
      </c>
      <c r="O7" s="234" t="n">
        <f aca="false">SUMPRODUCT(--(Scenarios!$C$3:$C$27=TRUE()),Scenarios!$V$3:$V$27,'09_Phase_Factors'!$Q$4:$Q$28)</f>
        <v>270</v>
      </c>
      <c r="P7" s="234" t="n">
        <f aca="false">SUMPRODUCT(--(Scenarios!$C$3:$C$27=TRUE()),Scenarios!$V$3:$V$27,'09_Phase_Factors'!$R$4:$R$28)</f>
        <v>270</v>
      </c>
      <c r="Q7" s="234" t="n">
        <f aca="false">SUMPRODUCT(--(Scenarios!$C$3:$C$27=TRUE()),Scenarios!$V$3:$V$27,'09_Phase_Factors'!$S$4:$S$28)</f>
        <v>270</v>
      </c>
      <c r="R7" s="234" t="n">
        <f aca="false">SUMPRODUCT(--(Scenarios!$C$3:$C$27=TRUE()),Scenarios!$V$3:$V$27,'09_Phase_Factors'!$T$4:$T$28)</f>
        <v>270</v>
      </c>
      <c r="S7" s="234" t="n">
        <f aca="false">SUMPRODUCT(--(Scenarios!$C$3:$C$27=TRUE()),Scenarios!$V$3:$V$27,'09_Phase_Factors'!$U$4:$U$28)</f>
        <v>270</v>
      </c>
      <c r="T7" s="234" t="n">
        <f aca="false">SUMPRODUCT(--(Scenarios!$C$3:$C$27=TRUE()),Scenarios!$V$3:$V$27,'09_Phase_Factors'!$V$4:$V$28)</f>
        <v>270</v>
      </c>
      <c r="U7" s="234" t="n">
        <f aca="false">SUMPRODUCT(--(Scenarios!$C$3:$C$27=TRUE()),Scenarios!$V$3:$V$27,'09_Phase_Factors'!$W$4:$W$28)</f>
        <v>270</v>
      </c>
      <c r="V7" s="234" t="n">
        <f aca="false">SUMPRODUCT(--(Scenarios!$C$3:$C$27=TRUE()),Scenarios!$V$3:$V$27,'09_Phase_Factors'!$X$4:$X$28)</f>
        <v>270</v>
      </c>
      <c r="W7" s="234" t="n">
        <f aca="false">SUMPRODUCT(--(Scenarios!$C$3:$C$27=TRUE()),Scenarios!$V$3:$V$27,'09_Phase_Factors'!$Y$4:$Y$28)</f>
        <v>270</v>
      </c>
      <c r="X7" s="234" t="n">
        <f aca="false">SUMPRODUCT(--(Scenarios!$C$3:$C$27=TRUE()),Scenarios!$V$3:$V$27,'09_Phase_Factors'!$Z$4:$Z$28)</f>
        <v>270</v>
      </c>
      <c r="Y7" s="234" t="n">
        <f aca="false">SUMPRODUCT(--(Scenarios!$C$3:$C$27=TRUE()),Scenarios!$V$3:$V$27,'09_Phase_Factors'!$AA$4:$AA$28)</f>
        <v>270</v>
      </c>
      <c r="Z7" s="234" t="n">
        <f aca="false">SUMPRODUCT(--(Scenarios!$C$3:$C$27=TRUE()),Scenarios!$V$3:$V$27,'09_Phase_Factors'!$AB$4:$AB$28)</f>
        <v>270</v>
      </c>
      <c r="AA7" s="234" t="n">
        <f aca="false">SUMPRODUCT(--(Scenarios!$C$3:$C$27=TRUE()),Scenarios!$V$3:$V$27,'09_Phase_Factors'!$AC$4:$AC$28)</f>
        <v>270</v>
      </c>
      <c r="AB7" s="234" t="n">
        <f aca="false">SUMPRODUCT(--(Scenarios!$C$3:$C$27=TRUE()),Scenarios!$V$3:$V$27,'09_Phase_Factors'!$AD$4:$AD$28)</f>
        <v>270</v>
      </c>
      <c r="AC7" s="234" t="n">
        <f aca="false">SUMPRODUCT(--(Scenarios!$C$3:$C$27=TRUE()),Scenarios!$V$3:$V$27,'09_Phase_Factors'!$AE$4:$AE$28)</f>
        <v>270</v>
      </c>
      <c r="AD7" s="234" t="n">
        <f aca="false">SUMPRODUCT(--(Scenarios!$C$3:$C$27=TRUE()),Scenarios!$V$3:$V$27,'09_Phase_Factors'!$AF$4:$AF$28)</f>
        <v>270</v>
      </c>
      <c r="AE7" s="234" t="n">
        <f aca="false">SUMPRODUCT(--(Scenarios!$C$3:$C$27=TRUE()),Scenarios!$V$3:$V$27,'09_Phase_Factors'!$AG$4:$AG$28)</f>
        <v>270</v>
      </c>
      <c r="AF7" s="161"/>
    </row>
    <row r="8" customFormat="false" ht="15" hidden="false" customHeight="true" outlineLevel="0" collapsed="false">
      <c r="A8" s="161" t="s">
        <v>780</v>
      </c>
      <c r="B8" s="234" t="n">
        <f aca="false">SUMPRODUCT(--(Scenarios!$C$3:$C$27=TRUE()),Scenarios!$U$3:$U$27,'09_Phase_Factors'!$D$30:$D$54)</f>
        <v>20</v>
      </c>
      <c r="C8" s="234" t="n">
        <f aca="false">SUMPRODUCT(--(Scenarios!$C$3:$C$27=TRUE()),Scenarios!$U$3:$U$27,'09_Phase_Factors'!$E$30:$E$54)</f>
        <v>20</v>
      </c>
      <c r="D8" s="234" t="n">
        <f aca="false">SUMPRODUCT(--(Scenarios!$C$3:$C$27=TRUE()),Scenarios!$U$3:$U$27,'09_Phase_Factors'!$F$30:$F$54)</f>
        <v>20</v>
      </c>
      <c r="E8" s="234" t="n">
        <f aca="false">SUMPRODUCT(--(Scenarios!$C$3:$C$27=TRUE()),Scenarios!$U$3:$U$27,'09_Phase_Factors'!$G$30:$G$54)</f>
        <v>20</v>
      </c>
      <c r="F8" s="234" t="n">
        <f aca="false">SUMPRODUCT(--(Scenarios!$C$3:$C$27=TRUE()),Scenarios!$U$3:$U$27,'09_Phase_Factors'!$H$30:$H$54)</f>
        <v>20</v>
      </c>
      <c r="G8" s="234" t="n">
        <f aca="false">SUMPRODUCT(--(Scenarios!$C$3:$C$27=TRUE()),Scenarios!$U$3:$U$27,'09_Phase_Factors'!$I$30:$I$54)</f>
        <v>0</v>
      </c>
      <c r="H8" s="234" t="n">
        <f aca="false">SUMPRODUCT(--(Scenarios!$C$3:$C$27=TRUE()),Scenarios!$U$3:$U$27,'09_Phase_Factors'!$J$30:$J$54)</f>
        <v>0</v>
      </c>
      <c r="I8" s="234" t="n">
        <f aca="false">SUMPRODUCT(--(Scenarios!$C$3:$C$27=TRUE()),Scenarios!$U$3:$U$27,'09_Phase_Factors'!$K$30:$K$54)</f>
        <v>0</v>
      </c>
      <c r="J8" s="234" t="n">
        <f aca="false">SUMPRODUCT(--(Scenarios!$C$3:$C$27=TRUE()),Scenarios!$U$3:$U$27,'09_Phase_Factors'!$L$30:$L$54)</f>
        <v>0</v>
      </c>
      <c r="K8" s="234" t="n">
        <f aca="false">SUMPRODUCT(--(Scenarios!$C$3:$C$27=TRUE()),Scenarios!$U$3:$U$27,'09_Phase_Factors'!$M$30:$M$54)</f>
        <v>0</v>
      </c>
      <c r="L8" s="234" t="n">
        <f aca="false">SUMPRODUCT(--(Scenarios!$C$3:$C$27=TRUE()),Scenarios!$U$3:$U$27,'09_Phase_Factors'!$N$30:$N$54)</f>
        <v>0</v>
      </c>
      <c r="M8" s="234" t="n">
        <f aca="false">SUMPRODUCT(--(Scenarios!$C$3:$C$27=TRUE()),Scenarios!$U$3:$U$27,'09_Phase_Factors'!$O$30:$O$54)</f>
        <v>0</v>
      </c>
      <c r="N8" s="234" t="n">
        <f aca="false">SUMPRODUCT(--(Scenarios!$C$3:$C$27=TRUE()),Scenarios!$U$3:$U$27,'09_Phase_Factors'!$P$30:$P$54)</f>
        <v>0</v>
      </c>
      <c r="O8" s="234" t="n">
        <f aca="false">SUMPRODUCT(--(Scenarios!$C$3:$C$27=TRUE()),Scenarios!$U$3:$U$27,'09_Phase_Factors'!$Q$30:$Q$54)</f>
        <v>0</v>
      </c>
      <c r="P8" s="234" t="n">
        <f aca="false">SUMPRODUCT(--(Scenarios!$C$3:$C$27=TRUE()),Scenarios!$U$3:$U$27,'09_Phase_Factors'!$R$30:$R$54)</f>
        <v>0</v>
      </c>
      <c r="Q8" s="234" t="n">
        <f aca="false">SUMPRODUCT(--(Scenarios!$C$3:$C$27=TRUE()),Scenarios!$U$3:$U$27,'09_Phase_Factors'!$S$30:$S$54)</f>
        <v>0</v>
      </c>
      <c r="R8" s="234" t="n">
        <f aca="false">SUMPRODUCT(--(Scenarios!$C$3:$C$27=TRUE()),Scenarios!$U$3:$U$27,'09_Phase_Factors'!$T$30:$T$54)</f>
        <v>0</v>
      </c>
      <c r="S8" s="234" t="n">
        <f aca="false">SUMPRODUCT(--(Scenarios!$C$3:$C$27=TRUE()),Scenarios!$U$3:$U$27,'09_Phase_Factors'!$U$30:$U$54)</f>
        <v>0</v>
      </c>
      <c r="T8" s="234" t="n">
        <f aca="false">SUMPRODUCT(--(Scenarios!$C$3:$C$27=TRUE()),Scenarios!$U$3:$U$27,'09_Phase_Factors'!$V$30:$V$54)</f>
        <v>0</v>
      </c>
      <c r="U8" s="234" t="n">
        <f aca="false">SUMPRODUCT(--(Scenarios!$C$3:$C$27=TRUE()),Scenarios!$U$3:$U$27,'09_Phase_Factors'!$W$30:$W$54)</f>
        <v>0</v>
      </c>
      <c r="V8" s="234" t="n">
        <f aca="false">SUMPRODUCT(--(Scenarios!$C$3:$C$27=TRUE()),Scenarios!$U$3:$U$27,'09_Phase_Factors'!$X$30:$X$54)</f>
        <v>0</v>
      </c>
      <c r="W8" s="234" t="n">
        <f aca="false">SUMPRODUCT(--(Scenarios!$C$3:$C$27=TRUE()),Scenarios!$U$3:$U$27,'09_Phase_Factors'!$Y$30:$Y$54)</f>
        <v>0</v>
      </c>
      <c r="X8" s="234" t="n">
        <f aca="false">SUMPRODUCT(--(Scenarios!$C$3:$C$27=TRUE()),Scenarios!$U$3:$U$27,'09_Phase_Factors'!$Z$30:$Z$54)</f>
        <v>0</v>
      </c>
      <c r="Y8" s="234" t="n">
        <f aca="false">SUMPRODUCT(--(Scenarios!$C$3:$C$27=TRUE()),Scenarios!$U$3:$U$27,'09_Phase_Factors'!$AA$30:$AA$54)</f>
        <v>0</v>
      </c>
      <c r="Z8" s="234" t="n">
        <f aca="false">SUMPRODUCT(--(Scenarios!$C$3:$C$27=TRUE()),Scenarios!$U$3:$U$27,'09_Phase_Factors'!$AB$30:$AB$54)</f>
        <v>0</v>
      </c>
      <c r="AA8" s="234" t="n">
        <f aca="false">SUMPRODUCT(--(Scenarios!$C$3:$C$27=TRUE()),Scenarios!$U$3:$U$27,'09_Phase_Factors'!$AC$30:$AC$54)</f>
        <v>0</v>
      </c>
      <c r="AB8" s="234" t="n">
        <f aca="false">SUMPRODUCT(--(Scenarios!$C$3:$C$27=TRUE()),Scenarios!$U$3:$U$27,'09_Phase_Factors'!$AD$30:$AD$54)</f>
        <v>0</v>
      </c>
      <c r="AC8" s="234" t="n">
        <f aca="false">SUMPRODUCT(--(Scenarios!$C$3:$C$27=TRUE()),Scenarios!$U$3:$U$27,'09_Phase_Factors'!$AE$30:$AE$54)</f>
        <v>0</v>
      </c>
      <c r="AD8" s="234" t="n">
        <f aca="false">SUMPRODUCT(--(Scenarios!$C$3:$C$27=TRUE()),Scenarios!$U$3:$U$27,'09_Phase_Factors'!$AF$30:$AF$54)</f>
        <v>0</v>
      </c>
      <c r="AE8" s="234" t="n">
        <f aca="false">SUMPRODUCT(--(Scenarios!$C$3:$C$27=TRUE()),Scenarios!$U$3:$U$27,'09_Phase_Factors'!$AG$30:$AG$54)</f>
        <v>0</v>
      </c>
      <c r="AF8" s="161"/>
    </row>
    <row r="9" customFormat="false" ht="15" hidden="false" customHeight="true" outlineLevel="0" collapsed="false">
      <c r="A9" s="161" t="s">
        <v>781</v>
      </c>
      <c r="B9" s="234" t="n">
        <f aca="false">SUMPRODUCT(--(Scenarios!$C$3:$C$27=TRUE()),Scenarios!$U$3:$U$27,'09_Phase_Factors'!$D$4:$D$28)</f>
        <v>20</v>
      </c>
      <c r="C9" s="234" t="n">
        <f aca="false">SUMPRODUCT(--(Scenarios!$C$3:$C$27=TRUE()),Scenarios!$U$3:$U$27,'09_Phase_Factors'!$E$4:$E$28)</f>
        <v>40</v>
      </c>
      <c r="D9" s="234" t="n">
        <f aca="false">SUMPRODUCT(--(Scenarios!$C$3:$C$27=TRUE()),Scenarios!$U$3:$U$27,'09_Phase_Factors'!$F$4:$F$28)</f>
        <v>60</v>
      </c>
      <c r="E9" s="234" t="n">
        <f aca="false">SUMPRODUCT(--(Scenarios!$C$3:$C$27=TRUE()),Scenarios!$U$3:$U$27,'09_Phase_Factors'!$G$4:$G$28)</f>
        <v>80</v>
      </c>
      <c r="F9" s="234" t="n">
        <f aca="false">SUMPRODUCT(--(Scenarios!$C$3:$C$27=TRUE()),Scenarios!$U$3:$U$27,'09_Phase_Factors'!$H$4:$H$28)</f>
        <v>100</v>
      </c>
      <c r="G9" s="234" t="n">
        <f aca="false">SUMPRODUCT(--(Scenarios!$C$3:$C$27=TRUE()),Scenarios!$U$3:$U$27,'09_Phase_Factors'!$I$4:$I$28)</f>
        <v>100</v>
      </c>
      <c r="H9" s="234" t="n">
        <f aca="false">SUMPRODUCT(--(Scenarios!$C$3:$C$27=TRUE()),Scenarios!$U$3:$U$27,'09_Phase_Factors'!$J$4:$J$28)</f>
        <v>100</v>
      </c>
      <c r="I9" s="234" t="n">
        <f aca="false">SUMPRODUCT(--(Scenarios!$C$3:$C$27=TRUE()),Scenarios!$U$3:$U$27,'09_Phase_Factors'!$K$4:$K$28)</f>
        <v>100</v>
      </c>
      <c r="J9" s="234" t="n">
        <f aca="false">SUMPRODUCT(--(Scenarios!$C$3:$C$27=TRUE()),Scenarios!$U$3:$U$27,'09_Phase_Factors'!$L$4:$L$28)</f>
        <v>100</v>
      </c>
      <c r="K9" s="234" t="n">
        <f aca="false">SUMPRODUCT(--(Scenarios!$C$3:$C$27=TRUE()),Scenarios!$U$3:$U$27,'09_Phase_Factors'!$M$4:$M$28)</f>
        <v>100</v>
      </c>
      <c r="L9" s="234" t="n">
        <f aca="false">SUMPRODUCT(--(Scenarios!$C$3:$C$27=TRUE()),Scenarios!$U$3:$U$27,'09_Phase_Factors'!$N$4:$N$28)</f>
        <v>100</v>
      </c>
      <c r="M9" s="234" t="n">
        <f aca="false">SUMPRODUCT(--(Scenarios!$C$3:$C$27=TRUE()),Scenarios!$U$3:$U$27,'09_Phase_Factors'!$O$4:$O$28)</f>
        <v>100</v>
      </c>
      <c r="N9" s="234" t="n">
        <f aca="false">SUMPRODUCT(--(Scenarios!$C$3:$C$27=TRUE()),Scenarios!$U$3:$U$27,'09_Phase_Factors'!$P$4:$P$28)</f>
        <v>100</v>
      </c>
      <c r="O9" s="234" t="n">
        <f aca="false">SUMPRODUCT(--(Scenarios!$C$3:$C$27=TRUE()),Scenarios!$U$3:$U$27,'09_Phase_Factors'!$Q$4:$Q$28)</f>
        <v>100</v>
      </c>
      <c r="P9" s="234" t="n">
        <f aca="false">SUMPRODUCT(--(Scenarios!$C$3:$C$27=TRUE()),Scenarios!$U$3:$U$27,'09_Phase_Factors'!$R$4:$R$28)</f>
        <v>100</v>
      </c>
      <c r="Q9" s="234" t="n">
        <f aca="false">SUMPRODUCT(--(Scenarios!$C$3:$C$27=TRUE()),Scenarios!$U$3:$U$27,'09_Phase_Factors'!$S$4:$S$28)</f>
        <v>100</v>
      </c>
      <c r="R9" s="234" t="n">
        <f aca="false">SUMPRODUCT(--(Scenarios!$C$3:$C$27=TRUE()),Scenarios!$U$3:$U$27,'09_Phase_Factors'!$T$4:$T$28)</f>
        <v>100</v>
      </c>
      <c r="S9" s="234" t="n">
        <f aca="false">SUMPRODUCT(--(Scenarios!$C$3:$C$27=TRUE()),Scenarios!$U$3:$U$27,'09_Phase_Factors'!$U$4:$U$28)</f>
        <v>100</v>
      </c>
      <c r="T9" s="234" t="n">
        <f aca="false">SUMPRODUCT(--(Scenarios!$C$3:$C$27=TRUE()),Scenarios!$U$3:$U$27,'09_Phase_Factors'!$V$4:$V$28)</f>
        <v>100</v>
      </c>
      <c r="U9" s="234" t="n">
        <f aca="false">SUMPRODUCT(--(Scenarios!$C$3:$C$27=TRUE()),Scenarios!$U$3:$U$27,'09_Phase_Factors'!$W$4:$W$28)</f>
        <v>100</v>
      </c>
      <c r="V9" s="234" t="n">
        <f aca="false">SUMPRODUCT(--(Scenarios!$C$3:$C$27=TRUE()),Scenarios!$U$3:$U$27,'09_Phase_Factors'!$X$4:$X$28)</f>
        <v>100</v>
      </c>
      <c r="W9" s="234" t="n">
        <f aca="false">SUMPRODUCT(--(Scenarios!$C$3:$C$27=TRUE()),Scenarios!$U$3:$U$27,'09_Phase_Factors'!$Y$4:$Y$28)</f>
        <v>100</v>
      </c>
      <c r="X9" s="234" t="n">
        <f aca="false">SUMPRODUCT(--(Scenarios!$C$3:$C$27=TRUE()),Scenarios!$U$3:$U$27,'09_Phase_Factors'!$Z$4:$Z$28)</f>
        <v>100</v>
      </c>
      <c r="Y9" s="234" t="n">
        <f aca="false">SUMPRODUCT(--(Scenarios!$C$3:$C$27=TRUE()),Scenarios!$U$3:$U$27,'09_Phase_Factors'!$AA$4:$AA$28)</f>
        <v>100</v>
      </c>
      <c r="Z9" s="234" t="n">
        <f aca="false">SUMPRODUCT(--(Scenarios!$C$3:$C$27=TRUE()),Scenarios!$U$3:$U$27,'09_Phase_Factors'!$AB$4:$AB$28)</f>
        <v>100</v>
      </c>
      <c r="AA9" s="234" t="n">
        <f aca="false">SUMPRODUCT(--(Scenarios!$C$3:$C$27=TRUE()),Scenarios!$U$3:$U$27,'09_Phase_Factors'!$AC$4:$AC$28)</f>
        <v>100</v>
      </c>
      <c r="AB9" s="234" t="n">
        <f aca="false">SUMPRODUCT(--(Scenarios!$C$3:$C$27=TRUE()),Scenarios!$U$3:$U$27,'09_Phase_Factors'!$AD$4:$AD$28)</f>
        <v>100</v>
      </c>
      <c r="AC9" s="234" t="n">
        <f aca="false">SUMPRODUCT(--(Scenarios!$C$3:$C$27=TRUE()),Scenarios!$U$3:$U$27,'09_Phase_Factors'!$AE$4:$AE$28)</f>
        <v>100</v>
      </c>
      <c r="AD9" s="234" t="n">
        <f aca="false">SUMPRODUCT(--(Scenarios!$C$3:$C$27=TRUE()),Scenarios!$U$3:$U$27,'09_Phase_Factors'!$AF$4:$AF$28)</f>
        <v>100</v>
      </c>
      <c r="AE9" s="234" t="n">
        <f aca="false">SUMPRODUCT(--(Scenarios!$C$3:$C$27=TRUE()),Scenarios!$U$3:$U$27,'09_Phase_Factors'!$AG$4:$AG$28)</f>
        <v>100</v>
      </c>
      <c r="AF9" s="161"/>
    </row>
    <row r="10" customFormat="false" ht="15" hidden="false" customHeight="true" outlineLevel="0" collapsed="false">
      <c r="A10" s="161" t="s">
        <v>782</v>
      </c>
      <c r="B10" s="234" t="n">
        <f aca="false">SUMPRODUCT(--(Scenarios!$C$3:$C$27=TRUE()),Scenarios!$T$3:$T$27,'09_Phase_Factors'!$D$4:$D$28)</f>
        <v>45000</v>
      </c>
      <c r="C10" s="234" t="n">
        <f aca="false">SUMPRODUCT(--(Scenarios!$C$3:$C$27=TRUE()),Scenarios!$T$3:$T$27,'09_Phase_Factors'!$E$4:$E$28)</f>
        <v>90000</v>
      </c>
      <c r="D10" s="234" t="n">
        <f aca="false">SUMPRODUCT(--(Scenarios!$C$3:$C$27=TRUE()),Scenarios!$T$3:$T$27,'09_Phase_Factors'!$F$4:$F$28)</f>
        <v>135000</v>
      </c>
      <c r="E10" s="234" t="n">
        <f aca="false">SUMPRODUCT(--(Scenarios!$C$3:$C$27=TRUE()),Scenarios!$T$3:$T$27,'09_Phase_Factors'!$G$4:$G$28)</f>
        <v>180000</v>
      </c>
      <c r="F10" s="234" t="n">
        <f aca="false">SUMPRODUCT(--(Scenarios!$C$3:$C$27=TRUE()),Scenarios!$T$3:$T$27,'09_Phase_Factors'!$H$4:$H$28)</f>
        <v>180000</v>
      </c>
      <c r="G10" s="234" t="n">
        <f aca="false">SUMPRODUCT(--(Scenarios!$C$3:$C$27=TRUE()),Scenarios!$T$3:$T$27,'09_Phase_Factors'!$I$4:$I$28)</f>
        <v>180000</v>
      </c>
      <c r="H10" s="234" t="n">
        <f aca="false">SUMPRODUCT(--(Scenarios!$C$3:$C$27=TRUE()),Scenarios!$T$3:$T$27,'09_Phase_Factors'!$J$4:$J$28)</f>
        <v>180000</v>
      </c>
      <c r="I10" s="234" t="n">
        <f aca="false">SUMPRODUCT(--(Scenarios!$C$3:$C$27=TRUE()),Scenarios!$T$3:$T$27,'09_Phase_Factors'!$K$4:$K$28)</f>
        <v>180000</v>
      </c>
      <c r="J10" s="234" t="n">
        <f aca="false">SUMPRODUCT(--(Scenarios!$C$3:$C$27=TRUE()),Scenarios!$T$3:$T$27,'09_Phase_Factors'!$L$4:$L$28)</f>
        <v>180000</v>
      </c>
      <c r="K10" s="234" t="n">
        <f aca="false">SUMPRODUCT(--(Scenarios!$C$3:$C$27=TRUE()),Scenarios!$T$3:$T$27,'09_Phase_Factors'!$M$4:$M$28)</f>
        <v>180000</v>
      </c>
      <c r="L10" s="234" t="n">
        <f aca="false">SUMPRODUCT(--(Scenarios!$C$3:$C$27=TRUE()),Scenarios!$T$3:$T$27,'09_Phase_Factors'!$N$4:$N$28)</f>
        <v>180000</v>
      </c>
      <c r="M10" s="234" t="n">
        <f aca="false">SUMPRODUCT(--(Scenarios!$C$3:$C$27=TRUE()),Scenarios!$T$3:$T$27,'09_Phase_Factors'!$O$4:$O$28)</f>
        <v>180000</v>
      </c>
      <c r="N10" s="234" t="n">
        <f aca="false">SUMPRODUCT(--(Scenarios!$C$3:$C$27=TRUE()),Scenarios!$T$3:$T$27,'09_Phase_Factors'!$P$4:$P$28)</f>
        <v>180000</v>
      </c>
      <c r="O10" s="234" t="n">
        <f aca="false">SUMPRODUCT(--(Scenarios!$C$3:$C$27=TRUE()),Scenarios!$T$3:$T$27,'09_Phase_Factors'!$Q$4:$Q$28)</f>
        <v>180000</v>
      </c>
      <c r="P10" s="234" t="n">
        <f aca="false">SUMPRODUCT(--(Scenarios!$C$3:$C$27=TRUE()),Scenarios!$T$3:$T$27,'09_Phase_Factors'!$R$4:$R$28)</f>
        <v>180000</v>
      </c>
      <c r="Q10" s="234" t="n">
        <f aca="false">SUMPRODUCT(--(Scenarios!$C$3:$C$27=TRUE()),Scenarios!$T$3:$T$27,'09_Phase_Factors'!$S$4:$S$28)</f>
        <v>180000</v>
      </c>
      <c r="R10" s="234" t="n">
        <f aca="false">SUMPRODUCT(--(Scenarios!$C$3:$C$27=TRUE()),Scenarios!$T$3:$T$27,'09_Phase_Factors'!$T$4:$T$28)</f>
        <v>180000</v>
      </c>
      <c r="S10" s="234" t="n">
        <f aca="false">SUMPRODUCT(--(Scenarios!$C$3:$C$27=TRUE()),Scenarios!$T$3:$T$27,'09_Phase_Factors'!$U$4:$U$28)</f>
        <v>180000</v>
      </c>
      <c r="T10" s="234" t="n">
        <f aca="false">SUMPRODUCT(--(Scenarios!$C$3:$C$27=TRUE()),Scenarios!$T$3:$T$27,'09_Phase_Factors'!$V$4:$V$28)</f>
        <v>180000</v>
      </c>
      <c r="U10" s="234" t="n">
        <f aca="false">SUMPRODUCT(--(Scenarios!$C$3:$C$27=TRUE()),Scenarios!$T$3:$T$27,'09_Phase_Factors'!$W$4:$W$28)</f>
        <v>180000</v>
      </c>
      <c r="V10" s="234" t="n">
        <f aca="false">SUMPRODUCT(--(Scenarios!$C$3:$C$27=TRUE()),Scenarios!$T$3:$T$27,'09_Phase_Factors'!$X$4:$X$28)</f>
        <v>180000</v>
      </c>
      <c r="W10" s="234" t="n">
        <f aca="false">SUMPRODUCT(--(Scenarios!$C$3:$C$27=TRUE()),Scenarios!$T$3:$T$27,'09_Phase_Factors'!$Y$4:$Y$28)</f>
        <v>180000</v>
      </c>
      <c r="X10" s="234" t="n">
        <f aca="false">SUMPRODUCT(--(Scenarios!$C$3:$C$27=TRUE()),Scenarios!$T$3:$T$27,'09_Phase_Factors'!$Z$4:$Z$28)</f>
        <v>180000</v>
      </c>
      <c r="Y10" s="234" t="n">
        <f aca="false">SUMPRODUCT(--(Scenarios!$C$3:$C$27=TRUE()),Scenarios!$T$3:$T$27,'09_Phase_Factors'!$AA$4:$AA$28)</f>
        <v>180000</v>
      </c>
      <c r="Z10" s="234" t="n">
        <f aca="false">SUMPRODUCT(--(Scenarios!$C$3:$C$27=TRUE()),Scenarios!$T$3:$T$27,'09_Phase_Factors'!$AB$4:$AB$28)</f>
        <v>180000</v>
      </c>
      <c r="AA10" s="234" t="n">
        <f aca="false">SUMPRODUCT(--(Scenarios!$C$3:$C$27=TRUE()),Scenarios!$T$3:$T$27,'09_Phase_Factors'!$AC$4:$AC$28)</f>
        <v>180000</v>
      </c>
      <c r="AB10" s="234" t="n">
        <f aca="false">SUMPRODUCT(--(Scenarios!$C$3:$C$27=TRUE()),Scenarios!$T$3:$T$27,'09_Phase_Factors'!$AD$4:$AD$28)</f>
        <v>180000</v>
      </c>
      <c r="AC10" s="234" t="n">
        <f aca="false">SUMPRODUCT(--(Scenarios!$C$3:$C$27=TRUE()),Scenarios!$T$3:$T$27,'09_Phase_Factors'!$AE$4:$AE$28)</f>
        <v>180000</v>
      </c>
      <c r="AD10" s="234" t="n">
        <f aca="false">SUMPRODUCT(--(Scenarios!$C$3:$C$27=TRUE()),Scenarios!$T$3:$T$27,'09_Phase_Factors'!$AF$4:$AF$28)</f>
        <v>180000</v>
      </c>
      <c r="AE10" s="234" t="n">
        <f aca="false">SUMPRODUCT(--(Scenarios!$C$3:$C$27=TRUE()),Scenarios!$T$3:$T$27,'09_Phase_Factors'!$AG$4:$AG$28)</f>
        <v>180000</v>
      </c>
      <c r="AF10" s="161"/>
    </row>
    <row r="11" customFormat="false" ht="15" hidden="false" customHeight="true" outlineLevel="0" collapsed="false">
      <c r="A11" s="161" t="s">
        <v>783</v>
      </c>
      <c r="B11" s="235" t="n">
        <f aca="false">SUMPRODUCT(--(Scenarios!$C$3:$C$27=TRUE()),Scenarios!$P$3:$P$27,'09_Phase_Factors'!$D$4:$D$28)</f>
        <v>7525000</v>
      </c>
      <c r="C11" s="235" t="n">
        <f aca="false">SUMPRODUCT(--(Scenarios!$C$3:$C$27=TRUE()),Scenarios!$P$3:$P$27,'09_Phase_Factors'!$E$4:$E$28)</f>
        <v>15050000</v>
      </c>
      <c r="D11" s="235" t="n">
        <f aca="false">SUMPRODUCT(--(Scenarios!$C$3:$C$27=TRUE()),Scenarios!$P$3:$P$27,'09_Phase_Factors'!$F$4:$F$28)</f>
        <v>22575000</v>
      </c>
      <c r="E11" s="235" t="n">
        <f aca="false">SUMPRODUCT(--(Scenarios!$C$3:$C$27=TRUE()),Scenarios!$P$3:$P$27,'09_Phase_Factors'!$G$4:$G$28)</f>
        <v>30100000</v>
      </c>
      <c r="F11" s="235" t="n">
        <f aca="false">SUMPRODUCT(--(Scenarios!$C$3:$C$27=TRUE()),Scenarios!$P$3:$P$27,'09_Phase_Factors'!$H$4:$H$28)</f>
        <v>35500000</v>
      </c>
      <c r="G11" s="235" t="n">
        <f aca="false">SUMPRODUCT(--(Scenarios!$C$3:$C$27=TRUE()),Scenarios!$P$3:$P$27,'09_Phase_Factors'!$I$4:$I$28)</f>
        <v>35500000</v>
      </c>
      <c r="H11" s="235" t="n">
        <f aca="false">SUMPRODUCT(--(Scenarios!$C$3:$C$27=TRUE()),Scenarios!$P$3:$P$27,'09_Phase_Factors'!$J$4:$J$28)</f>
        <v>35500000</v>
      </c>
      <c r="I11" s="235" t="n">
        <f aca="false">SUMPRODUCT(--(Scenarios!$C$3:$C$27=TRUE()),Scenarios!$P$3:$P$27,'09_Phase_Factors'!$K$4:$K$28)</f>
        <v>35500000</v>
      </c>
      <c r="J11" s="235" t="n">
        <f aca="false">SUMPRODUCT(--(Scenarios!$C$3:$C$27=TRUE()),Scenarios!$P$3:$P$27,'09_Phase_Factors'!$L$4:$L$28)</f>
        <v>35500000</v>
      </c>
      <c r="K11" s="235" t="n">
        <f aca="false">SUMPRODUCT(--(Scenarios!$C$3:$C$27=TRUE()),Scenarios!$P$3:$P$27,'09_Phase_Factors'!$M$4:$M$28)</f>
        <v>35500000</v>
      </c>
      <c r="L11" s="235" t="n">
        <f aca="false">SUMPRODUCT(--(Scenarios!$C$3:$C$27=TRUE()),Scenarios!$P$3:$P$27,'09_Phase_Factors'!$N$4:$N$28)</f>
        <v>35500000</v>
      </c>
      <c r="M11" s="235" t="n">
        <f aca="false">SUMPRODUCT(--(Scenarios!$C$3:$C$27=TRUE()),Scenarios!$P$3:$P$27,'09_Phase_Factors'!$O$4:$O$28)</f>
        <v>35500000</v>
      </c>
      <c r="N11" s="235" t="n">
        <f aca="false">SUMPRODUCT(--(Scenarios!$C$3:$C$27=TRUE()),Scenarios!$P$3:$P$27,'09_Phase_Factors'!$P$4:$P$28)</f>
        <v>35500000</v>
      </c>
      <c r="O11" s="235" t="n">
        <f aca="false">SUMPRODUCT(--(Scenarios!$C$3:$C$27=TRUE()),Scenarios!$P$3:$P$27,'09_Phase_Factors'!$Q$4:$Q$28)</f>
        <v>35500000</v>
      </c>
      <c r="P11" s="235" t="n">
        <f aca="false">SUMPRODUCT(--(Scenarios!$C$3:$C$27=TRUE()),Scenarios!$P$3:$P$27,'09_Phase_Factors'!$R$4:$R$28)</f>
        <v>35500000</v>
      </c>
      <c r="Q11" s="235" t="n">
        <f aca="false">SUMPRODUCT(--(Scenarios!$C$3:$C$27=TRUE()),Scenarios!$P$3:$P$27,'09_Phase_Factors'!$S$4:$S$28)</f>
        <v>35500000</v>
      </c>
      <c r="R11" s="235" t="n">
        <f aca="false">SUMPRODUCT(--(Scenarios!$C$3:$C$27=TRUE()),Scenarios!$P$3:$P$27,'09_Phase_Factors'!$T$4:$T$28)</f>
        <v>35500000</v>
      </c>
      <c r="S11" s="235" t="n">
        <f aca="false">SUMPRODUCT(--(Scenarios!$C$3:$C$27=TRUE()),Scenarios!$P$3:$P$27,'09_Phase_Factors'!$U$4:$U$28)</f>
        <v>35500000</v>
      </c>
      <c r="T11" s="235" t="n">
        <f aca="false">SUMPRODUCT(--(Scenarios!$C$3:$C$27=TRUE()),Scenarios!$P$3:$P$27,'09_Phase_Factors'!$V$4:$V$28)</f>
        <v>35500000</v>
      </c>
      <c r="U11" s="235" t="n">
        <f aca="false">SUMPRODUCT(--(Scenarios!$C$3:$C$27=TRUE()),Scenarios!$P$3:$P$27,'09_Phase_Factors'!$W$4:$W$28)</f>
        <v>35500000</v>
      </c>
      <c r="V11" s="235" t="n">
        <f aca="false">SUMPRODUCT(--(Scenarios!$C$3:$C$27=TRUE()),Scenarios!$P$3:$P$27,'09_Phase_Factors'!$X$4:$X$28)</f>
        <v>35500000</v>
      </c>
      <c r="W11" s="235" t="n">
        <f aca="false">SUMPRODUCT(--(Scenarios!$C$3:$C$27=TRUE()),Scenarios!$P$3:$P$27,'09_Phase_Factors'!$Y$4:$Y$28)</f>
        <v>35500000</v>
      </c>
      <c r="X11" s="235" t="n">
        <f aca="false">SUMPRODUCT(--(Scenarios!$C$3:$C$27=TRUE()),Scenarios!$P$3:$P$27,'09_Phase_Factors'!$Z$4:$Z$28)</f>
        <v>35500000</v>
      </c>
      <c r="Y11" s="235" t="n">
        <f aca="false">SUMPRODUCT(--(Scenarios!$C$3:$C$27=TRUE()),Scenarios!$P$3:$P$27,'09_Phase_Factors'!$AA$4:$AA$28)</f>
        <v>35500000</v>
      </c>
      <c r="Z11" s="235" t="n">
        <f aca="false">SUMPRODUCT(--(Scenarios!$C$3:$C$27=TRUE()),Scenarios!$P$3:$P$27,'09_Phase_Factors'!$AB$4:$AB$28)</f>
        <v>35500000</v>
      </c>
      <c r="AA11" s="235" t="n">
        <f aca="false">SUMPRODUCT(--(Scenarios!$C$3:$C$27=TRUE()),Scenarios!$P$3:$P$27,'09_Phase_Factors'!$AC$4:$AC$28)</f>
        <v>35500000</v>
      </c>
      <c r="AB11" s="235" t="n">
        <f aca="false">SUMPRODUCT(--(Scenarios!$C$3:$C$27=TRUE()),Scenarios!$P$3:$P$27,'09_Phase_Factors'!$AD$4:$AD$28)</f>
        <v>35500000</v>
      </c>
      <c r="AC11" s="235" t="n">
        <f aca="false">SUMPRODUCT(--(Scenarios!$C$3:$C$27=TRUE()),Scenarios!$P$3:$P$27,'09_Phase_Factors'!$AE$4:$AE$28)</f>
        <v>35500000</v>
      </c>
      <c r="AD11" s="235" t="n">
        <f aca="false">SUMPRODUCT(--(Scenarios!$C$3:$C$27=TRUE()),Scenarios!$P$3:$P$27,'09_Phase_Factors'!$AF$4:$AF$28)</f>
        <v>35500000</v>
      </c>
      <c r="AE11" s="235" t="n">
        <f aca="false">SUMPRODUCT(--(Scenarios!$C$3:$C$27=TRUE()),Scenarios!$P$3:$P$27,'09_Phase_Factors'!$AG$4:$AG$28)</f>
        <v>35500000</v>
      </c>
      <c r="AF11" s="161"/>
    </row>
    <row r="12" customFormat="false" ht="15" hidden="false" customHeight="true" outlineLevel="0" collapsed="false">
      <c r="A12" s="161" t="s">
        <v>784</v>
      </c>
      <c r="B12" s="235" t="n">
        <f aca="false">SUMPRODUCT(--(Scenarios!$C$3:$C$27=TRUE()),Scenarios!$S$3:$S$27,'09_Phase_Factors'!$D$60:$D$84)*((1+'00_Inputs_Dashboard'!$B$14)^(1-1))</f>
        <v>0</v>
      </c>
      <c r="C12" s="235" t="n">
        <f aca="false">SUMPRODUCT(--(Scenarios!$C$3:$C$27=TRUE()),Scenarios!$S$3:$S$27,'09_Phase_Factors'!$E$60:$E$84)*((1+'00_Inputs_Dashboard'!$B$14)^(2-1))</f>
        <v>0</v>
      </c>
      <c r="D12" s="235" t="n">
        <f aca="false">SUMPRODUCT(--(Scenarios!$C$3:$C$27=TRUE()),Scenarios!$S$3:$S$27,'09_Phase_Factors'!$F$60:$F$84)*((1+'00_Inputs_Dashboard'!$B$14)^(3-1))</f>
        <v>0</v>
      </c>
      <c r="E12" s="235" t="n">
        <f aca="false">SUMPRODUCT(--(Scenarios!$C$3:$C$27=TRUE()),Scenarios!$S$3:$S$27,'09_Phase_Factors'!$G$60:$G$84)*((1+'00_Inputs_Dashboard'!$B$14)^(4-1))</f>
        <v>0</v>
      </c>
      <c r="F12" s="235" t="n">
        <f aca="false">SUMPRODUCT(--(Scenarios!$C$3:$C$27=TRUE()),Scenarios!$S$3:$S$27,'09_Phase_Factors'!$H$60:$H$84)*((1+'00_Inputs_Dashboard'!$B$14)^(5-1))</f>
        <v>102917308.05</v>
      </c>
      <c r="G12" s="235" t="n">
        <f aca="false">SUMPRODUCT(--(Scenarios!$C$3:$C$27=TRUE()),Scenarios!$S$3:$S$27,'09_Phase_Factors'!$I$60:$I$84)*((1+'00_Inputs_Dashboard'!$B$14)^(6-1))</f>
        <v>109606933.07325</v>
      </c>
      <c r="H12" s="235" t="n">
        <f aca="false">SUMPRODUCT(--(Scenarios!$C$3:$C$27=TRUE()),Scenarios!$S$3:$S$27,'09_Phase_Factors'!$J$60:$J$84)*((1+'00_Inputs_Dashboard'!$B$14)^(7-1))</f>
        <v>116731383.723011</v>
      </c>
      <c r="I12" s="235" t="n">
        <f aca="false">SUMPRODUCT(--(Scenarios!$C$3:$C$27=TRUE()),Scenarios!$S$3:$S$27,'09_Phase_Factors'!$K$60:$K$84)*((1+'00_Inputs_Dashboard'!$B$14)^(8-1))</f>
        <v>124318923.665007</v>
      </c>
      <c r="J12" s="235" t="n">
        <f aca="false">SUMPRODUCT(--(Scenarios!$C$3:$C$27=TRUE()),Scenarios!$S$3:$S$27,'09_Phase_Factors'!$L$60:$L$84)*((1+'00_Inputs_Dashboard'!$B$14)^(9-1))</f>
        <v>132399653.703232</v>
      </c>
      <c r="K12" s="235" t="n">
        <f aca="false">SUMPRODUCT(--(Scenarios!$C$3:$C$27=TRUE()),Scenarios!$S$3:$S$27,'09_Phase_Factors'!$M$60:$M$84)*((1+'00_Inputs_Dashboard'!$B$14)^(10-1))</f>
        <v>141005631.193943</v>
      </c>
      <c r="L12" s="235" t="n">
        <f aca="false">SUMPRODUCT(--(Scenarios!$C$3:$C$27=TRUE()),Scenarios!$S$3:$S$27,'09_Phase_Factors'!$N$60:$N$84)*((1+'00_Inputs_Dashboard'!$B$14)^(11-1))</f>
        <v>150170997.221549</v>
      </c>
      <c r="M12" s="235" t="n">
        <f aca="false">SUMPRODUCT(--(Scenarios!$C$3:$C$27=TRUE()),Scenarios!$S$3:$S$27,'09_Phase_Factors'!$O$60:$O$84)*((1+'00_Inputs_Dashboard'!$B$14)^(12-1))</f>
        <v>159932112.040949</v>
      </c>
      <c r="N12" s="235" t="n">
        <f aca="false">SUMPRODUCT(--(Scenarios!$C$3:$C$27=TRUE()),Scenarios!$S$3:$S$27,'09_Phase_Factors'!$P$60:$P$84)*((1+'00_Inputs_Dashboard'!$B$14)^(13-1))</f>
        <v>170327699.323611</v>
      </c>
      <c r="O12" s="235" t="n">
        <f aca="false">SUMPRODUCT(--(Scenarios!$C$3:$C$27=TRUE()),Scenarios!$S$3:$S$27,'09_Phase_Factors'!$Q$60:$Q$84)*((1+'00_Inputs_Dashboard'!$B$14)^(14-1))</f>
        <v>181398999.779646</v>
      </c>
      <c r="P12" s="235" t="n">
        <f aca="false">SUMPRODUCT(--(Scenarios!$C$3:$C$27=TRUE()),Scenarios!$S$3:$S$27,'09_Phase_Factors'!$R$60:$R$84)*((1+'00_Inputs_Dashboard'!$B$14)^(15-1))</f>
        <v>193189934.765323</v>
      </c>
      <c r="Q12" s="235" t="n">
        <f aca="false">SUMPRODUCT(--(Scenarios!$C$3:$C$27=TRUE()),Scenarios!$S$3:$S$27,'09_Phase_Factors'!$S$60:$S$84)*((1+'00_Inputs_Dashboard'!$B$14)^(16-1))</f>
        <v>205747280.525069</v>
      </c>
      <c r="R12" s="235" t="n">
        <f aca="false">SUMPRODUCT(--(Scenarios!$C$3:$C$27=TRUE()),Scenarios!$S$3:$S$27,'09_Phase_Factors'!$T$60:$T$84)*((1+'00_Inputs_Dashboard'!$B$14)^(17-1))</f>
        <v>219120853.759198</v>
      </c>
      <c r="S12" s="235" t="n">
        <f aca="false">SUMPRODUCT(--(Scenarios!$C$3:$C$27=TRUE()),Scenarios!$S$3:$S$27,'09_Phase_Factors'!$U$60:$U$84)*((1+'00_Inputs_Dashboard'!$B$14)^(18-1))</f>
        <v>233363709.253546</v>
      </c>
      <c r="T12" s="235" t="n">
        <f aca="false">SUMPRODUCT(--(Scenarios!$C$3:$C$27=TRUE()),Scenarios!$S$3:$S$27,'09_Phase_Factors'!$V$60:$V$84)*((1+'00_Inputs_Dashboard'!$B$14)^(19-1))</f>
        <v>248532350.355027</v>
      </c>
      <c r="U12" s="235" t="n">
        <f aca="false">SUMPRODUCT(--(Scenarios!$C$3:$C$27=TRUE()),Scenarios!$S$3:$S$27,'09_Phase_Factors'!$W$60:$W$84)*((1+'00_Inputs_Dashboard'!$B$14)^(20-1))</f>
        <v>264686953.128103</v>
      </c>
      <c r="V12" s="235" t="n">
        <f aca="false">SUMPRODUCT(--(Scenarios!$C$3:$C$27=TRUE()),Scenarios!$S$3:$S$27,'09_Phase_Factors'!$X$60:$X$84)*((1+'00_Inputs_Dashboard'!$B$14)^(21-1))</f>
        <v>281891605.08143</v>
      </c>
      <c r="W12" s="235" t="n">
        <f aca="false">SUMPRODUCT(--(Scenarios!$C$3:$C$27=TRUE()),Scenarios!$S$3:$S$27,'09_Phase_Factors'!$Y$60:$Y$84)*((1+'00_Inputs_Dashboard'!$B$14)^(22-1))</f>
        <v>300214559.411723</v>
      </c>
      <c r="X12" s="235" t="n">
        <f aca="false">SUMPRODUCT(--(Scenarios!$C$3:$C$27=TRUE()),Scenarios!$S$3:$S$27,'09_Phase_Factors'!$Z$60:$Z$84)*((1+'00_Inputs_Dashboard'!$B$14)^(23-1))</f>
        <v>319728505.773485</v>
      </c>
      <c r="Y12" s="235" t="n">
        <f aca="false">SUMPRODUCT(--(Scenarios!$C$3:$C$27=TRUE()),Scenarios!$S$3:$S$27,'09_Phase_Factors'!$AA$60:$AA$84)*((1+'00_Inputs_Dashboard'!$B$14)^(24-1))</f>
        <v>340510858.648761</v>
      </c>
      <c r="Z12" s="235" t="n">
        <f aca="false">SUMPRODUCT(--(Scenarios!$C$3:$C$27=TRUE()),Scenarios!$S$3:$S$27,'09_Phase_Factors'!$AB$60:$AB$84)*((1+'00_Inputs_Dashboard'!$B$14)^(25-1))</f>
        <v>362644064.460931</v>
      </c>
      <c r="AA12" s="235" t="n">
        <f aca="false">SUMPRODUCT(--(Scenarios!$C$3:$C$27=TRUE()),Scenarios!$S$3:$S$27,'09_Phase_Factors'!$AC$60:$AC$84)*((1+'00_Inputs_Dashboard'!$B$14)^(26-1))</f>
        <v>386215928.650891</v>
      </c>
      <c r="AB12" s="235" t="n">
        <f aca="false">SUMPRODUCT(--(Scenarios!$C$3:$C$27=TRUE()),Scenarios!$S$3:$S$27,'09_Phase_Factors'!$AD$60:$AD$84)*((1+'00_Inputs_Dashboard'!$B$14)^(27-1))</f>
        <v>411319964.013199</v>
      </c>
      <c r="AC12" s="235" t="n">
        <f aca="false">SUMPRODUCT(--(Scenarios!$C$3:$C$27=TRUE()),Scenarios!$S$3:$S$27,'09_Phase_Factors'!$AE$60:$AE$84)*((1+'00_Inputs_Dashboard'!$B$14)^(28-1))</f>
        <v>438055761.674057</v>
      </c>
      <c r="AD12" s="235" t="n">
        <f aca="false">SUMPRODUCT(--(Scenarios!$C$3:$C$27=TRUE()),Scenarios!$S$3:$S$27,'09_Phase_Factors'!$AF$60:$AF$84)*((1+'00_Inputs_Dashboard'!$B$14)^(29-1))</f>
        <v>466529386.182871</v>
      </c>
      <c r="AE12" s="235" t="n">
        <f aca="false">SUMPRODUCT(--(Scenarios!$C$3:$C$27=TRUE()),Scenarios!$S$3:$S$27,'09_Phase_Factors'!$AG$60:$AG$84)*((1+'00_Inputs_Dashboard'!$B$14)^(30-1))</f>
        <v>496853796.284757</v>
      </c>
      <c r="AF12" s="161"/>
    </row>
    <row r="13" customFormat="false" ht="15" hidden="false" customHeight="true" outlineLevel="0" collapsed="false">
      <c r="A13" s="161" t="s">
        <v>785</v>
      </c>
      <c r="B13" s="234" t="n">
        <f aca="false">SUMPRODUCT(--(Scenarios!$C$3:$C$27=TRUE()),--(((Scenarios!$D$3:$D$27="Single-Family Subdivision")+(Scenarios!$D$3:$D$27="Single-Family Urban / Patio")+(Scenarios!$D$3:$D$27="Townhome / Condo"))&gt;0),Scenarios!$U$3:$U$27,'09_Phase_Factors'!$D$4:$D$28)</f>
        <v>20</v>
      </c>
      <c r="C13" s="234" t="n">
        <f aca="false">SUMPRODUCT(--(Scenarios!$C$3:$C$27=TRUE()),--(((Scenarios!$D$3:$D$27="Single-Family Subdivision")+(Scenarios!$D$3:$D$27="Single-Family Urban / Patio")+(Scenarios!$D$3:$D$27="Townhome / Condo"))&gt;0),Scenarios!$U$3:$U$27,'09_Phase_Factors'!$E$4:$E$28)</f>
        <v>40</v>
      </c>
      <c r="D13" s="234" t="n">
        <f aca="false">SUMPRODUCT(--(Scenarios!$C$3:$C$27=TRUE()),--(((Scenarios!$D$3:$D$27="Single-Family Subdivision")+(Scenarios!$D$3:$D$27="Single-Family Urban / Patio")+(Scenarios!$D$3:$D$27="Townhome / Condo"))&gt;0),Scenarios!$U$3:$U$27,'09_Phase_Factors'!$F$4:$F$28)</f>
        <v>60</v>
      </c>
      <c r="E13" s="234" t="n">
        <f aca="false">SUMPRODUCT(--(Scenarios!$C$3:$C$27=TRUE()),--(((Scenarios!$D$3:$D$27="Single-Family Subdivision")+(Scenarios!$D$3:$D$27="Single-Family Urban / Patio")+(Scenarios!$D$3:$D$27="Townhome / Condo"))&gt;0),Scenarios!$U$3:$U$27,'09_Phase_Factors'!$G$4:$G$28)</f>
        <v>80</v>
      </c>
      <c r="F13" s="234" t="n">
        <f aca="false">SUMPRODUCT(--(Scenarios!$C$3:$C$27=TRUE()),--(((Scenarios!$D$3:$D$27="Single-Family Subdivision")+(Scenarios!$D$3:$D$27="Single-Family Urban / Patio")+(Scenarios!$D$3:$D$27="Townhome / Condo"))&gt;0),Scenarios!$U$3:$U$27,'09_Phase_Factors'!$H$4:$H$28)</f>
        <v>100</v>
      </c>
      <c r="G13" s="234" t="n">
        <f aca="false">SUMPRODUCT(--(Scenarios!$C$3:$C$27=TRUE()),--(((Scenarios!$D$3:$D$27="Single-Family Subdivision")+(Scenarios!$D$3:$D$27="Single-Family Urban / Patio")+(Scenarios!$D$3:$D$27="Townhome / Condo"))&gt;0),Scenarios!$U$3:$U$27,'09_Phase_Factors'!$I$4:$I$28)</f>
        <v>100</v>
      </c>
      <c r="H13" s="234" t="n">
        <f aca="false">SUMPRODUCT(--(Scenarios!$C$3:$C$27=TRUE()),--(((Scenarios!$D$3:$D$27="Single-Family Subdivision")+(Scenarios!$D$3:$D$27="Single-Family Urban / Patio")+(Scenarios!$D$3:$D$27="Townhome / Condo"))&gt;0),Scenarios!$U$3:$U$27,'09_Phase_Factors'!$J$4:$J$28)</f>
        <v>100</v>
      </c>
      <c r="I13" s="234" t="n">
        <f aca="false">SUMPRODUCT(--(Scenarios!$C$3:$C$27=TRUE()),--(((Scenarios!$D$3:$D$27="Single-Family Subdivision")+(Scenarios!$D$3:$D$27="Single-Family Urban / Patio")+(Scenarios!$D$3:$D$27="Townhome / Condo"))&gt;0),Scenarios!$U$3:$U$27,'09_Phase_Factors'!$K$4:$K$28)</f>
        <v>100</v>
      </c>
      <c r="J13" s="234" t="n">
        <f aca="false">SUMPRODUCT(--(Scenarios!$C$3:$C$27=TRUE()),--(((Scenarios!$D$3:$D$27="Single-Family Subdivision")+(Scenarios!$D$3:$D$27="Single-Family Urban / Patio")+(Scenarios!$D$3:$D$27="Townhome / Condo"))&gt;0),Scenarios!$U$3:$U$27,'09_Phase_Factors'!$L$4:$L$28)</f>
        <v>100</v>
      </c>
      <c r="K13" s="234" t="n">
        <f aca="false">SUMPRODUCT(--(Scenarios!$C$3:$C$27=TRUE()),--(((Scenarios!$D$3:$D$27="Single-Family Subdivision")+(Scenarios!$D$3:$D$27="Single-Family Urban / Patio")+(Scenarios!$D$3:$D$27="Townhome / Condo"))&gt;0),Scenarios!$U$3:$U$27,'09_Phase_Factors'!$M$4:$M$28)</f>
        <v>100</v>
      </c>
      <c r="L13" s="234" t="n">
        <f aca="false">SUMPRODUCT(--(Scenarios!$C$3:$C$27=TRUE()),--(((Scenarios!$D$3:$D$27="Single-Family Subdivision")+(Scenarios!$D$3:$D$27="Single-Family Urban / Patio")+(Scenarios!$D$3:$D$27="Townhome / Condo"))&gt;0),Scenarios!$U$3:$U$27,'09_Phase_Factors'!$N$4:$N$28)</f>
        <v>100</v>
      </c>
      <c r="M13" s="234" t="n">
        <f aca="false">SUMPRODUCT(--(Scenarios!$C$3:$C$27=TRUE()),--(((Scenarios!$D$3:$D$27="Single-Family Subdivision")+(Scenarios!$D$3:$D$27="Single-Family Urban / Patio")+(Scenarios!$D$3:$D$27="Townhome / Condo"))&gt;0),Scenarios!$U$3:$U$27,'09_Phase_Factors'!$O$4:$O$28)</f>
        <v>100</v>
      </c>
      <c r="N13" s="234" t="n">
        <f aca="false">SUMPRODUCT(--(Scenarios!$C$3:$C$27=TRUE()),--(((Scenarios!$D$3:$D$27="Single-Family Subdivision")+(Scenarios!$D$3:$D$27="Single-Family Urban / Patio")+(Scenarios!$D$3:$D$27="Townhome / Condo"))&gt;0),Scenarios!$U$3:$U$27,'09_Phase_Factors'!$P$4:$P$28)</f>
        <v>100</v>
      </c>
      <c r="O13" s="234" t="n">
        <f aca="false">SUMPRODUCT(--(Scenarios!$C$3:$C$27=TRUE()),--(((Scenarios!$D$3:$D$27="Single-Family Subdivision")+(Scenarios!$D$3:$D$27="Single-Family Urban / Patio")+(Scenarios!$D$3:$D$27="Townhome / Condo"))&gt;0),Scenarios!$U$3:$U$27,'09_Phase_Factors'!$Q$4:$Q$28)</f>
        <v>100</v>
      </c>
      <c r="P13" s="234" t="n">
        <f aca="false">SUMPRODUCT(--(Scenarios!$C$3:$C$27=TRUE()),--(((Scenarios!$D$3:$D$27="Single-Family Subdivision")+(Scenarios!$D$3:$D$27="Single-Family Urban / Patio")+(Scenarios!$D$3:$D$27="Townhome / Condo"))&gt;0),Scenarios!$U$3:$U$27,'09_Phase_Factors'!$R$4:$R$28)</f>
        <v>100</v>
      </c>
      <c r="Q13" s="234" t="n">
        <f aca="false">SUMPRODUCT(--(Scenarios!$C$3:$C$27=TRUE()),--(((Scenarios!$D$3:$D$27="Single-Family Subdivision")+(Scenarios!$D$3:$D$27="Single-Family Urban / Patio")+(Scenarios!$D$3:$D$27="Townhome / Condo"))&gt;0),Scenarios!$U$3:$U$27,'09_Phase_Factors'!$S$4:$S$28)</f>
        <v>100</v>
      </c>
      <c r="R13" s="234" t="n">
        <f aca="false">SUMPRODUCT(--(Scenarios!$C$3:$C$27=TRUE()),--(((Scenarios!$D$3:$D$27="Single-Family Subdivision")+(Scenarios!$D$3:$D$27="Single-Family Urban / Patio")+(Scenarios!$D$3:$D$27="Townhome / Condo"))&gt;0),Scenarios!$U$3:$U$27,'09_Phase_Factors'!$T$4:$T$28)</f>
        <v>100</v>
      </c>
      <c r="S13" s="234" t="n">
        <f aca="false">SUMPRODUCT(--(Scenarios!$C$3:$C$27=TRUE()),--(((Scenarios!$D$3:$D$27="Single-Family Subdivision")+(Scenarios!$D$3:$D$27="Single-Family Urban / Patio")+(Scenarios!$D$3:$D$27="Townhome / Condo"))&gt;0),Scenarios!$U$3:$U$27,'09_Phase_Factors'!$U$4:$U$28)</f>
        <v>100</v>
      </c>
      <c r="T13" s="234" t="n">
        <f aca="false">SUMPRODUCT(--(Scenarios!$C$3:$C$27=TRUE()),--(((Scenarios!$D$3:$D$27="Single-Family Subdivision")+(Scenarios!$D$3:$D$27="Single-Family Urban / Patio")+(Scenarios!$D$3:$D$27="Townhome / Condo"))&gt;0),Scenarios!$U$3:$U$27,'09_Phase_Factors'!$V$4:$V$28)</f>
        <v>100</v>
      </c>
      <c r="U13" s="234" t="n">
        <f aca="false">SUMPRODUCT(--(Scenarios!$C$3:$C$27=TRUE()),--(((Scenarios!$D$3:$D$27="Single-Family Subdivision")+(Scenarios!$D$3:$D$27="Single-Family Urban / Patio")+(Scenarios!$D$3:$D$27="Townhome / Condo"))&gt;0),Scenarios!$U$3:$U$27,'09_Phase_Factors'!$W$4:$W$28)</f>
        <v>100</v>
      </c>
      <c r="V13" s="234" t="n">
        <f aca="false">SUMPRODUCT(--(Scenarios!$C$3:$C$27=TRUE()),--(((Scenarios!$D$3:$D$27="Single-Family Subdivision")+(Scenarios!$D$3:$D$27="Single-Family Urban / Patio")+(Scenarios!$D$3:$D$27="Townhome / Condo"))&gt;0),Scenarios!$U$3:$U$27,'09_Phase_Factors'!$X$4:$X$28)</f>
        <v>100</v>
      </c>
      <c r="W13" s="234" t="n">
        <f aca="false">SUMPRODUCT(--(Scenarios!$C$3:$C$27=TRUE()),--(((Scenarios!$D$3:$D$27="Single-Family Subdivision")+(Scenarios!$D$3:$D$27="Single-Family Urban / Patio")+(Scenarios!$D$3:$D$27="Townhome / Condo"))&gt;0),Scenarios!$U$3:$U$27,'09_Phase_Factors'!$Y$4:$Y$28)</f>
        <v>100</v>
      </c>
      <c r="X13" s="234" t="n">
        <f aca="false">SUMPRODUCT(--(Scenarios!$C$3:$C$27=TRUE()),--(((Scenarios!$D$3:$D$27="Single-Family Subdivision")+(Scenarios!$D$3:$D$27="Single-Family Urban / Patio")+(Scenarios!$D$3:$D$27="Townhome / Condo"))&gt;0),Scenarios!$U$3:$U$27,'09_Phase_Factors'!$Z$4:$Z$28)</f>
        <v>100</v>
      </c>
      <c r="Y13" s="234" t="n">
        <f aca="false">SUMPRODUCT(--(Scenarios!$C$3:$C$27=TRUE()),--(((Scenarios!$D$3:$D$27="Single-Family Subdivision")+(Scenarios!$D$3:$D$27="Single-Family Urban / Patio")+(Scenarios!$D$3:$D$27="Townhome / Condo"))&gt;0),Scenarios!$U$3:$U$27,'09_Phase_Factors'!$AA$4:$AA$28)</f>
        <v>100</v>
      </c>
      <c r="Z13" s="234" t="n">
        <f aca="false">SUMPRODUCT(--(Scenarios!$C$3:$C$27=TRUE()),--(((Scenarios!$D$3:$D$27="Single-Family Subdivision")+(Scenarios!$D$3:$D$27="Single-Family Urban / Patio")+(Scenarios!$D$3:$D$27="Townhome / Condo"))&gt;0),Scenarios!$U$3:$U$27,'09_Phase_Factors'!$AB$4:$AB$28)</f>
        <v>100</v>
      </c>
      <c r="AA13" s="234" t="n">
        <f aca="false">SUMPRODUCT(--(Scenarios!$C$3:$C$27=TRUE()),--(((Scenarios!$D$3:$D$27="Single-Family Subdivision")+(Scenarios!$D$3:$D$27="Single-Family Urban / Patio")+(Scenarios!$D$3:$D$27="Townhome / Condo"))&gt;0),Scenarios!$U$3:$U$27,'09_Phase_Factors'!$AC$4:$AC$28)</f>
        <v>100</v>
      </c>
      <c r="AB13" s="234" t="n">
        <f aca="false">SUMPRODUCT(--(Scenarios!$C$3:$C$27=TRUE()),--(((Scenarios!$D$3:$D$27="Single-Family Subdivision")+(Scenarios!$D$3:$D$27="Single-Family Urban / Patio")+(Scenarios!$D$3:$D$27="Townhome / Condo"))&gt;0),Scenarios!$U$3:$U$27,'09_Phase_Factors'!$AD$4:$AD$28)</f>
        <v>100</v>
      </c>
      <c r="AC13" s="234" t="n">
        <f aca="false">SUMPRODUCT(--(Scenarios!$C$3:$C$27=TRUE()),--(((Scenarios!$D$3:$D$27="Single-Family Subdivision")+(Scenarios!$D$3:$D$27="Single-Family Urban / Patio")+(Scenarios!$D$3:$D$27="Townhome / Condo"))&gt;0),Scenarios!$U$3:$U$27,'09_Phase_Factors'!$AE$4:$AE$28)</f>
        <v>100</v>
      </c>
      <c r="AD13" s="234" t="n">
        <f aca="false">SUMPRODUCT(--(Scenarios!$C$3:$C$27=TRUE()),--(((Scenarios!$D$3:$D$27="Single-Family Subdivision")+(Scenarios!$D$3:$D$27="Single-Family Urban / Patio")+(Scenarios!$D$3:$D$27="Townhome / Condo"))&gt;0),Scenarios!$U$3:$U$27,'09_Phase_Factors'!$AF$4:$AF$28)</f>
        <v>100</v>
      </c>
      <c r="AE13" s="234" t="n">
        <f aca="false">SUMPRODUCT(--(Scenarios!$C$3:$C$27=TRUE()),--(((Scenarios!$D$3:$D$27="Single-Family Subdivision")+(Scenarios!$D$3:$D$27="Single-Family Urban / Patio")+(Scenarios!$D$3:$D$27="Townhome / Condo"))&gt;0),Scenarios!$U$3:$U$27,'09_Phase_Factors'!$AG$4:$AG$28)</f>
        <v>100</v>
      </c>
      <c r="AF13" s="161"/>
    </row>
    <row r="14" customFormat="false" ht="15" hidden="false" customHeight="true" outlineLevel="0" collapsed="false">
      <c r="A14" s="161" t="s">
        <v>786</v>
      </c>
      <c r="B14" s="234" t="n">
        <f aca="false">SUMPRODUCT(--(Scenarios!$C$3:$C$27=TRUE()),--(Scenarios!$D$3:$D$27="Multifamily Apartments"),Scenarios!$U$3:$U$27,'09_Phase_Factors'!$D$4:$D$28)</f>
        <v>0</v>
      </c>
      <c r="C14" s="234" t="n">
        <f aca="false">SUMPRODUCT(--(Scenarios!$C$3:$C$27=TRUE()),--(Scenarios!$D$3:$D$27="Multifamily Apartments"),Scenarios!$U$3:$U$27,'09_Phase_Factors'!$E$4:$E$28)</f>
        <v>0</v>
      </c>
      <c r="D14" s="234" t="n">
        <f aca="false">SUMPRODUCT(--(Scenarios!$C$3:$C$27=TRUE()),--(Scenarios!$D$3:$D$27="Multifamily Apartments"),Scenarios!$U$3:$U$27,'09_Phase_Factors'!$F$4:$F$28)</f>
        <v>0</v>
      </c>
      <c r="E14" s="234" t="n">
        <f aca="false">SUMPRODUCT(--(Scenarios!$C$3:$C$27=TRUE()),--(Scenarios!$D$3:$D$27="Multifamily Apartments"),Scenarios!$U$3:$U$27,'09_Phase_Factors'!$G$4:$G$28)</f>
        <v>0</v>
      </c>
      <c r="F14" s="234" t="n">
        <f aca="false">SUMPRODUCT(--(Scenarios!$C$3:$C$27=TRUE()),--(Scenarios!$D$3:$D$27="Multifamily Apartments"),Scenarios!$U$3:$U$27,'09_Phase_Factors'!$H$4:$H$28)</f>
        <v>0</v>
      </c>
      <c r="G14" s="234" t="n">
        <f aca="false">SUMPRODUCT(--(Scenarios!$C$3:$C$27=TRUE()),--(Scenarios!$D$3:$D$27="Multifamily Apartments"),Scenarios!$U$3:$U$27,'09_Phase_Factors'!$I$4:$I$28)</f>
        <v>0</v>
      </c>
      <c r="H14" s="234" t="n">
        <f aca="false">SUMPRODUCT(--(Scenarios!$C$3:$C$27=TRUE()),--(Scenarios!$D$3:$D$27="Multifamily Apartments"),Scenarios!$U$3:$U$27,'09_Phase_Factors'!$J$4:$J$28)</f>
        <v>0</v>
      </c>
      <c r="I14" s="234" t="n">
        <f aca="false">SUMPRODUCT(--(Scenarios!$C$3:$C$27=TRUE()),--(Scenarios!$D$3:$D$27="Multifamily Apartments"),Scenarios!$U$3:$U$27,'09_Phase_Factors'!$K$4:$K$28)</f>
        <v>0</v>
      </c>
      <c r="J14" s="234" t="n">
        <f aca="false">SUMPRODUCT(--(Scenarios!$C$3:$C$27=TRUE()),--(Scenarios!$D$3:$D$27="Multifamily Apartments"),Scenarios!$U$3:$U$27,'09_Phase_Factors'!$L$4:$L$28)</f>
        <v>0</v>
      </c>
      <c r="K14" s="234" t="n">
        <f aca="false">SUMPRODUCT(--(Scenarios!$C$3:$C$27=TRUE()),--(Scenarios!$D$3:$D$27="Multifamily Apartments"),Scenarios!$U$3:$U$27,'09_Phase_Factors'!$M$4:$M$28)</f>
        <v>0</v>
      </c>
      <c r="L14" s="234" t="n">
        <f aca="false">SUMPRODUCT(--(Scenarios!$C$3:$C$27=TRUE()),--(Scenarios!$D$3:$D$27="Multifamily Apartments"),Scenarios!$U$3:$U$27,'09_Phase_Factors'!$N$4:$N$28)</f>
        <v>0</v>
      </c>
      <c r="M14" s="234" t="n">
        <f aca="false">SUMPRODUCT(--(Scenarios!$C$3:$C$27=TRUE()),--(Scenarios!$D$3:$D$27="Multifamily Apartments"),Scenarios!$U$3:$U$27,'09_Phase_Factors'!$O$4:$O$28)</f>
        <v>0</v>
      </c>
      <c r="N14" s="234" t="n">
        <f aca="false">SUMPRODUCT(--(Scenarios!$C$3:$C$27=TRUE()),--(Scenarios!$D$3:$D$27="Multifamily Apartments"),Scenarios!$U$3:$U$27,'09_Phase_Factors'!$P$4:$P$28)</f>
        <v>0</v>
      </c>
      <c r="O14" s="234" t="n">
        <f aca="false">SUMPRODUCT(--(Scenarios!$C$3:$C$27=TRUE()),--(Scenarios!$D$3:$D$27="Multifamily Apartments"),Scenarios!$U$3:$U$27,'09_Phase_Factors'!$Q$4:$Q$28)</f>
        <v>0</v>
      </c>
      <c r="P14" s="234" t="n">
        <f aca="false">SUMPRODUCT(--(Scenarios!$C$3:$C$27=TRUE()),--(Scenarios!$D$3:$D$27="Multifamily Apartments"),Scenarios!$U$3:$U$27,'09_Phase_Factors'!$R$4:$R$28)</f>
        <v>0</v>
      </c>
      <c r="Q14" s="234" t="n">
        <f aca="false">SUMPRODUCT(--(Scenarios!$C$3:$C$27=TRUE()),--(Scenarios!$D$3:$D$27="Multifamily Apartments"),Scenarios!$U$3:$U$27,'09_Phase_Factors'!$S$4:$S$28)</f>
        <v>0</v>
      </c>
      <c r="R14" s="234" t="n">
        <f aca="false">SUMPRODUCT(--(Scenarios!$C$3:$C$27=TRUE()),--(Scenarios!$D$3:$D$27="Multifamily Apartments"),Scenarios!$U$3:$U$27,'09_Phase_Factors'!$T$4:$T$28)</f>
        <v>0</v>
      </c>
      <c r="S14" s="234" t="n">
        <f aca="false">SUMPRODUCT(--(Scenarios!$C$3:$C$27=TRUE()),--(Scenarios!$D$3:$D$27="Multifamily Apartments"),Scenarios!$U$3:$U$27,'09_Phase_Factors'!$U$4:$U$28)</f>
        <v>0</v>
      </c>
      <c r="T14" s="234" t="n">
        <f aca="false">SUMPRODUCT(--(Scenarios!$C$3:$C$27=TRUE()),--(Scenarios!$D$3:$D$27="Multifamily Apartments"),Scenarios!$U$3:$U$27,'09_Phase_Factors'!$V$4:$V$28)</f>
        <v>0</v>
      </c>
      <c r="U14" s="234" t="n">
        <f aca="false">SUMPRODUCT(--(Scenarios!$C$3:$C$27=TRUE()),--(Scenarios!$D$3:$D$27="Multifamily Apartments"),Scenarios!$U$3:$U$27,'09_Phase_Factors'!$W$4:$W$28)</f>
        <v>0</v>
      </c>
      <c r="V14" s="234" t="n">
        <f aca="false">SUMPRODUCT(--(Scenarios!$C$3:$C$27=TRUE()),--(Scenarios!$D$3:$D$27="Multifamily Apartments"),Scenarios!$U$3:$U$27,'09_Phase_Factors'!$X$4:$X$28)</f>
        <v>0</v>
      </c>
      <c r="W14" s="234" t="n">
        <f aca="false">SUMPRODUCT(--(Scenarios!$C$3:$C$27=TRUE()),--(Scenarios!$D$3:$D$27="Multifamily Apartments"),Scenarios!$U$3:$U$27,'09_Phase_Factors'!$Y$4:$Y$28)</f>
        <v>0</v>
      </c>
      <c r="X14" s="234" t="n">
        <f aca="false">SUMPRODUCT(--(Scenarios!$C$3:$C$27=TRUE()),--(Scenarios!$D$3:$D$27="Multifamily Apartments"),Scenarios!$U$3:$U$27,'09_Phase_Factors'!$Z$4:$Z$28)</f>
        <v>0</v>
      </c>
      <c r="Y14" s="234" t="n">
        <f aca="false">SUMPRODUCT(--(Scenarios!$C$3:$C$27=TRUE()),--(Scenarios!$D$3:$D$27="Multifamily Apartments"),Scenarios!$U$3:$U$27,'09_Phase_Factors'!$AA$4:$AA$28)</f>
        <v>0</v>
      </c>
      <c r="Z14" s="234" t="n">
        <f aca="false">SUMPRODUCT(--(Scenarios!$C$3:$C$27=TRUE()),--(Scenarios!$D$3:$D$27="Multifamily Apartments"),Scenarios!$U$3:$U$27,'09_Phase_Factors'!$AB$4:$AB$28)</f>
        <v>0</v>
      </c>
      <c r="AA14" s="234" t="n">
        <f aca="false">SUMPRODUCT(--(Scenarios!$C$3:$C$27=TRUE()),--(Scenarios!$D$3:$D$27="Multifamily Apartments"),Scenarios!$U$3:$U$27,'09_Phase_Factors'!$AC$4:$AC$28)</f>
        <v>0</v>
      </c>
      <c r="AB14" s="234" t="n">
        <f aca="false">SUMPRODUCT(--(Scenarios!$C$3:$C$27=TRUE()),--(Scenarios!$D$3:$D$27="Multifamily Apartments"),Scenarios!$U$3:$U$27,'09_Phase_Factors'!$AD$4:$AD$28)</f>
        <v>0</v>
      </c>
      <c r="AC14" s="234" t="n">
        <f aca="false">SUMPRODUCT(--(Scenarios!$C$3:$C$27=TRUE()),--(Scenarios!$D$3:$D$27="Multifamily Apartments"),Scenarios!$U$3:$U$27,'09_Phase_Factors'!$AE$4:$AE$28)</f>
        <v>0</v>
      </c>
      <c r="AD14" s="234" t="n">
        <f aca="false">SUMPRODUCT(--(Scenarios!$C$3:$C$27=TRUE()),--(Scenarios!$D$3:$D$27="Multifamily Apartments"),Scenarios!$U$3:$U$27,'09_Phase_Factors'!$AF$4:$AF$28)</f>
        <v>0</v>
      </c>
      <c r="AE14" s="234" t="n">
        <f aca="false">SUMPRODUCT(--(Scenarios!$C$3:$C$27=TRUE()),--(Scenarios!$D$3:$D$27="Multifamily Apartments"),Scenarios!$U$3:$U$27,'09_Phase_Factors'!$AG$4:$AG$28)</f>
        <v>0</v>
      </c>
      <c r="AF14" s="161"/>
    </row>
    <row r="15" customFormat="false" ht="15" hidden="false" customHeight="true" outlineLevel="0" collapsed="false">
      <c r="A15" s="161" t="s">
        <v>787</v>
      </c>
      <c r="B15" s="235" t="n">
        <f aca="false">(B13*'00_Inputs_Dashboard'!$B$30+B14*'00_Inputs_Dashboard'!$B$31)*'00_Inputs_Dashboard'!$B$34*'00_Inputs_Dashboard'!$B$35*'00_Inputs_Dashboard'!$B$36*((1+'00_Inputs_Dashboard'!$B$37)^(1-1))*'00_Inputs_Dashboard'!$B$38</f>
        <v>59850</v>
      </c>
      <c r="C15" s="235" t="n">
        <f aca="false">(C13*'00_Inputs_Dashboard'!$B$30+C14*'00_Inputs_Dashboard'!$B$31)*'00_Inputs_Dashboard'!$B$34*'00_Inputs_Dashboard'!$B$35*'00_Inputs_Dashboard'!$B$36*((1+'00_Inputs_Dashboard'!$B$37)^(2-1))*'00_Inputs_Dashboard'!$B$38</f>
        <v>124488</v>
      </c>
      <c r="D15" s="235" t="n">
        <f aca="false">(D13*'00_Inputs_Dashboard'!$B$30+D14*'00_Inputs_Dashboard'!$B$31)*'00_Inputs_Dashboard'!$B$34*'00_Inputs_Dashboard'!$B$35*'00_Inputs_Dashboard'!$B$36*((1+'00_Inputs_Dashboard'!$B$37)^(3-1))*'00_Inputs_Dashboard'!$B$38</f>
        <v>194201.28</v>
      </c>
      <c r="E15" s="235" t="n">
        <f aca="false">(E13*'00_Inputs_Dashboard'!$B$30+E14*'00_Inputs_Dashboard'!$B$31)*'00_Inputs_Dashboard'!$B$34*'00_Inputs_Dashboard'!$B$35*'00_Inputs_Dashboard'!$B$36*((1+'00_Inputs_Dashboard'!$B$37)^(4-1))*'00_Inputs_Dashboard'!$B$38</f>
        <v>269292.4416</v>
      </c>
      <c r="F15" s="235" t="n">
        <f aca="false">(F13*'00_Inputs_Dashboard'!$B$30+F14*'00_Inputs_Dashboard'!$B$31)*'00_Inputs_Dashboard'!$B$34*'00_Inputs_Dashboard'!$B$35*'00_Inputs_Dashboard'!$B$36*((1+'00_Inputs_Dashboard'!$B$37)^(5-1))*'00_Inputs_Dashboard'!$B$38</f>
        <v>350080.17408</v>
      </c>
      <c r="G15" s="235" t="n">
        <f aca="false">(G13*'00_Inputs_Dashboard'!$B$30+G14*'00_Inputs_Dashboard'!$B$31)*'00_Inputs_Dashboard'!$B$34*'00_Inputs_Dashboard'!$B$35*'00_Inputs_Dashboard'!$B$36*((1+'00_Inputs_Dashboard'!$B$37)^(6-1))*'00_Inputs_Dashboard'!$B$38</f>
        <v>364083.3810432</v>
      </c>
      <c r="H15" s="235" t="n">
        <f aca="false">(H13*'00_Inputs_Dashboard'!$B$30+H14*'00_Inputs_Dashboard'!$B$31)*'00_Inputs_Dashboard'!$B$34*'00_Inputs_Dashboard'!$B$35*'00_Inputs_Dashboard'!$B$36*((1+'00_Inputs_Dashboard'!$B$37)^(7-1))*'00_Inputs_Dashboard'!$B$38</f>
        <v>378646.716284928</v>
      </c>
      <c r="I15" s="235" t="n">
        <f aca="false">(I13*'00_Inputs_Dashboard'!$B$30+I14*'00_Inputs_Dashboard'!$B$31)*'00_Inputs_Dashboard'!$B$34*'00_Inputs_Dashboard'!$B$35*'00_Inputs_Dashboard'!$B$36*((1+'00_Inputs_Dashboard'!$B$37)^(8-1))*'00_Inputs_Dashboard'!$B$38</f>
        <v>393792.584936325</v>
      </c>
      <c r="J15" s="235" t="n">
        <f aca="false">(J13*'00_Inputs_Dashboard'!$B$30+J14*'00_Inputs_Dashboard'!$B$31)*'00_Inputs_Dashboard'!$B$34*'00_Inputs_Dashboard'!$B$35*'00_Inputs_Dashboard'!$B$36*((1+'00_Inputs_Dashboard'!$B$37)^(9-1))*'00_Inputs_Dashboard'!$B$38</f>
        <v>409544.288333778</v>
      </c>
      <c r="K15" s="235" t="n">
        <f aca="false">(K13*'00_Inputs_Dashboard'!$B$30+K14*'00_Inputs_Dashboard'!$B$31)*'00_Inputs_Dashboard'!$B$34*'00_Inputs_Dashboard'!$B$35*'00_Inputs_Dashboard'!$B$36*((1+'00_Inputs_Dashboard'!$B$37)^(10-1))*'00_Inputs_Dashboard'!$B$38</f>
        <v>425926.059867129</v>
      </c>
      <c r="L15" s="235" t="n">
        <f aca="false">(L13*'00_Inputs_Dashboard'!$B$30+L14*'00_Inputs_Dashboard'!$B$31)*'00_Inputs_Dashboard'!$B$34*'00_Inputs_Dashboard'!$B$35*'00_Inputs_Dashboard'!$B$36*((1+'00_Inputs_Dashboard'!$B$37)^(11-1))*'00_Inputs_Dashboard'!$B$38</f>
        <v>442963.102261815</v>
      </c>
      <c r="M15" s="235" t="n">
        <f aca="false">(M13*'00_Inputs_Dashboard'!$B$30+M14*'00_Inputs_Dashboard'!$B$31)*'00_Inputs_Dashboard'!$B$34*'00_Inputs_Dashboard'!$B$35*'00_Inputs_Dashboard'!$B$36*((1+'00_Inputs_Dashboard'!$B$37)^(12-1))*'00_Inputs_Dashboard'!$B$38</f>
        <v>460681.626352287</v>
      </c>
      <c r="N15" s="235" t="n">
        <f aca="false">(N13*'00_Inputs_Dashboard'!$B$30+N14*'00_Inputs_Dashboard'!$B$31)*'00_Inputs_Dashboard'!$B$34*'00_Inputs_Dashboard'!$B$35*'00_Inputs_Dashboard'!$B$36*((1+'00_Inputs_Dashboard'!$B$37)^(13-1))*'00_Inputs_Dashboard'!$B$38</f>
        <v>479108.891406379</v>
      </c>
      <c r="O15" s="235" t="n">
        <f aca="false">(O13*'00_Inputs_Dashboard'!$B$30+O14*'00_Inputs_Dashboard'!$B$31)*'00_Inputs_Dashboard'!$B$34*'00_Inputs_Dashboard'!$B$35*'00_Inputs_Dashboard'!$B$36*((1+'00_Inputs_Dashboard'!$B$37)^(14-1))*'00_Inputs_Dashboard'!$B$38</f>
        <v>498273.247062634</v>
      </c>
      <c r="P15" s="235" t="n">
        <f aca="false">(P13*'00_Inputs_Dashboard'!$B$30+P14*'00_Inputs_Dashboard'!$B$31)*'00_Inputs_Dashboard'!$B$34*'00_Inputs_Dashboard'!$B$35*'00_Inputs_Dashboard'!$B$36*((1+'00_Inputs_Dashboard'!$B$37)^(15-1))*'00_Inputs_Dashboard'!$B$38</f>
        <v>518204.176945139</v>
      </c>
      <c r="Q15" s="235" t="n">
        <f aca="false">(Q13*'00_Inputs_Dashboard'!$B$30+Q14*'00_Inputs_Dashboard'!$B$31)*'00_Inputs_Dashboard'!$B$34*'00_Inputs_Dashboard'!$B$35*'00_Inputs_Dashboard'!$B$36*((1+'00_Inputs_Dashboard'!$B$37)^(16-1))*'00_Inputs_Dashboard'!$B$38</f>
        <v>538932.344022945</v>
      </c>
      <c r="R15" s="235" t="n">
        <f aca="false">(R13*'00_Inputs_Dashboard'!$B$30+R14*'00_Inputs_Dashboard'!$B$31)*'00_Inputs_Dashboard'!$B$34*'00_Inputs_Dashboard'!$B$35*'00_Inputs_Dashboard'!$B$36*((1+'00_Inputs_Dashboard'!$B$37)^(17-1))*'00_Inputs_Dashboard'!$B$38</f>
        <v>560489.637783863</v>
      </c>
      <c r="S15" s="235" t="n">
        <f aca="false">(S13*'00_Inputs_Dashboard'!$B$30+S14*'00_Inputs_Dashboard'!$B$31)*'00_Inputs_Dashboard'!$B$34*'00_Inputs_Dashboard'!$B$35*'00_Inputs_Dashboard'!$B$36*((1+'00_Inputs_Dashboard'!$B$37)^(18-1))*'00_Inputs_Dashboard'!$B$38</f>
        <v>582909.223295217</v>
      </c>
      <c r="T15" s="235" t="n">
        <f aca="false">(T13*'00_Inputs_Dashboard'!$B$30+T14*'00_Inputs_Dashboard'!$B$31)*'00_Inputs_Dashboard'!$B$34*'00_Inputs_Dashboard'!$B$35*'00_Inputs_Dashboard'!$B$36*((1+'00_Inputs_Dashboard'!$B$37)^(19-1))*'00_Inputs_Dashboard'!$B$38</f>
        <v>606225.592227026</v>
      </c>
      <c r="U15" s="235" t="n">
        <f aca="false">(U13*'00_Inputs_Dashboard'!$B$30+U14*'00_Inputs_Dashboard'!$B$31)*'00_Inputs_Dashboard'!$B$34*'00_Inputs_Dashboard'!$B$35*'00_Inputs_Dashboard'!$B$36*((1+'00_Inputs_Dashboard'!$B$37)^(20-1))*'00_Inputs_Dashboard'!$B$38</f>
        <v>630474.615916107</v>
      </c>
      <c r="V15" s="235" t="n">
        <f aca="false">(V13*'00_Inputs_Dashboard'!$B$30+V14*'00_Inputs_Dashboard'!$B$31)*'00_Inputs_Dashboard'!$B$34*'00_Inputs_Dashboard'!$B$35*'00_Inputs_Dashboard'!$B$36*((1+'00_Inputs_Dashboard'!$B$37)^(21-1))*'00_Inputs_Dashboard'!$B$38</f>
        <v>655693.600552751</v>
      </c>
      <c r="W15" s="235" t="n">
        <f aca="false">(W13*'00_Inputs_Dashboard'!$B$30+W14*'00_Inputs_Dashboard'!$B$31)*'00_Inputs_Dashboard'!$B$34*'00_Inputs_Dashboard'!$B$35*'00_Inputs_Dashboard'!$B$36*((1+'00_Inputs_Dashboard'!$B$37)^(22-1))*'00_Inputs_Dashboard'!$B$38</f>
        <v>681921.344574861</v>
      </c>
      <c r="X15" s="235" t="n">
        <f aca="false">(X13*'00_Inputs_Dashboard'!$B$30+X14*'00_Inputs_Dashboard'!$B$31)*'00_Inputs_Dashboard'!$B$34*'00_Inputs_Dashboard'!$B$35*'00_Inputs_Dashboard'!$B$36*((1+'00_Inputs_Dashboard'!$B$37)^(23-1))*'00_Inputs_Dashboard'!$B$38</f>
        <v>709198.198357856</v>
      </c>
      <c r="Y15" s="235" t="n">
        <f aca="false">(Y13*'00_Inputs_Dashboard'!$B$30+Y14*'00_Inputs_Dashboard'!$B$31)*'00_Inputs_Dashboard'!$B$34*'00_Inputs_Dashboard'!$B$35*'00_Inputs_Dashboard'!$B$36*((1+'00_Inputs_Dashboard'!$B$37)^(24-1))*'00_Inputs_Dashboard'!$B$38</f>
        <v>737566.12629217</v>
      </c>
      <c r="Z15" s="235" t="n">
        <f aca="false">(Z13*'00_Inputs_Dashboard'!$B$30+Z14*'00_Inputs_Dashboard'!$B$31)*'00_Inputs_Dashboard'!$B$34*'00_Inputs_Dashboard'!$B$35*'00_Inputs_Dashboard'!$B$36*((1+'00_Inputs_Dashboard'!$B$37)^(25-1))*'00_Inputs_Dashboard'!$B$38</f>
        <v>767068.771343857</v>
      </c>
      <c r="AA15" s="235" t="n">
        <f aca="false">(AA13*'00_Inputs_Dashboard'!$B$30+AA14*'00_Inputs_Dashboard'!$B$31)*'00_Inputs_Dashboard'!$B$34*'00_Inputs_Dashboard'!$B$35*'00_Inputs_Dashboard'!$B$36*((1+'00_Inputs_Dashboard'!$B$37)^(26-1))*'00_Inputs_Dashboard'!$B$38</f>
        <v>797751.522197611</v>
      </c>
      <c r="AB15" s="235" t="n">
        <f aca="false">(AB13*'00_Inputs_Dashboard'!$B$30+AB14*'00_Inputs_Dashboard'!$B$31)*'00_Inputs_Dashboard'!$B$34*'00_Inputs_Dashboard'!$B$35*'00_Inputs_Dashboard'!$B$36*((1+'00_Inputs_Dashboard'!$B$37)^(27-1))*'00_Inputs_Dashboard'!$B$38</f>
        <v>829661.583085516</v>
      </c>
      <c r="AC15" s="235" t="n">
        <f aca="false">(AC13*'00_Inputs_Dashboard'!$B$30+AC14*'00_Inputs_Dashboard'!$B$31)*'00_Inputs_Dashboard'!$B$34*'00_Inputs_Dashboard'!$B$35*'00_Inputs_Dashboard'!$B$36*((1+'00_Inputs_Dashboard'!$B$37)^(28-1))*'00_Inputs_Dashboard'!$B$38</f>
        <v>862848.046408936</v>
      </c>
      <c r="AD15" s="235" t="n">
        <f aca="false">(AD13*'00_Inputs_Dashboard'!$B$30+AD14*'00_Inputs_Dashboard'!$B$31)*'00_Inputs_Dashboard'!$B$34*'00_Inputs_Dashboard'!$B$35*'00_Inputs_Dashboard'!$B$36*((1+'00_Inputs_Dashboard'!$B$37)^(29-1))*'00_Inputs_Dashboard'!$B$38</f>
        <v>897361.968265294</v>
      </c>
      <c r="AE15" s="235" t="n">
        <f aca="false">(AE13*'00_Inputs_Dashboard'!$B$30+AE14*'00_Inputs_Dashboard'!$B$31)*'00_Inputs_Dashboard'!$B$34*'00_Inputs_Dashboard'!$B$35*'00_Inputs_Dashboard'!$B$36*((1+'00_Inputs_Dashboard'!$B$37)^(30-1))*'00_Inputs_Dashboard'!$B$38</f>
        <v>933256.446995906</v>
      </c>
      <c r="AF15" s="161"/>
    </row>
    <row r="16" customFormat="false" ht="15" hidden="false" customHeight="true" outlineLevel="0" collapsed="false">
      <c r="A16" s="161" t="s">
        <v>788</v>
      </c>
      <c r="B16" s="235" t="n">
        <f aca="false">B12+B15</f>
        <v>59850</v>
      </c>
      <c r="C16" s="235" t="n">
        <f aca="false">C12+C15</f>
        <v>124488</v>
      </c>
      <c r="D16" s="235" t="n">
        <f aca="false">D12+D15</f>
        <v>194201.28</v>
      </c>
      <c r="E16" s="235" t="n">
        <f aca="false">E12+E15</f>
        <v>269292.4416</v>
      </c>
      <c r="F16" s="235" t="n">
        <f aca="false">F12+F15</f>
        <v>103267388.22408</v>
      </c>
      <c r="G16" s="235" t="n">
        <f aca="false">G12+G15</f>
        <v>109971016.454293</v>
      </c>
      <c r="H16" s="235" t="n">
        <f aca="false">H12+H15</f>
        <v>117110030.439296</v>
      </c>
      <c r="I16" s="235" t="n">
        <f aca="false">I12+I15</f>
        <v>124712716.249943</v>
      </c>
      <c r="J16" s="235" t="n">
        <f aca="false">J12+J15</f>
        <v>132809197.991566</v>
      </c>
      <c r="K16" s="235" t="n">
        <f aca="false">K12+K15</f>
        <v>141431557.25381</v>
      </c>
      <c r="L16" s="235" t="n">
        <f aca="false">L12+L15</f>
        <v>150613960.323811</v>
      </c>
      <c r="M16" s="235" t="n">
        <f aca="false">M12+M15</f>
        <v>160392793.667302</v>
      </c>
      <c r="N16" s="235" t="n">
        <f aca="false">N12+N15</f>
        <v>170806808.215017</v>
      </c>
      <c r="O16" s="235" t="n">
        <f aca="false">O12+O15</f>
        <v>181897273.026708</v>
      </c>
      <c r="P16" s="235" t="n">
        <f aca="false">P12+P15</f>
        <v>193708138.942268</v>
      </c>
      <c r="Q16" s="235" t="n">
        <f aca="false">Q12+Q15</f>
        <v>206286212.869092</v>
      </c>
      <c r="R16" s="235" t="n">
        <f aca="false">R12+R15</f>
        <v>219681343.396982</v>
      </c>
      <c r="S16" s="235" t="n">
        <f aca="false">S12+S15</f>
        <v>233946618.476841</v>
      </c>
      <c r="T16" s="235" t="n">
        <f aca="false">T12+T15</f>
        <v>249138575.947254</v>
      </c>
      <c r="U16" s="235" t="n">
        <f aca="false">U12+U15</f>
        <v>265317427.744019</v>
      </c>
      <c r="V16" s="235" t="n">
        <f aca="false">V12+V15</f>
        <v>282547298.681983</v>
      </c>
      <c r="W16" s="235" t="n">
        <f aca="false">W12+W15</f>
        <v>300896480.756298</v>
      </c>
      <c r="X16" s="235" t="n">
        <f aca="false">X12+X15</f>
        <v>320437703.971843</v>
      </c>
      <c r="Y16" s="235" t="n">
        <f aca="false">Y12+Y15</f>
        <v>341248424.775054</v>
      </c>
      <c r="Z16" s="235" t="n">
        <f aca="false">Z12+Z15</f>
        <v>363411133.232275</v>
      </c>
      <c r="AA16" s="235" t="n">
        <f aca="false">AA12+AA15</f>
        <v>387013680.173089</v>
      </c>
      <c r="AB16" s="235" t="n">
        <f aca="false">AB12+AB15</f>
        <v>412149625.596285</v>
      </c>
      <c r="AC16" s="235" t="n">
        <f aca="false">AC12+AC15</f>
        <v>438918609.720466</v>
      </c>
      <c r="AD16" s="235" t="n">
        <f aca="false">AD12+AD15</f>
        <v>467426748.151136</v>
      </c>
      <c r="AE16" s="235" t="n">
        <f aca="false">AE12+AE15</f>
        <v>497787052.731753</v>
      </c>
      <c r="AF16" s="161"/>
    </row>
    <row r="17" customFormat="false" ht="15" hidden="false" customHeight="true" outlineLevel="0" collapsed="false">
      <c r="A17" s="161" t="s">
        <v>789</v>
      </c>
      <c r="B17" s="235" t="n">
        <f aca="false">B16*'00_Inputs_Dashboard'!$B$20</f>
        <v>897.75</v>
      </c>
      <c r="C17" s="235" t="n">
        <f aca="false">C16*'00_Inputs_Dashboard'!$B$20</f>
        <v>1867.32</v>
      </c>
      <c r="D17" s="235" t="n">
        <f aca="false">D16*'00_Inputs_Dashboard'!$B$20</f>
        <v>2913.0192</v>
      </c>
      <c r="E17" s="235" t="n">
        <f aca="false">E16*'00_Inputs_Dashboard'!$B$20</f>
        <v>4039.386624</v>
      </c>
      <c r="F17" s="235" t="n">
        <f aca="false">F16*'00_Inputs_Dashboard'!$B$20</f>
        <v>1549010.8233612</v>
      </c>
      <c r="G17" s="235" t="n">
        <f aca="false">G16*'00_Inputs_Dashboard'!$B$20</f>
        <v>1649565.2468144</v>
      </c>
      <c r="H17" s="235" t="n">
        <f aca="false">H16*'00_Inputs_Dashboard'!$B$20</f>
        <v>1756650.45658944</v>
      </c>
      <c r="I17" s="235" t="n">
        <f aca="false">I16*'00_Inputs_Dashboard'!$B$20</f>
        <v>1870690.74374915</v>
      </c>
      <c r="J17" s="235" t="n">
        <f aca="false">J16*'00_Inputs_Dashboard'!$B$20</f>
        <v>1992137.96987349</v>
      </c>
      <c r="K17" s="235" t="n">
        <f aca="false">K16*'00_Inputs_Dashboard'!$B$20</f>
        <v>2121473.35880714</v>
      </c>
      <c r="L17" s="235" t="n">
        <f aca="false">L16*'00_Inputs_Dashboard'!$B$20</f>
        <v>2259209.40485716</v>
      </c>
      <c r="M17" s="235" t="n">
        <f aca="false">M16*'00_Inputs_Dashboard'!$B$20</f>
        <v>2405891.90500953</v>
      </c>
      <c r="N17" s="235" t="n">
        <f aca="false">N16*'00_Inputs_Dashboard'!$B$20</f>
        <v>2562102.12322526</v>
      </c>
      <c r="O17" s="235" t="n">
        <f aca="false">O16*'00_Inputs_Dashboard'!$B$20</f>
        <v>2728459.09540063</v>
      </c>
      <c r="P17" s="235" t="n">
        <f aca="false">P16*'00_Inputs_Dashboard'!$B$20</f>
        <v>2905622.08413402</v>
      </c>
      <c r="Q17" s="235" t="n">
        <f aca="false">Q16*'00_Inputs_Dashboard'!$B$20</f>
        <v>3094293.19303638</v>
      </c>
      <c r="R17" s="235" t="n">
        <f aca="false">R16*'00_Inputs_Dashboard'!$B$20</f>
        <v>3295220.15095473</v>
      </c>
      <c r="S17" s="235" t="n">
        <f aca="false">S16*'00_Inputs_Dashboard'!$B$20</f>
        <v>3509199.27715262</v>
      </c>
      <c r="T17" s="235" t="n">
        <f aca="false">T16*'00_Inputs_Dashboard'!$B$20</f>
        <v>3737078.6392088</v>
      </c>
      <c r="U17" s="235" t="n">
        <f aca="false">U16*'00_Inputs_Dashboard'!$B$20</f>
        <v>3979761.41616029</v>
      </c>
      <c r="V17" s="235" t="n">
        <f aca="false">V16*'00_Inputs_Dashboard'!$B$20</f>
        <v>4238209.48022974</v>
      </c>
      <c r="W17" s="235" t="n">
        <f aca="false">W16*'00_Inputs_Dashboard'!$B$20</f>
        <v>4513447.21134447</v>
      </c>
      <c r="X17" s="235" t="n">
        <f aca="false">X16*'00_Inputs_Dashboard'!$B$20</f>
        <v>4806565.55957764</v>
      </c>
      <c r="Y17" s="235" t="n">
        <f aca="false">Y16*'00_Inputs_Dashboard'!$B$20</f>
        <v>5118726.3716258</v>
      </c>
      <c r="Z17" s="235" t="n">
        <f aca="false">Z16*'00_Inputs_Dashboard'!$B$20</f>
        <v>5451166.99848412</v>
      </c>
      <c r="AA17" s="235" t="n">
        <f aca="false">AA16*'00_Inputs_Dashboard'!$B$20</f>
        <v>5805205.20259634</v>
      </c>
      <c r="AB17" s="235" t="n">
        <f aca="false">AB16*'00_Inputs_Dashboard'!$B$20</f>
        <v>6182244.38394427</v>
      </c>
      <c r="AC17" s="235" t="n">
        <f aca="false">AC16*'00_Inputs_Dashboard'!$B$20</f>
        <v>6583779.14580699</v>
      </c>
      <c r="AD17" s="235" t="n">
        <f aca="false">AD16*'00_Inputs_Dashboard'!$B$20</f>
        <v>7011401.22226704</v>
      </c>
      <c r="AE17" s="235" t="n">
        <f aca="false">AE16*'00_Inputs_Dashboard'!$B$20</f>
        <v>7466805.7909763</v>
      </c>
      <c r="AF17" s="161"/>
    </row>
    <row r="18" customFormat="false" ht="15" hidden="false" customHeight="true" outlineLevel="0" collapsed="false">
      <c r="A18" s="161" t="s">
        <v>790</v>
      </c>
      <c r="B18" s="235" t="n">
        <f aca="false">B17*'00_Inputs_Dashboard'!$B$5</f>
        <v>0</v>
      </c>
      <c r="C18" s="235" t="n">
        <f aca="false">C17*'00_Inputs_Dashboard'!$B$5</f>
        <v>0</v>
      </c>
      <c r="D18" s="235" t="n">
        <f aca="false">D17*'00_Inputs_Dashboard'!$B$5</f>
        <v>0</v>
      </c>
      <c r="E18" s="235" t="n">
        <f aca="false">E17*'00_Inputs_Dashboard'!$B$5</f>
        <v>0</v>
      </c>
      <c r="F18" s="235" t="n">
        <f aca="false">F17*'00_Inputs_Dashboard'!$B$5</f>
        <v>0</v>
      </c>
      <c r="G18" s="235" t="n">
        <f aca="false">G17*'00_Inputs_Dashboard'!$B$5</f>
        <v>0</v>
      </c>
      <c r="H18" s="235" t="n">
        <f aca="false">H17*'00_Inputs_Dashboard'!$B$5</f>
        <v>0</v>
      </c>
      <c r="I18" s="235" t="n">
        <f aca="false">I17*'00_Inputs_Dashboard'!$B$5</f>
        <v>0</v>
      </c>
      <c r="J18" s="235" t="n">
        <f aca="false">J17*'00_Inputs_Dashboard'!$B$5</f>
        <v>0</v>
      </c>
      <c r="K18" s="235" t="n">
        <f aca="false">K17*'00_Inputs_Dashboard'!$B$5</f>
        <v>0</v>
      </c>
      <c r="L18" s="235" t="n">
        <f aca="false">L17*'00_Inputs_Dashboard'!$B$5</f>
        <v>0</v>
      </c>
      <c r="M18" s="235" t="n">
        <f aca="false">M17*'00_Inputs_Dashboard'!$B$5</f>
        <v>0</v>
      </c>
      <c r="N18" s="235" t="n">
        <f aca="false">N17*'00_Inputs_Dashboard'!$B$5</f>
        <v>0</v>
      </c>
      <c r="O18" s="235" t="n">
        <f aca="false">O17*'00_Inputs_Dashboard'!$B$5</f>
        <v>0</v>
      </c>
      <c r="P18" s="235" t="n">
        <f aca="false">P17*'00_Inputs_Dashboard'!$B$5</f>
        <v>0</v>
      </c>
      <c r="Q18" s="235" t="n">
        <f aca="false">Q17*'00_Inputs_Dashboard'!$B$5</f>
        <v>0</v>
      </c>
      <c r="R18" s="235" t="n">
        <f aca="false">R17*'00_Inputs_Dashboard'!$B$5</f>
        <v>0</v>
      </c>
      <c r="S18" s="235" t="n">
        <f aca="false">S17*'00_Inputs_Dashboard'!$B$5</f>
        <v>0</v>
      </c>
      <c r="T18" s="235" t="n">
        <f aca="false">T17*'00_Inputs_Dashboard'!$B$5</f>
        <v>0</v>
      </c>
      <c r="U18" s="235" t="n">
        <f aca="false">U17*'00_Inputs_Dashboard'!$B$5</f>
        <v>0</v>
      </c>
      <c r="V18" s="235" t="n">
        <f aca="false">V17*'00_Inputs_Dashboard'!$B$5</f>
        <v>0</v>
      </c>
      <c r="W18" s="235" t="n">
        <f aca="false">W17*'00_Inputs_Dashboard'!$B$5</f>
        <v>0</v>
      </c>
      <c r="X18" s="235" t="n">
        <f aca="false">X17*'00_Inputs_Dashboard'!$B$5</f>
        <v>0</v>
      </c>
      <c r="Y18" s="235" t="n">
        <f aca="false">Y17*'00_Inputs_Dashboard'!$B$5</f>
        <v>0</v>
      </c>
      <c r="Z18" s="235" t="n">
        <f aca="false">Z17*'00_Inputs_Dashboard'!$B$5</f>
        <v>0</v>
      </c>
      <c r="AA18" s="235" t="n">
        <f aca="false">AA17*'00_Inputs_Dashboard'!$B$5</f>
        <v>0</v>
      </c>
      <c r="AB18" s="235" t="n">
        <f aca="false">AB17*'00_Inputs_Dashboard'!$B$5</f>
        <v>0</v>
      </c>
      <c r="AC18" s="235" t="n">
        <f aca="false">AC17*'00_Inputs_Dashboard'!$B$5</f>
        <v>0</v>
      </c>
      <c r="AD18" s="235" t="n">
        <f aca="false">AD17*'00_Inputs_Dashboard'!$B$5</f>
        <v>0</v>
      </c>
      <c r="AE18" s="235" t="n">
        <f aca="false">AE17*'00_Inputs_Dashboard'!$B$5</f>
        <v>0</v>
      </c>
      <c r="AF18" s="161"/>
    </row>
    <row r="19" customFormat="false" ht="15" hidden="false" customHeight="true" outlineLevel="0" collapsed="false">
      <c r="A19" s="161" t="s">
        <v>791</v>
      </c>
      <c r="B19" s="235" t="n">
        <f aca="false">IF('00_Inputs_Dashboard'!$B$9=2,B17*'00_Inputs_Dashboard'!$B$6,B18*'00_Inputs_Dashboard'!$B$6)</f>
        <v>0</v>
      </c>
      <c r="C19" s="235" t="n">
        <f aca="false">IF('00_Inputs_Dashboard'!$B$9=2,C17*'00_Inputs_Dashboard'!$B$6,C18*'00_Inputs_Dashboard'!$B$6)</f>
        <v>0</v>
      </c>
      <c r="D19" s="235" t="n">
        <f aca="false">IF('00_Inputs_Dashboard'!$B$9=2,D17*'00_Inputs_Dashboard'!$B$6,D18*'00_Inputs_Dashboard'!$B$6)</f>
        <v>0</v>
      </c>
      <c r="E19" s="235" t="n">
        <f aca="false">IF('00_Inputs_Dashboard'!$B$9=2,E17*'00_Inputs_Dashboard'!$B$6,E18*'00_Inputs_Dashboard'!$B$6)</f>
        <v>0</v>
      </c>
      <c r="F19" s="235" t="n">
        <f aca="false">IF('00_Inputs_Dashboard'!$B$9=2,F17*'00_Inputs_Dashboard'!$B$6,F18*'00_Inputs_Dashboard'!$B$6)</f>
        <v>0</v>
      </c>
      <c r="G19" s="235" t="n">
        <f aca="false">IF('00_Inputs_Dashboard'!$B$9=2,G17*'00_Inputs_Dashboard'!$B$6,G18*'00_Inputs_Dashboard'!$B$6)</f>
        <v>0</v>
      </c>
      <c r="H19" s="235" t="n">
        <f aca="false">IF('00_Inputs_Dashboard'!$B$9=2,H17*'00_Inputs_Dashboard'!$B$6,H18*'00_Inputs_Dashboard'!$B$6)</f>
        <v>0</v>
      </c>
      <c r="I19" s="235" t="n">
        <f aca="false">IF('00_Inputs_Dashboard'!$B$9=2,I17*'00_Inputs_Dashboard'!$B$6,I18*'00_Inputs_Dashboard'!$B$6)</f>
        <v>0</v>
      </c>
      <c r="J19" s="235" t="n">
        <f aca="false">IF('00_Inputs_Dashboard'!$B$9=2,J17*'00_Inputs_Dashboard'!$B$6,J18*'00_Inputs_Dashboard'!$B$6)</f>
        <v>0</v>
      </c>
      <c r="K19" s="235" t="n">
        <f aca="false">IF('00_Inputs_Dashboard'!$B$9=2,K17*'00_Inputs_Dashboard'!$B$6,K18*'00_Inputs_Dashboard'!$B$6)</f>
        <v>0</v>
      </c>
      <c r="L19" s="235" t="n">
        <f aca="false">IF('00_Inputs_Dashboard'!$B$9=2,L17*'00_Inputs_Dashboard'!$B$6,L18*'00_Inputs_Dashboard'!$B$6)</f>
        <v>0</v>
      </c>
      <c r="M19" s="235" t="n">
        <f aca="false">IF('00_Inputs_Dashboard'!$B$9=2,M17*'00_Inputs_Dashboard'!$B$6,M18*'00_Inputs_Dashboard'!$B$6)</f>
        <v>0</v>
      </c>
      <c r="N19" s="235" t="n">
        <f aca="false">IF('00_Inputs_Dashboard'!$B$9=2,N17*'00_Inputs_Dashboard'!$B$6,N18*'00_Inputs_Dashboard'!$B$6)</f>
        <v>0</v>
      </c>
      <c r="O19" s="235" t="n">
        <f aca="false">IF('00_Inputs_Dashboard'!$B$9=2,O17*'00_Inputs_Dashboard'!$B$6,O18*'00_Inputs_Dashboard'!$B$6)</f>
        <v>0</v>
      </c>
      <c r="P19" s="235" t="n">
        <f aca="false">IF('00_Inputs_Dashboard'!$B$9=2,P17*'00_Inputs_Dashboard'!$B$6,P18*'00_Inputs_Dashboard'!$B$6)</f>
        <v>0</v>
      </c>
      <c r="Q19" s="235" t="n">
        <f aca="false">IF('00_Inputs_Dashboard'!$B$9=2,Q17*'00_Inputs_Dashboard'!$B$6,Q18*'00_Inputs_Dashboard'!$B$6)</f>
        <v>0</v>
      </c>
      <c r="R19" s="235" t="n">
        <f aca="false">IF('00_Inputs_Dashboard'!$B$9=2,R17*'00_Inputs_Dashboard'!$B$6,R18*'00_Inputs_Dashboard'!$B$6)</f>
        <v>0</v>
      </c>
      <c r="S19" s="235" t="n">
        <f aca="false">IF('00_Inputs_Dashboard'!$B$9=2,S17*'00_Inputs_Dashboard'!$B$6,S18*'00_Inputs_Dashboard'!$B$6)</f>
        <v>0</v>
      </c>
      <c r="T19" s="235" t="n">
        <f aca="false">IF('00_Inputs_Dashboard'!$B$9=2,T17*'00_Inputs_Dashboard'!$B$6,T18*'00_Inputs_Dashboard'!$B$6)</f>
        <v>0</v>
      </c>
      <c r="U19" s="235" t="n">
        <f aca="false">IF('00_Inputs_Dashboard'!$B$9=2,U17*'00_Inputs_Dashboard'!$B$6,U18*'00_Inputs_Dashboard'!$B$6)</f>
        <v>0</v>
      </c>
      <c r="V19" s="235" t="n">
        <f aca="false">IF('00_Inputs_Dashboard'!$B$9=2,V17*'00_Inputs_Dashboard'!$B$6,V18*'00_Inputs_Dashboard'!$B$6)</f>
        <v>0</v>
      </c>
      <c r="W19" s="235" t="n">
        <f aca="false">IF('00_Inputs_Dashboard'!$B$9=2,W17*'00_Inputs_Dashboard'!$B$6,W18*'00_Inputs_Dashboard'!$B$6)</f>
        <v>0</v>
      </c>
      <c r="X19" s="235" t="n">
        <f aca="false">IF('00_Inputs_Dashboard'!$B$9=2,X17*'00_Inputs_Dashboard'!$B$6,X18*'00_Inputs_Dashboard'!$B$6)</f>
        <v>0</v>
      </c>
      <c r="Y19" s="235" t="n">
        <f aca="false">IF('00_Inputs_Dashboard'!$B$9=2,Y17*'00_Inputs_Dashboard'!$B$6,Y18*'00_Inputs_Dashboard'!$B$6)</f>
        <v>0</v>
      </c>
      <c r="Z19" s="235" t="n">
        <f aca="false">IF('00_Inputs_Dashboard'!$B$9=2,Z17*'00_Inputs_Dashboard'!$B$6,Z18*'00_Inputs_Dashboard'!$B$6)</f>
        <v>0</v>
      </c>
      <c r="AA19" s="235" t="n">
        <f aca="false">IF('00_Inputs_Dashboard'!$B$9=2,AA17*'00_Inputs_Dashboard'!$B$6,AA18*'00_Inputs_Dashboard'!$B$6)</f>
        <v>0</v>
      </c>
      <c r="AB19" s="235" t="n">
        <f aca="false">IF('00_Inputs_Dashboard'!$B$9=2,AB17*'00_Inputs_Dashboard'!$B$6,AB18*'00_Inputs_Dashboard'!$B$6)</f>
        <v>0</v>
      </c>
      <c r="AC19" s="235" t="n">
        <f aca="false">IF('00_Inputs_Dashboard'!$B$9=2,AC17*'00_Inputs_Dashboard'!$B$6,AC18*'00_Inputs_Dashboard'!$B$6)</f>
        <v>0</v>
      </c>
      <c r="AD19" s="235" t="n">
        <f aca="false">IF('00_Inputs_Dashboard'!$B$9=2,AD17*'00_Inputs_Dashboard'!$B$6,AD18*'00_Inputs_Dashboard'!$B$6)</f>
        <v>0</v>
      </c>
      <c r="AE19" s="235" t="n">
        <f aca="false">IF('00_Inputs_Dashboard'!$B$9=2,AE17*'00_Inputs_Dashboard'!$B$6,AE18*'00_Inputs_Dashboard'!$B$6)</f>
        <v>0</v>
      </c>
      <c r="AF19" s="161"/>
    </row>
    <row r="20" customFormat="false" ht="15" hidden="false" customHeight="true" outlineLevel="0" collapsed="false">
      <c r="A20" s="161" t="s">
        <v>792</v>
      </c>
      <c r="B20" s="235" t="n">
        <f aca="false">B18-B19</f>
        <v>0</v>
      </c>
      <c r="C20" s="235" t="n">
        <f aca="false">C18-C19</f>
        <v>0</v>
      </c>
      <c r="D20" s="235" t="n">
        <f aca="false">D18-D19</f>
        <v>0</v>
      </c>
      <c r="E20" s="235" t="n">
        <f aca="false">E18-E19</f>
        <v>0</v>
      </c>
      <c r="F20" s="235" t="n">
        <f aca="false">F18-F19</f>
        <v>0</v>
      </c>
      <c r="G20" s="235" t="n">
        <f aca="false">G18-G19</f>
        <v>0</v>
      </c>
      <c r="H20" s="235" t="n">
        <f aca="false">H18-H19</f>
        <v>0</v>
      </c>
      <c r="I20" s="235" t="n">
        <f aca="false">I18-I19</f>
        <v>0</v>
      </c>
      <c r="J20" s="235" t="n">
        <f aca="false">J18-J19</f>
        <v>0</v>
      </c>
      <c r="K20" s="235" t="n">
        <f aca="false">K18-K19</f>
        <v>0</v>
      </c>
      <c r="L20" s="235" t="n">
        <f aca="false">L18-L19</f>
        <v>0</v>
      </c>
      <c r="M20" s="235" t="n">
        <f aca="false">M18-M19</f>
        <v>0</v>
      </c>
      <c r="N20" s="235" t="n">
        <f aca="false">N18-N19</f>
        <v>0</v>
      </c>
      <c r="O20" s="235" t="n">
        <f aca="false">O18-O19</f>
        <v>0</v>
      </c>
      <c r="P20" s="235" t="n">
        <f aca="false">P18-P19</f>
        <v>0</v>
      </c>
      <c r="Q20" s="235" t="n">
        <f aca="false">Q18-Q19</f>
        <v>0</v>
      </c>
      <c r="R20" s="235" t="n">
        <f aca="false">R18-R19</f>
        <v>0</v>
      </c>
      <c r="S20" s="235" t="n">
        <f aca="false">S18-S19</f>
        <v>0</v>
      </c>
      <c r="T20" s="235" t="n">
        <f aca="false">T18-T19</f>
        <v>0</v>
      </c>
      <c r="U20" s="235" t="n">
        <f aca="false">U18-U19</f>
        <v>0</v>
      </c>
      <c r="V20" s="235" t="n">
        <f aca="false">V18-V19</f>
        <v>0</v>
      </c>
      <c r="W20" s="235" t="n">
        <f aca="false">W18-W19</f>
        <v>0</v>
      </c>
      <c r="X20" s="235" t="n">
        <f aca="false">X18-X19</f>
        <v>0</v>
      </c>
      <c r="Y20" s="235" t="n">
        <f aca="false">Y18-Y19</f>
        <v>0</v>
      </c>
      <c r="Z20" s="235" t="n">
        <f aca="false">Z18-Z19</f>
        <v>0</v>
      </c>
      <c r="AA20" s="235" t="n">
        <f aca="false">AA18-AA19</f>
        <v>0</v>
      </c>
      <c r="AB20" s="235" t="n">
        <f aca="false">AB18-AB19</f>
        <v>0</v>
      </c>
      <c r="AC20" s="235" t="n">
        <f aca="false">AC18-AC19</f>
        <v>0</v>
      </c>
      <c r="AD20" s="235" t="n">
        <f aca="false">AD18-AD19</f>
        <v>0</v>
      </c>
      <c r="AE20" s="235" t="n">
        <f aca="false">AE18-AE19</f>
        <v>0</v>
      </c>
      <c r="AF20" s="161"/>
    </row>
    <row r="21" customFormat="false" ht="15" hidden="false" customHeight="true" outlineLevel="0" collapsed="false">
      <c r="A21" s="161" t="s">
        <v>793</v>
      </c>
      <c r="B21" s="235" t="n">
        <f aca="false">B17*'00_Inputs_Dashboard'!$B$7</f>
        <v>0</v>
      </c>
      <c r="C21" s="235" t="n">
        <f aca="false">C17*'00_Inputs_Dashboard'!$B$7</f>
        <v>0</v>
      </c>
      <c r="D21" s="235" t="n">
        <f aca="false">D17*'00_Inputs_Dashboard'!$B$7</f>
        <v>0</v>
      </c>
      <c r="E21" s="235" t="n">
        <f aca="false">E17*'00_Inputs_Dashboard'!$B$7</f>
        <v>0</v>
      </c>
      <c r="F21" s="235" t="n">
        <f aca="false">F17*'00_Inputs_Dashboard'!$B$7</f>
        <v>0</v>
      </c>
      <c r="G21" s="235" t="n">
        <f aca="false">G17*'00_Inputs_Dashboard'!$B$7</f>
        <v>0</v>
      </c>
      <c r="H21" s="235" t="n">
        <f aca="false">H17*'00_Inputs_Dashboard'!$B$7</f>
        <v>0</v>
      </c>
      <c r="I21" s="235" t="n">
        <f aca="false">I17*'00_Inputs_Dashboard'!$B$7</f>
        <v>0</v>
      </c>
      <c r="J21" s="235" t="n">
        <f aca="false">J17*'00_Inputs_Dashboard'!$B$7</f>
        <v>0</v>
      </c>
      <c r="K21" s="235" t="n">
        <f aca="false">K17*'00_Inputs_Dashboard'!$B$7</f>
        <v>0</v>
      </c>
      <c r="L21" s="235" t="n">
        <f aca="false">L17*'00_Inputs_Dashboard'!$B$7</f>
        <v>0</v>
      </c>
      <c r="M21" s="235" t="n">
        <f aca="false">M17*'00_Inputs_Dashboard'!$B$7</f>
        <v>0</v>
      </c>
      <c r="N21" s="235" t="n">
        <f aca="false">N17*'00_Inputs_Dashboard'!$B$7</f>
        <v>0</v>
      </c>
      <c r="O21" s="235" t="n">
        <f aca="false">O17*'00_Inputs_Dashboard'!$B$7</f>
        <v>0</v>
      </c>
      <c r="P21" s="235" t="n">
        <f aca="false">P17*'00_Inputs_Dashboard'!$B$7</f>
        <v>0</v>
      </c>
      <c r="Q21" s="235" t="n">
        <f aca="false">Q17*'00_Inputs_Dashboard'!$B$7</f>
        <v>0</v>
      </c>
      <c r="R21" s="235" t="n">
        <f aca="false">R17*'00_Inputs_Dashboard'!$B$7</f>
        <v>0</v>
      </c>
      <c r="S21" s="235" t="n">
        <f aca="false">S17*'00_Inputs_Dashboard'!$B$7</f>
        <v>0</v>
      </c>
      <c r="T21" s="235" t="n">
        <f aca="false">T17*'00_Inputs_Dashboard'!$B$7</f>
        <v>0</v>
      </c>
      <c r="U21" s="235" t="n">
        <f aca="false">U17*'00_Inputs_Dashboard'!$B$7</f>
        <v>0</v>
      </c>
      <c r="V21" s="235" t="n">
        <f aca="false">V17*'00_Inputs_Dashboard'!$B$7</f>
        <v>0</v>
      </c>
      <c r="W21" s="235" t="n">
        <f aca="false">W17*'00_Inputs_Dashboard'!$B$7</f>
        <v>0</v>
      </c>
      <c r="X21" s="235" t="n">
        <f aca="false">X17*'00_Inputs_Dashboard'!$B$7</f>
        <v>0</v>
      </c>
      <c r="Y21" s="235" t="n">
        <f aca="false">Y17*'00_Inputs_Dashboard'!$B$7</f>
        <v>0</v>
      </c>
      <c r="Z21" s="235" t="n">
        <f aca="false">Z17*'00_Inputs_Dashboard'!$B$7</f>
        <v>0</v>
      </c>
      <c r="AA21" s="235" t="n">
        <f aca="false">AA17*'00_Inputs_Dashboard'!$B$7</f>
        <v>0</v>
      </c>
      <c r="AB21" s="235" t="n">
        <f aca="false">AB17*'00_Inputs_Dashboard'!$B$7</f>
        <v>0</v>
      </c>
      <c r="AC21" s="235" t="n">
        <f aca="false">AC17*'00_Inputs_Dashboard'!$B$7</f>
        <v>0</v>
      </c>
      <c r="AD21" s="235" t="n">
        <f aca="false">AD17*'00_Inputs_Dashboard'!$B$7</f>
        <v>0</v>
      </c>
      <c r="AE21" s="235" t="n">
        <f aca="false">AE17*'00_Inputs_Dashboard'!$B$7</f>
        <v>0</v>
      </c>
      <c r="AF21" s="161"/>
    </row>
    <row r="22" customFormat="false" ht="15" hidden="false" customHeight="true" outlineLevel="0" collapsed="false">
      <c r="A22" s="161" t="s">
        <v>794</v>
      </c>
      <c r="B22" s="235" t="n">
        <f aca="false">(B34-B38*'00_Inputs_Dashboard'!$B$52*IF(1&lt;='00_Inputs_Dashboard'!$B$53,1,0))*((1+'00_Inputs_Dashboard'!$B$15)^(1-1))*'00_Inputs_Dashboard'!$B$21*'00_Inputs_Dashboard'!$B$50</f>
        <v>27904.904325</v>
      </c>
      <c r="C22" s="235" t="n">
        <f aca="false">(C34-C38*'00_Inputs_Dashboard'!$B$52*IF(2&lt;='00_Inputs_Dashboard'!$B$53,1,0))*((1+'00_Inputs_Dashboard'!$B$15)^(2-1))*'00_Inputs_Dashboard'!$B$21*'00_Inputs_Dashboard'!$B$50</f>
        <v>59158.397169</v>
      </c>
      <c r="D22" s="235" t="n">
        <f aca="false">(D34-D38*'00_Inputs_Dashboard'!$B$52*IF(3&lt;='00_Inputs_Dashboard'!$B$53,1,0))*((1+'00_Inputs_Dashboard'!$B$15)^(3-1))*'00_Inputs_Dashboard'!$B$21*'00_Inputs_Dashboard'!$B$50</f>
        <v>94061.85149871</v>
      </c>
      <c r="E22" s="235" t="n">
        <f aca="false">(E34-E38*'00_Inputs_Dashboard'!$B$52*IF(4&lt;='00_Inputs_Dashboard'!$B$53,1,0))*((1+'00_Inputs_Dashboard'!$B$15)^(4-1))*'00_Inputs_Dashboard'!$B$21*'00_Inputs_Dashboard'!$B$50</f>
        <v>132940.750118177</v>
      </c>
      <c r="F22" s="235" t="n">
        <f aca="false">(F34-F38*'00_Inputs_Dashboard'!$B$52*IF(5&lt;='00_Inputs_Dashboard'!$B$53,1,0))*((1+'00_Inputs_Dashboard'!$B$15)^(5-1))*'00_Inputs_Dashboard'!$B$21*'00_Inputs_Dashboard'!$B$50</f>
        <v>166125.382144938</v>
      </c>
      <c r="G22" s="235" t="n">
        <f aca="false">(G34-G38*'00_Inputs_Dashboard'!$B$52*IF(6&lt;='00_Inputs_Dashboard'!$B$53,1,0))*((1+'00_Inputs_Dashboard'!$B$15)^(6-1))*'00_Inputs_Dashboard'!$B$21*'00_Inputs_Dashboard'!$B$50</f>
        <v>176092.905073634</v>
      </c>
      <c r="H22" s="235" t="n">
        <f aca="false">(H34-H38*'00_Inputs_Dashboard'!$B$52*IF(7&lt;='00_Inputs_Dashboard'!$B$53,1,0))*((1+'00_Inputs_Dashboard'!$B$15)^(7-1))*'00_Inputs_Dashboard'!$B$21*'00_Inputs_Dashboard'!$B$50</f>
        <v>186658.479378052</v>
      </c>
      <c r="I22" s="235" t="n">
        <f aca="false">(I34-I38*'00_Inputs_Dashboard'!$B$52*IF(8&lt;='00_Inputs_Dashboard'!$B$53,1,0))*((1+'00_Inputs_Dashboard'!$B$15)^(8-1))*'00_Inputs_Dashboard'!$B$21*'00_Inputs_Dashboard'!$B$50</f>
        <v>197857.988140736</v>
      </c>
      <c r="J22" s="235" t="n">
        <f aca="false">(J34-J38*'00_Inputs_Dashboard'!$B$52*IF(9&lt;='00_Inputs_Dashboard'!$B$53,1,0))*((1+'00_Inputs_Dashboard'!$B$15)^(9-1))*'00_Inputs_Dashboard'!$B$21*'00_Inputs_Dashboard'!$B$50</f>
        <v>209729.46742918</v>
      </c>
      <c r="K22" s="235" t="n">
        <f aca="false">(K34-K38*'00_Inputs_Dashboard'!$B$52*IF(10&lt;='00_Inputs_Dashboard'!$B$53,1,0))*((1+'00_Inputs_Dashboard'!$B$15)^(10-1))*'00_Inputs_Dashboard'!$B$21*'00_Inputs_Dashboard'!$B$50</f>
        <v>222313.235474931</v>
      </c>
      <c r="L22" s="235" t="n">
        <f aca="false">(L34-L38*'00_Inputs_Dashboard'!$B$52*IF(11&lt;='00_Inputs_Dashboard'!$B$53,1,0))*((1+'00_Inputs_Dashboard'!$B$15)^(11-1))*'00_Inputs_Dashboard'!$B$21*'00_Inputs_Dashboard'!$B$50</f>
        <v>235652.029603426</v>
      </c>
      <c r="M22" s="235" t="n">
        <f aca="false">(M34-M38*'00_Inputs_Dashboard'!$B$52*IF(12&lt;='00_Inputs_Dashboard'!$B$53,1,0))*((1+'00_Inputs_Dashboard'!$B$15)^(12-1))*'00_Inputs_Dashboard'!$B$21*'00_Inputs_Dashboard'!$B$50</f>
        <v>249791.151379632</v>
      </c>
      <c r="N22" s="235" t="n">
        <f aca="false">(N34-N38*'00_Inputs_Dashboard'!$B$52*IF(13&lt;='00_Inputs_Dashboard'!$B$53,1,0))*((1+'00_Inputs_Dashboard'!$B$15)^(13-1))*'00_Inputs_Dashboard'!$B$21*'00_Inputs_Dashboard'!$B$50</f>
        <v>264778.62046241</v>
      </c>
      <c r="O22" s="235" t="n">
        <f aca="false">(O34-O38*'00_Inputs_Dashboard'!$B$52*IF(14&lt;='00_Inputs_Dashboard'!$B$53,1,0))*((1+'00_Inputs_Dashboard'!$B$15)^(14-1))*'00_Inputs_Dashboard'!$B$21*'00_Inputs_Dashboard'!$B$50</f>
        <v>280665.337690154</v>
      </c>
      <c r="P22" s="235" t="n">
        <f aca="false">(P34-P38*'00_Inputs_Dashboard'!$B$52*IF(15&lt;='00_Inputs_Dashboard'!$B$53,1,0))*((1+'00_Inputs_Dashboard'!$B$15)^(15-1))*'00_Inputs_Dashboard'!$B$21*'00_Inputs_Dashboard'!$B$50</f>
        <v>297505.257951564</v>
      </c>
      <c r="Q22" s="235" t="n">
        <f aca="false">(Q34-Q38*'00_Inputs_Dashboard'!$B$52*IF(16&lt;='00_Inputs_Dashboard'!$B$53,1,0))*((1+'00_Inputs_Dashboard'!$B$15)^(16-1))*'00_Inputs_Dashboard'!$B$21*'00_Inputs_Dashboard'!$B$50</f>
        <v>315355.573428658</v>
      </c>
      <c r="R22" s="235" t="n">
        <f aca="false">(R34-R38*'00_Inputs_Dashboard'!$B$52*IF(17&lt;='00_Inputs_Dashboard'!$B$53,1,0))*((1+'00_Inputs_Dashboard'!$B$15)^(17-1))*'00_Inputs_Dashboard'!$B$21*'00_Inputs_Dashboard'!$B$50</f>
        <v>334276.907834377</v>
      </c>
      <c r="S22" s="235" t="n">
        <f aca="false">(S34-S38*'00_Inputs_Dashboard'!$B$52*IF(18&lt;='00_Inputs_Dashboard'!$B$53,1,0))*((1+'00_Inputs_Dashboard'!$B$15)^(18-1))*'00_Inputs_Dashboard'!$B$21*'00_Inputs_Dashboard'!$B$50</f>
        <v>354333.52230444</v>
      </c>
      <c r="T22" s="235" t="n">
        <f aca="false">(T34-T38*'00_Inputs_Dashboard'!$B$52*IF(19&lt;='00_Inputs_Dashboard'!$B$53,1,0))*((1+'00_Inputs_Dashboard'!$B$15)^(19-1))*'00_Inputs_Dashboard'!$B$21*'00_Inputs_Dashboard'!$B$50</f>
        <v>375593.533642706</v>
      </c>
      <c r="U22" s="235" t="n">
        <f aca="false">(U34-U38*'00_Inputs_Dashboard'!$B$52*IF(20&lt;='00_Inputs_Dashboard'!$B$53,1,0))*((1+'00_Inputs_Dashboard'!$B$15)^(20-1))*'00_Inputs_Dashboard'!$B$21*'00_Inputs_Dashboard'!$B$50</f>
        <v>398129.145661269</v>
      </c>
      <c r="V22" s="235" t="n">
        <f aca="false">(V34-V38*'00_Inputs_Dashboard'!$B$52*IF(21&lt;='00_Inputs_Dashboard'!$B$53,1,0))*((1+'00_Inputs_Dashboard'!$B$15)^(21-1))*'00_Inputs_Dashboard'!$B$21*'00_Inputs_Dashboard'!$B$50</f>
        <v>422016.894400945</v>
      </c>
      <c r="W22" s="235" t="n">
        <f aca="false">(W34-W38*'00_Inputs_Dashboard'!$B$52*IF(22&lt;='00_Inputs_Dashboard'!$B$53,1,0))*((1+'00_Inputs_Dashboard'!$B$15)^(22-1))*'00_Inputs_Dashboard'!$B$21*'00_Inputs_Dashboard'!$B$50</f>
        <v>447337.908065001</v>
      </c>
      <c r="X22" s="235" t="n">
        <f aca="false">(X34-X38*'00_Inputs_Dashboard'!$B$52*IF(23&lt;='00_Inputs_Dashboard'!$B$53,1,0))*((1+'00_Inputs_Dashboard'!$B$15)^(23-1))*'00_Inputs_Dashboard'!$B$21*'00_Inputs_Dashboard'!$B$50</f>
        <v>474178.182548901</v>
      </c>
      <c r="Y22" s="235" t="n">
        <f aca="false">(Y34-Y38*'00_Inputs_Dashboard'!$B$52*IF(24&lt;='00_Inputs_Dashboard'!$B$53,1,0))*((1+'00_Inputs_Dashboard'!$B$15)^(24-1))*'00_Inputs_Dashboard'!$B$21*'00_Inputs_Dashboard'!$B$50</f>
        <v>502628.873501836</v>
      </c>
      <c r="Z22" s="235" t="n">
        <f aca="false">(Z34-Z38*'00_Inputs_Dashboard'!$B$52*IF(25&lt;='00_Inputs_Dashboard'!$B$53,1,0))*((1+'00_Inputs_Dashboard'!$B$15)^(25-1))*'00_Inputs_Dashboard'!$B$21*'00_Inputs_Dashboard'!$B$50</f>
        <v>532786.605911946</v>
      </c>
      <c r="AA22" s="235" t="n">
        <f aca="false">(AA34-AA38*'00_Inputs_Dashboard'!$B$52*IF(26&lt;='00_Inputs_Dashboard'!$B$53,1,0))*((1+'00_Inputs_Dashboard'!$B$15)^(26-1))*'00_Inputs_Dashboard'!$B$21*'00_Inputs_Dashboard'!$B$50</f>
        <v>564753.802266663</v>
      </c>
      <c r="AB22" s="235" t="n">
        <f aca="false">(AB34-AB38*'00_Inputs_Dashboard'!$B$52*IF(27&lt;='00_Inputs_Dashboard'!$B$53,1,0))*((1+'00_Inputs_Dashboard'!$B$15)^(27-1))*'00_Inputs_Dashboard'!$B$21*'00_Inputs_Dashboard'!$B$50</f>
        <v>598639.030402662</v>
      </c>
      <c r="AC22" s="235" t="n">
        <f aca="false">(AC34-AC38*'00_Inputs_Dashboard'!$B$52*IF(28&lt;='00_Inputs_Dashboard'!$B$53,1,0))*((1+'00_Inputs_Dashboard'!$B$15)^(28-1))*'00_Inputs_Dashboard'!$B$21*'00_Inputs_Dashboard'!$B$50</f>
        <v>634557.372226822</v>
      </c>
      <c r="AD22" s="235" t="n">
        <f aca="false">(AD34-AD38*'00_Inputs_Dashboard'!$B$52*IF(29&lt;='00_Inputs_Dashboard'!$B$53,1,0))*((1+'00_Inputs_Dashboard'!$B$15)^(29-1))*'00_Inputs_Dashboard'!$B$21*'00_Inputs_Dashboard'!$B$50</f>
        <v>672630.814560431</v>
      </c>
      <c r="AE22" s="235" t="n">
        <f aca="false">(AE34-AE38*'00_Inputs_Dashboard'!$B$52*IF(30&lt;='00_Inputs_Dashboard'!$B$53,1,0))*((1+'00_Inputs_Dashboard'!$B$15)^(30-1))*'00_Inputs_Dashboard'!$B$21*'00_Inputs_Dashboard'!$B$50</f>
        <v>712988.663434057</v>
      </c>
      <c r="AF22" s="161"/>
    </row>
    <row r="23" customFormat="false" ht="15" hidden="false" customHeight="true" outlineLevel="0" collapsed="false">
      <c r="A23" s="161" t="s">
        <v>795</v>
      </c>
      <c r="B23" s="235" t="n">
        <f aca="false">(B35-B39*'00_Inputs_Dashboard'!$B$52*IF(1&lt;='00_Inputs_Dashboard'!$B$53,1,0))*((1+'00_Inputs_Dashboard'!$B$15)^(1-1))*'00_Inputs_Dashboard'!$B$22*'00_Inputs_Dashboard'!$B$50</f>
        <v>6810.03225</v>
      </c>
      <c r="C23" s="235" t="n">
        <f aca="false">(C35-C39*'00_Inputs_Dashboard'!$B$52*IF(2&lt;='00_Inputs_Dashboard'!$B$53,1,0))*((1+'00_Inputs_Dashboard'!$B$15)^(2-1))*'00_Inputs_Dashboard'!$B$22*'00_Inputs_Dashboard'!$B$50</f>
        <v>14437.26837</v>
      </c>
      <c r="D23" s="235" t="n">
        <f aca="false">(D35-D39*'00_Inputs_Dashboard'!$B$52*IF(3&lt;='00_Inputs_Dashboard'!$B$53,1,0))*((1+'00_Inputs_Dashboard'!$B$15)^(3-1))*'00_Inputs_Dashboard'!$B$22*'00_Inputs_Dashboard'!$B$50</f>
        <v>22955.2567083</v>
      </c>
      <c r="E23" s="235" t="n">
        <f aca="false">(E35-E39*'00_Inputs_Dashboard'!$B$52*IF(4&lt;='00_Inputs_Dashboard'!$B$53,1,0))*((1+'00_Inputs_Dashboard'!$B$15)^(4-1))*'00_Inputs_Dashboard'!$B$22*'00_Inputs_Dashboard'!$B$50</f>
        <v>32443.429481064</v>
      </c>
      <c r="F23" s="235" t="n">
        <f aca="false">(F35-F39*'00_Inputs_Dashboard'!$B$52*IF(5&lt;='00_Inputs_Dashboard'!$B$53,1,0))*((1+'00_Inputs_Dashboard'!$B$15)^(5-1))*'00_Inputs_Dashboard'!$B$22*'00_Inputs_Dashboard'!$B$50</f>
        <v>40514.8677352272</v>
      </c>
      <c r="G23" s="235" t="n">
        <f aca="false">(G35-G39*'00_Inputs_Dashboard'!$B$52*IF(6&lt;='00_Inputs_Dashboard'!$B$53,1,0))*((1+'00_Inputs_Dashboard'!$B$15)^(6-1))*'00_Inputs_Dashboard'!$B$22*'00_Inputs_Dashboard'!$B$50</f>
        <v>42945.7597993408</v>
      </c>
      <c r="H23" s="235" t="n">
        <f aca="false">(H35-H39*'00_Inputs_Dashboard'!$B$52*IF(7&lt;='00_Inputs_Dashboard'!$B$53,1,0))*((1+'00_Inputs_Dashboard'!$B$15)^(7-1))*'00_Inputs_Dashboard'!$B$22*'00_Inputs_Dashboard'!$B$50</f>
        <v>45522.5053873013</v>
      </c>
      <c r="I23" s="235" t="n">
        <f aca="false">(I35-I39*'00_Inputs_Dashboard'!$B$52*IF(8&lt;='00_Inputs_Dashboard'!$B$53,1,0))*((1+'00_Inputs_Dashboard'!$B$15)^(8-1))*'00_Inputs_Dashboard'!$B$22*'00_Inputs_Dashboard'!$B$50</f>
        <v>48253.8557105394</v>
      </c>
      <c r="J23" s="235" t="n">
        <f aca="false">(J35-J39*'00_Inputs_Dashboard'!$B$52*IF(9&lt;='00_Inputs_Dashboard'!$B$53,1,0))*((1+'00_Inputs_Dashboard'!$B$15)^(9-1))*'00_Inputs_Dashboard'!$B$22*'00_Inputs_Dashboard'!$B$50</f>
        <v>51149.0870531717</v>
      </c>
      <c r="K23" s="235" t="n">
        <f aca="false">(K35-K39*'00_Inputs_Dashboard'!$B$52*IF(10&lt;='00_Inputs_Dashboard'!$B$53,1,0))*((1+'00_Inputs_Dashboard'!$B$15)^(10-1))*'00_Inputs_Dashboard'!$B$22*'00_Inputs_Dashboard'!$B$50</f>
        <v>54218.0322763621</v>
      </c>
      <c r="L23" s="235" t="n">
        <f aca="false">(L35-L39*'00_Inputs_Dashboard'!$B$52*IF(11&lt;='00_Inputs_Dashboard'!$B$53,1,0))*((1+'00_Inputs_Dashboard'!$B$15)^(11-1))*'00_Inputs_Dashboard'!$B$22*'00_Inputs_Dashboard'!$B$50</f>
        <v>57471.1142129438</v>
      </c>
      <c r="M23" s="235" t="n">
        <f aca="false">(M35-M39*'00_Inputs_Dashboard'!$B$52*IF(12&lt;='00_Inputs_Dashboard'!$B$53,1,0))*((1+'00_Inputs_Dashboard'!$B$15)^(12-1))*'00_Inputs_Dashboard'!$B$22*'00_Inputs_Dashboard'!$B$50</f>
        <v>60919.3810657204</v>
      </c>
      <c r="N23" s="235" t="n">
        <f aca="false">(N35-N39*'00_Inputs_Dashboard'!$B$52*IF(13&lt;='00_Inputs_Dashboard'!$B$53,1,0))*((1+'00_Inputs_Dashboard'!$B$15)^(13-1))*'00_Inputs_Dashboard'!$B$22*'00_Inputs_Dashboard'!$B$50</f>
        <v>64574.5439296636</v>
      </c>
      <c r="O23" s="235" t="n">
        <f aca="false">(O35-O39*'00_Inputs_Dashboard'!$B$52*IF(14&lt;='00_Inputs_Dashboard'!$B$53,1,0))*((1+'00_Inputs_Dashboard'!$B$15)^(14-1))*'00_Inputs_Dashboard'!$B$22*'00_Inputs_Dashboard'!$B$50</f>
        <v>68449.0165654434</v>
      </c>
      <c r="P23" s="235" t="n">
        <f aca="false">(P35-P39*'00_Inputs_Dashboard'!$B$52*IF(15&lt;='00_Inputs_Dashboard'!$B$53,1,0))*((1+'00_Inputs_Dashboard'!$B$15)^(15-1))*'00_Inputs_Dashboard'!$B$22*'00_Inputs_Dashboard'!$B$50</f>
        <v>72555.9575593701</v>
      </c>
      <c r="Q23" s="235" t="n">
        <f aca="false">(Q35-Q39*'00_Inputs_Dashboard'!$B$52*IF(16&lt;='00_Inputs_Dashboard'!$B$53,1,0))*((1+'00_Inputs_Dashboard'!$B$15)^(16-1))*'00_Inputs_Dashboard'!$B$22*'00_Inputs_Dashboard'!$B$50</f>
        <v>76909.3150129323</v>
      </c>
      <c r="R23" s="235" t="n">
        <f aca="false">(R35-R39*'00_Inputs_Dashboard'!$B$52*IF(17&lt;='00_Inputs_Dashboard'!$B$53,1,0))*((1+'00_Inputs_Dashboard'!$B$15)^(17-1))*'00_Inputs_Dashboard'!$B$22*'00_Inputs_Dashboard'!$B$50</f>
        <v>81523.8739137082</v>
      </c>
      <c r="S23" s="235" t="n">
        <f aca="false">(S35-S39*'00_Inputs_Dashboard'!$B$52*IF(18&lt;='00_Inputs_Dashboard'!$B$53,1,0))*((1+'00_Inputs_Dashboard'!$B$15)^(18-1))*'00_Inputs_Dashboard'!$B$22*'00_Inputs_Dashboard'!$B$50</f>
        <v>86415.3063485307</v>
      </c>
      <c r="T23" s="235" t="n">
        <f aca="false">(T35-T39*'00_Inputs_Dashboard'!$B$52*IF(19&lt;='00_Inputs_Dashboard'!$B$53,1,0))*((1+'00_Inputs_Dashboard'!$B$15)^(19-1))*'00_Inputs_Dashboard'!$B$22*'00_Inputs_Dashboard'!$B$50</f>
        <v>91600.2247294426</v>
      </c>
      <c r="U23" s="235" t="n">
        <f aca="false">(U35-U39*'00_Inputs_Dashboard'!$B$52*IF(20&lt;='00_Inputs_Dashboard'!$B$53,1,0))*((1+'00_Inputs_Dashboard'!$B$15)^(20-1))*'00_Inputs_Dashboard'!$B$22*'00_Inputs_Dashboard'!$B$50</f>
        <v>97096.2382132091</v>
      </c>
      <c r="V23" s="235" t="n">
        <f aca="false">(V35-V39*'00_Inputs_Dashboard'!$B$52*IF(21&lt;='00_Inputs_Dashboard'!$B$53,1,0))*((1+'00_Inputs_Dashboard'!$B$15)^(21-1))*'00_Inputs_Dashboard'!$B$22*'00_Inputs_Dashboard'!$B$50</f>
        <v>102922.012506002</v>
      </c>
      <c r="W23" s="235" t="n">
        <f aca="false">(W35-W39*'00_Inputs_Dashboard'!$B$52*IF(22&lt;='00_Inputs_Dashboard'!$B$53,1,0))*((1+'00_Inputs_Dashboard'!$B$15)^(22-1))*'00_Inputs_Dashboard'!$B$22*'00_Inputs_Dashboard'!$B$50</f>
        <v>109097.333256362</v>
      </c>
      <c r="X23" s="235" t="n">
        <f aca="false">(X35-X39*'00_Inputs_Dashboard'!$B$52*IF(23&lt;='00_Inputs_Dashboard'!$B$53,1,0))*((1+'00_Inputs_Dashboard'!$B$15)^(23-1))*'00_Inputs_Dashboard'!$B$22*'00_Inputs_Dashboard'!$B$50</f>
        <v>115643.173251743</v>
      </c>
      <c r="Y23" s="235" t="n">
        <f aca="false">(Y35-Y39*'00_Inputs_Dashboard'!$B$52*IF(24&lt;='00_Inputs_Dashboard'!$B$53,1,0))*((1+'00_Inputs_Dashboard'!$B$15)^(24-1))*'00_Inputs_Dashboard'!$B$22*'00_Inputs_Dashboard'!$B$50</f>
        <v>122581.763646848</v>
      </c>
      <c r="Z23" s="235" t="n">
        <f aca="false">(Z35-Z39*'00_Inputs_Dashboard'!$B$52*IF(25&lt;='00_Inputs_Dashboard'!$B$53,1,0))*((1+'00_Inputs_Dashboard'!$B$15)^(25-1))*'00_Inputs_Dashboard'!$B$22*'00_Inputs_Dashboard'!$B$50</f>
        <v>129936.669465659</v>
      </c>
      <c r="AA23" s="235" t="n">
        <f aca="false">(AA35-AA39*'00_Inputs_Dashboard'!$B$52*IF(26&lt;='00_Inputs_Dashboard'!$B$53,1,0))*((1+'00_Inputs_Dashboard'!$B$15)^(26-1))*'00_Inputs_Dashboard'!$B$22*'00_Inputs_Dashboard'!$B$50</f>
        <v>137732.869633599</v>
      </c>
      <c r="AB23" s="235" t="n">
        <f aca="false">(AB35-AB39*'00_Inputs_Dashboard'!$B$52*IF(27&lt;='00_Inputs_Dashboard'!$B$53,1,0))*((1+'00_Inputs_Dashboard'!$B$15)^(27-1))*'00_Inputs_Dashboard'!$B$22*'00_Inputs_Dashboard'!$B$50</f>
        <v>145996.841811614</v>
      </c>
      <c r="AC23" s="235" t="n">
        <f aca="false">(AC35-AC39*'00_Inputs_Dashboard'!$B$52*IF(28&lt;='00_Inputs_Dashboard'!$B$53,1,0))*((1+'00_Inputs_Dashboard'!$B$15)^(28-1))*'00_Inputs_Dashboard'!$B$22*'00_Inputs_Dashboard'!$B$50</f>
        <v>154756.652320311</v>
      </c>
      <c r="AD23" s="235" t="n">
        <f aca="false">(AD35-AD39*'00_Inputs_Dashboard'!$B$52*IF(29&lt;='00_Inputs_Dashboard'!$B$53,1,0))*((1+'00_Inputs_Dashboard'!$B$15)^(29-1))*'00_Inputs_Dashboard'!$B$22*'00_Inputs_Dashboard'!$B$50</f>
        <v>164042.05145953</v>
      </c>
      <c r="AE23" s="235" t="n">
        <f aca="false">(AE35-AE39*'00_Inputs_Dashboard'!$B$52*IF(30&lt;='00_Inputs_Dashboard'!$B$53,1,0))*((1+'00_Inputs_Dashboard'!$B$15)^(30-1))*'00_Inputs_Dashboard'!$B$22*'00_Inputs_Dashboard'!$B$50</f>
        <v>173884.574547102</v>
      </c>
      <c r="AF23" s="161"/>
    </row>
    <row r="24" customFormat="false" ht="15" hidden="false" customHeight="true" outlineLevel="0" collapsed="false">
      <c r="A24" s="161" t="s">
        <v>796</v>
      </c>
      <c r="B24" s="235" t="n">
        <f aca="false">SUMPRODUCT(--(Scenarios!$C$3:$C$27=TRUE()),Scenarios!$Z$3:$Z$27,'09_Phase_Factors'!$D$30:$D$54)</f>
        <v>358250</v>
      </c>
      <c r="C24" s="235" t="n">
        <f aca="false">SUMPRODUCT(--(Scenarios!$C$3:$C$27=TRUE()),Scenarios!$Z$3:$Z$27,'09_Phase_Factors'!$E$30:$E$54)</f>
        <v>358250</v>
      </c>
      <c r="D24" s="235" t="n">
        <f aca="false">SUMPRODUCT(--(Scenarios!$C$3:$C$27=TRUE()),Scenarios!$Z$3:$Z$27,'09_Phase_Factors'!$F$30:$F$54)</f>
        <v>358250</v>
      </c>
      <c r="E24" s="235" t="n">
        <f aca="false">SUMPRODUCT(--(Scenarios!$C$3:$C$27=TRUE()),Scenarios!$Z$3:$Z$27,'09_Phase_Factors'!$G$30:$G$54)</f>
        <v>358250</v>
      </c>
      <c r="F24" s="235" t="n">
        <f aca="false">SUMPRODUCT(--(Scenarios!$C$3:$C$27=TRUE()),Scenarios!$Z$3:$Z$27,'09_Phase_Factors'!$H$30:$H$54)</f>
        <v>143300</v>
      </c>
      <c r="G24" s="235" t="n">
        <f aca="false">SUMPRODUCT(--(Scenarios!$C$3:$C$27=TRUE()),Scenarios!$Z$3:$Z$27,'09_Phase_Factors'!$I$30:$I$54)</f>
        <v>0</v>
      </c>
      <c r="H24" s="235" t="n">
        <f aca="false">SUMPRODUCT(--(Scenarios!$C$3:$C$27=TRUE()),Scenarios!$Z$3:$Z$27,'09_Phase_Factors'!$J$30:$J$54)</f>
        <v>0</v>
      </c>
      <c r="I24" s="235" t="n">
        <f aca="false">SUMPRODUCT(--(Scenarios!$C$3:$C$27=TRUE()),Scenarios!$Z$3:$Z$27,'09_Phase_Factors'!$K$30:$K$54)</f>
        <v>0</v>
      </c>
      <c r="J24" s="235" t="n">
        <f aca="false">SUMPRODUCT(--(Scenarios!$C$3:$C$27=TRUE()),Scenarios!$Z$3:$Z$27,'09_Phase_Factors'!$L$30:$L$54)</f>
        <v>0</v>
      </c>
      <c r="K24" s="235" t="n">
        <f aca="false">SUMPRODUCT(--(Scenarios!$C$3:$C$27=TRUE()),Scenarios!$Z$3:$Z$27,'09_Phase_Factors'!$M$30:$M$54)</f>
        <v>0</v>
      </c>
      <c r="L24" s="235" t="n">
        <f aca="false">SUMPRODUCT(--(Scenarios!$C$3:$C$27=TRUE()),Scenarios!$Z$3:$Z$27,'09_Phase_Factors'!$N$30:$N$54)</f>
        <v>0</v>
      </c>
      <c r="M24" s="235" t="n">
        <f aca="false">SUMPRODUCT(--(Scenarios!$C$3:$C$27=TRUE()),Scenarios!$Z$3:$Z$27,'09_Phase_Factors'!$O$30:$O$54)</f>
        <v>0</v>
      </c>
      <c r="N24" s="235" t="n">
        <f aca="false">SUMPRODUCT(--(Scenarios!$C$3:$C$27=TRUE()),Scenarios!$Z$3:$Z$27,'09_Phase_Factors'!$P$30:$P$54)</f>
        <v>0</v>
      </c>
      <c r="O24" s="235" t="n">
        <f aca="false">SUMPRODUCT(--(Scenarios!$C$3:$C$27=TRUE()),Scenarios!$Z$3:$Z$27,'09_Phase_Factors'!$Q$30:$Q$54)</f>
        <v>0</v>
      </c>
      <c r="P24" s="235" t="n">
        <f aca="false">SUMPRODUCT(--(Scenarios!$C$3:$C$27=TRUE()),Scenarios!$Z$3:$Z$27,'09_Phase_Factors'!$R$30:$R$54)</f>
        <v>0</v>
      </c>
      <c r="Q24" s="235" t="n">
        <f aca="false">SUMPRODUCT(--(Scenarios!$C$3:$C$27=TRUE()),Scenarios!$Z$3:$Z$27,'09_Phase_Factors'!$S$30:$S$54)</f>
        <v>0</v>
      </c>
      <c r="R24" s="235" t="n">
        <f aca="false">SUMPRODUCT(--(Scenarios!$C$3:$C$27=TRUE()),Scenarios!$Z$3:$Z$27,'09_Phase_Factors'!$T$30:$T$54)</f>
        <v>0</v>
      </c>
      <c r="S24" s="235" t="n">
        <f aca="false">SUMPRODUCT(--(Scenarios!$C$3:$C$27=TRUE()),Scenarios!$Z$3:$Z$27,'09_Phase_Factors'!$U$30:$U$54)</f>
        <v>0</v>
      </c>
      <c r="T24" s="235" t="n">
        <f aca="false">SUMPRODUCT(--(Scenarios!$C$3:$C$27=TRUE()),Scenarios!$Z$3:$Z$27,'09_Phase_Factors'!$V$30:$V$54)</f>
        <v>0</v>
      </c>
      <c r="U24" s="235" t="n">
        <f aca="false">SUMPRODUCT(--(Scenarios!$C$3:$C$27=TRUE()),Scenarios!$Z$3:$Z$27,'09_Phase_Factors'!$W$30:$W$54)</f>
        <v>0</v>
      </c>
      <c r="V24" s="235" t="n">
        <f aca="false">SUMPRODUCT(--(Scenarios!$C$3:$C$27=TRUE()),Scenarios!$Z$3:$Z$27,'09_Phase_Factors'!$X$30:$X$54)</f>
        <v>0</v>
      </c>
      <c r="W24" s="235" t="n">
        <f aca="false">SUMPRODUCT(--(Scenarios!$C$3:$C$27=TRUE()),Scenarios!$Z$3:$Z$27,'09_Phase_Factors'!$Y$30:$Y$54)</f>
        <v>0</v>
      </c>
      <c r="X24" s="235" t="n">
        <f aca="false">SUMPRODUCT(--(Scenarios!$C$3:$C$27=TRUE()),Scenarios!$Z$3:$Z$27,'09_Phase_Factors'!$Z$30:$Z$54)</f>
        <v>0</v>
      </c>
      <c r="Y24" s="235" t="n">
        <f aca="false">SUMPRODUCT(--(Scenarios!$C$3:$C$27=TRUE()),Scenarios!$Z$3:$Z$27,'09_Phase_Factors'!$AA$30:$AA$54)</f>
        <v>0</v>
      </c>
      <c r="Z24" s="235" t="n">
        <f aca="false">SUMPRODUCT(--(Scenarios!$C$3:$C$27=TRUE()),Scenarios!$Z$3:$Z$27,'09_Phase_Factors'!$AB$30:$AB$54)</f>
        <v>0</v>
      </c>
      <c r="AA24" s="235" t="n">
        <f aca="false">SUMPRODUCT(--(Scenarios!$C$3:$C$27=TRUE()),Scenarios!$Z$3:$Z$27,'09_Phase_Factors'!$AC$30:$AC$54)</f>
        <v>0</v>
      </c>
      <c r="AB24" s="235" t="n">
        <f aca="false">SUMPRODUCT(--(Scenarios!$C$3:$C$27=TRUE()),Scenarios!$Z$3:$Z$27,'09_Phase_Factors'!$AD$30:$AD$54)</f>
        <v>0</v>
      </c>
      <c r="AC24" s="235" t="n">
        <f aca="false">SUMPRODUCT(--(Scenarios!$C$3:$C$27=TRUE()),Scenarios!$Z$3:$Z$27,'09_Phase_Factors'!$AE$30:$AE$54)</f>
        <v>0</v>
      </c>
      <c r="AD24" s="235" t="n">
        <f aca="false">SUMPRODUCT(--(Scenarios!$C$3:$C$27=TRUE()),Scenarios!$Z$3:$Z$27,'09_Phase_Factors'!$AF$30:$AF$54)</f>
        <v>0</v>
      </c>
      <c r="AE24" s="235" t="n">
        <f aca="false">SUMPRODUCT(--(Scenarios!$C$3:$C$27=TRUE()),Scenarios!$Z$3:$Z$27,'09_Phase_Factors'!$AG$30:$AG$54)</f>
        <v>0</v>
      </c>
      <c r="AF24" s="161"/>
    </row>
    <row r="25" customFormat="false" ht="15" hidden="false" customHeight="true" outlineLevel="0" collapsed="false">
      <c r="A25" s="161" t="s">
        <v>797</v>
      </c>
      <c r="B25" s="235" t="n">
        <f aca="false">(SUMPRODUCT(--(Scenarios!$C$3:$C$27=TRUE()),--(Scenarios!$AA$3:$AA$27&lt;&gt;""),Scenarios!$AA$3:$AA$27,'09_Phase_Factors'!$D$4:$D$28)+SUMPRODUCT(--(Scenarios!$C$3:$C$27=TRUE()),--(Scenarios!$AA$3:$AA$27=""),(Scenarios!$M$3:$M$27*'09_Phase_Factors'!$AH$4:$AH$28+Scenarios!$V$3:$V$27*'09_Phase_Factors'!$AI$4:$AI$28+Scenarios!$T$3:$T$27*'09_Phase_Factors'!$AJ$4:$AJ$28+Scenarios!$U$3:$U$27*'09_Phase_Factors'!$AK$4:$AK$28),'09_Phase_Factors'!$D$4:$D$28))*((1+'00_Inputs_Dashboard'!$B$23)^(1-1))</f>
        <v>51720</v>
      </c>
      <c r="C25" s="235" t="n">
        <f aca="false">(SUMPRODUCT(--(Scenarios!$C$3:$C$27=TRUE()),--(Scenarios!$AA$3:$AA$27&lt;&gt;""),Scenarios!$AA$3:$AA$27,'09_Phase_Factors'!$E$4:$E$28)+SUMPRODUCT(--(Scenarios!$C$3:$C$27=TRUE()),--(Scenarios!$AA$3:$AA$27=""),(Scenarios!$M$3:$M$27*'09_Phase_Factors'!$AH$4:$AH$28+Scenarios!$V$3:$V$27*'09_Phase_Factors'!$AI$4:$AI$28+Scenarios!$T$3:$T$27*'09_Phase_Factors'!$AJ$4:$AJ$28+Scenarios!$U$3:$U$27*'09_Phase_Factors'!$AK$4:$AK$28),'09_Phase_Factors'!$E$4:$E$28))*((1+'00_Inputs_Dashboard'!$B$23)^(2-1))</f>
        <v>106026</v>
      </c>
      <c r="D25" s="235" t="n">
        <f aca="false">(SUMPRODUCT(--(Scenarios!$C$3:$C$27=TRUE()),--(Scenarios!$AA$3:$AA$27&lt;&gt;""),Scenarios!$AA$3:$AA$27,'09_Phase_Factors'!$F$4:$F$28)+SUMPRODUCT(--(Scenarios!$C$3:$C$27=TRUE()),--(Scenarios!$AA$3:$AA$27=""),(Scenarios!$M$3:$M$27*'09_Phase_Factors'!$AH$4:$AH$28+Scenarios!$V$3:$V$27*'09_Phase_Factors'!$AI$4:$AI$28+Scenarios!$T$3:$T$27*'09_Phase_Factors'!$AJ$4:$AJ$28+Scenarios!$U$3:$U$27*'09_Phase_Factors'!$AK$4:$AK$28),'09_Phase_Factors'!$F$4:$F$28))*((1+'00_Inputs_Dashboard'!$B$23)^(3-1))</f>
        <v>163014.975</v>
      </c>
      <c r="E25" s="235" t="n">
        <f aca="false">(SUMPRODUCT(--(Scenarios!$C$3:$C$27=TRUE()),--(Scenarios!$AA$3:$AA$27&lt;&gt;""),Scenarios!$AA$3:$AA$27,'09_Phase_Factors'!$G$4:$G$28)+SUMPRODUCT(--(Scenarios!$C$3:$C$27=TRUE()),--(Scenarios!$AA$3:$AA$27=""),(Scenarios!$M$3:$M$27*'09_Phase_Factors'!$AH$4:$AH$28+Scenarios!$V$3:$V$27*'09_Phase_Factors'!$AI$4:$AI$28+Scenarios!$T$3:$T$27*'09_Phase_Factors'!$AJ$4:$AJ$28+Scenarios!$U$3:$U$27*'09_Phase_Factors'!$AK$4:$AK$28),'09_Phase_Factors'!$G$4:$G$28))*((1+'00_Inputs_Dashboard'!$B$23)^(4-1))</f>
        <v>222787.1325</v>
      </c>
      <c r="F25" s="235" t="n">
        <f aca="false">(SUMPRODUCT(--(Scenarios!$C$3:$C$27=TRUE()),--(Scenarios!$AA$3:$AA$27&lt;&gt;""),Scenarios!$AA$3:$AA$27,'09_Phase_Factors'!$H$4:$H$28)+SUMPRODUCT(--(Scenarios!$C$3:$C$27=TRUE()),--(Scenarios!$AA$3:$AA$27=""),(Scenarios!$M$3:$M$27*'09_Phase_Factors'!$AH$4:$AH$28+Scenarios!$V$3:$V$27*'09_Phase_Factors'!$AI$4:$AI$28+Scenarios!$T$3:$T$27*'09_Phase_Factors'!$AJ$4:$AJ$28+Scenarios!$U$3:$U$27*'09_Phase_Factors'!$AK$4:$AK$28),'09_Phase_Factors'!$H$4:$H$28))*((1+'00_Inputs_Dashboard'!$B$23)^(5-1))</f>
        <v>276339.557167969</v>
      </c>
      <c r="G25" s="235" t="n">
        <f aca="false">(SUMPRODUCT(--(Scenarios!$C$3:$C$27=TRUE()),--(Scenarios!$AA$3:$AA$27&lt;&gt;""),Scenarios!$AA$3:$AA$27,'09_Phase_Factors'!$I$4:$I$28)+SUMPRODUCT(--(Scenarios!$C$3:$C$27=TRUE()),--(Scenarios!$AA$3:$AA$27=""),(Scenarios!$M$3:$M$27*'09_Phase_Factors'!$AH$4:$AH$28+Scenarios!$V$3:$V$27*'09_Phase_Factors'!$AI$4:$AI$28+Scenarios!$T$3:$T$27*'09_Phase_Factors'!$AJ$4:$AJ$28+Scenarios!$U$3:$U$27*'09_Phase_Factors'!$AK$4:$AK$28),'09_Phase_Factors'!$I$4:$I$28))*((1+'00_Inputs_Dashboard'!$B$23)^(6-1))</f>
        <v>283248.046097168</v>
      </c>
      <c r="H25" s="235" t="n">
        <f aca="false">(SUMPRODUCT(--(Scenarios!$C$3:$C$27=TRUE()),--(Scenarios!$AA$3:$AA$27&lt;&gt;""),Scenarios!$AA$3:$AA$27,'09_Phase_Factors'!$J$4:$J$28)+SUMPRODUCT(--(Scenarios!$C$3:$C$27=TRUE()),--(Scenarios!$AA$3:$AA$27=""),(Scenarios!$M$3:$M$27*'09_Phase_Factors'!$AH$4:$AH$28+Scenarios!$V$3:$V$27*'09_Phase_Factors'!$AI$4:$AI$28+Scenarios!$T$3:$T$27*'09_Phase_Factors'!$AJ$4:$AJ$28+Scenarios!$U$3:$U$27*'09_Phase_Factors'!$AK$4:$AK$28),'09_Phase_Factors'!$J$4:$J$28))*((1+'00_Inputs_Dashboard'!$B$23)^(7-1))</f>
        <v>290329.247249597</v>
      </c>
      <c r="I25" s="235" t="n">
        <f aca="false">(SUMPRODUCT(--(Scenarios!$C$3:$C$27=TRUE()),--(Scenarios!$AA$3:$AA$27&lt;&gt;""),Scenarios!$AA$3:$AA$27,'09_Phase_Factors'!$K$4:$K$28)+SUMPRODUCT(--(Scenarios!$C$3:$C$27=TRUE()),--(Scenarios!$AA$3:$AA$27=""),(Scenarios!$M$3:$M$27*'09_Phase_Factors'!$AH$4:$AH$28+Scenarios!$V$3:$V$27*'09_Phase_Factors'!$AI$4:$AI$28+Scenarios!$T$3:$T$27*'09_Phase_Factors'!$AJ$4:$AJ$28+Scenarios!$U$3:$U$27*'09_Phase_Factors'!$AK$4:$AK$28),'09_Phase_Factors'!$K$4:$K$28))*((1+'00_Inputs_Dashboard'!$B$23)^(8-1))</f>
        <v>297587.478430837</v>
      </c>
      <c r="J25" s="235" t="n">
        <f aca="false">(SUMPRODUCT(--(Scenarios!$C$3:$C$27=TRUE()),--(Scenarios!$AA$3:$AA$27&lt;&gt;""),Scenarios!$AA$3:$AA$27,'09_Phase_Factors'!$L$4:$L$28)+SUMPRODUCT(--(Scenarios!$C$3:$C$27=TRUE()),--(Scenarios!$AA$3:$AA$27=""),(Scenarios!$M$3:$M$27*'09_Phase_Factors'!$AH$4:$AH$28+Scenarios!$V$3:$V$27*'09_Phase_Factors'!$AI$4:$AI$28+Scenarios!$T$3:$T$27*'09_Phase_Factors'!$AJ$4:$AJ$28+Scenarios!$U$3:$U$27*'09_Phase_Factors'!$AK$4:$AK$28),'09_Phase_Factors'!$L$4:$L$28))*((1+'00_Inputs_Dashboard'!$B$23)^(9-1))</f>
        <v>305027.165391608</v>
      </c>
      <c r="K25" s="235" t="n">
        <f aca="false">(SUMPRODUCT(--(Scenarios!$C$3:$C$27=TRUE()),--(Scenarios!$AA$3:$AA$27&lt;&gt;""),Scenarios!$AA$3:$AA$27,'09_Phase_Factors'!$M$4:$M$28)+SUMPRODUCT(--(Scenarios!$C$3:$C$27=TRUE()),--(Scenarios!$AA$3:$AA$27=""),(Scenarios!$M$3:$M$27*'09_Phase_Factors'!$AH$4:$AH$28+Scenarios!$V$3:$V$27*'09_Phase_Factors'!$AI$4:$AI$28+Scenarios!$T$3:$T$27*'09_Phase_Factors'!$AJ$4:$AJ$28+Scenarios!$U$3:$U$27*'09_Phase_Factors'!$AK$4:$AK$28),'09_Phase_Factors'!$M$4:$M$28))*((1+'00_Inputs_Dashboard'!$B$23)^(10-1))</f>
        <v>312652.844526398</v>
      </c>
      <c r="L25" s="235" t="n">
        <f aca="false">(SUMPRODUCT(--(Scenarios!$C$3:$C$27=TRUE()),--(Scenarios!$AA$3:$AA$27&lt;&gt;""),Scenarios!$AA$3:$AA$27,'09_Phase_Factors'!$N$4:$N$28)+SUMPRODUCT(--(Scenarios!$C$3:$C$27=TRUE()),--(Scenarios!$AA$3:$AA$27=""),(Scenarios!$M$3:$M$27*'09_Phase_Factors'!$AH$4:$AH$28+Scenarios!$V$3:$V$27*'09_Phase_Factors'!$AI$4:$AI$28+Scenarios!$T$3:$T$27*'09_Phase_Factors'!$AJ$4:$AJ$28+Scenarios!$U$3:$U$27*'09_Phase_Factors'!$AK$4:$AK$28),'09_Phase_Factors'!$N$4:$N$28))*((1+'00_Inputs_Dashboard'!$B$23)^(11-1))</f>
        <v>320469.165639558</v>
      </c>
      <c r="M25" s="235" t="n">
        <f aca="false">(SUMPRODUCT(--(Scenarios!$C$3:$C$27=TRUE()),--(Scenarios!$AA$3:$AA$27&lt;&gt;""),Scenarios!$AA$3:$AA$27,'09_Phase_Factors'!$O$4:$O$28)+SUMPRODUCT(--(Scenarios!$C$3:$C$27=TRUE()),--(Scenarios!$AA$3:$AA$27=""),(Scenarios!$M$3:$M$27*'09_Phase_Factors'!$AH$4:$AH$28+Scenarios!$V$3:$V$27*'09_Phase_Factors'!$AI$4:$AI$28+Scenarios!$T$3:$T$27*'09_Phase_Factors'!$AJ$4:$AJ$28+Scenarios!$U$3:$U$27*'09_Phase_Factors'!$AK$4:$AK$28),'09_Phase_Factors'!$O$4:$O$28))*((1+'00_Inputs_Dashboard'!$B$23)^(12-1))</f>
        <v>328480.894780547</v>
      </c>
      <c r="N25" s="235" t="n">
        <f aca="false">(SUMPRODUCT(--(Scenarios!$C$3:$C$27=TRUE()),--(Scenarios!$AA$3:$AA$27&lt;&gt;""),Scenarios!$AA$3:$AA$27,'09_Phase_Factors'!$P$4:$P$28)+SUMPRODUCT(--(Scenarios!$C$3:$C$27=TRUE()),--(Scenarios!$AA$3:$AA$27=""),(Scenarios!$M$3:$M$27*'09_Phase_Factors'!$AH$4:$AH$28+Scenarios!$V$3:$V$27*'09_Phase_Factors'!$AI$4:$AI$28+Scenarios!$T$3:$T$27*'09_Phase_Factors'!$AJ$4:$AJ$28+Scenarios!$U$3:$U$27*'09_Phase_Factors'!$AK$4:$AK$28),'09_Phase_Factors'!$P$4:$P$28))*((1+'00_Inputs_Dashboard'!$B$23)^(13-1))</f>
        <v>336692.917150061</v>
      </c>
      <c r="O25" s="235" t="n">
        <f aca="false">(SUMPRODUCT(--(Scenarios!$C$3:$C$27=TRUE()),--(Scenarios!$AA$3:$AA$27&lt;&gt;""),Scenarios!$AA$3:$AA$27,'09_Phase_Factors'!$Q$4:$Q$28)+SUMPRODUCT(--(Scenarios!$C$3:$C$27=TRUE()),--(Scenarios!$AA$3:$AA$27=""),(Scenarios!$M$3:$M$27*'09_Phase_Factors'!$AH$4:$AH$28+Scenarios!$V$3:$V$27*'09_Phase_Factors'!$AI$4:$AI$28+Scenarios!$T$3:$T$27*'09_Phase_Factors'!$AJ$4:$AJ$28+Scenarios!$U$3:$U$27*'09_Phase_Factors'!$AK$4:$AK$28),'09_Phase_Factors'!$Q$4:$Q$28))*((1+'00_Inputs_Dashboard'!$B$23)^(14-1))</f>
        <v>345110.240078812</v>
      </c>
      <c r="P25" s="235" t="n">
        <f aca="false">(SUMPRODUCT(--(Scenarios!$C$3:$C$27=TRUE()),--(Scenarios!$AA$3:$AA$27&lt;&gt;""),Scenarios!$AA$3:$AA$27,'09_Phase_Factors'!$R$4:$R$28)+SUMPRODUCT(--(Scenarios!$C$3:$C$27=TRUE()),--(Scenarios!$AA$3:$AA$27=""),(Scenarios!$M$3:$M$27*'09_Phase_Factors'!$AH$4:$AH$28+Scenarios!$V$3:$V$27*'09_Phase_Factors'!$AI$4:$AI$28+Scenarios!$T$3:$T$27*'09_Phase_Factors'!$AJ$4:$AJ$28+Scenarios!$U$3:$U$27*'09_Phase_Factors'!$AK$4:$AK$28),'09_Phase_Factors'!$R$4:$R$28))*((1+'00_Inputs_Dashboard'!$B$23)^(15-1))</f>
        <v>353737.996080782</v>
      </c>
      <c r="Q25" s="235" t="n">
        <f aca="false">(SUMPRODUCT(--(Scenarios!$C$3:$C$27=TRUE()),--(Scenarios!$AA$3:$AA$27&lt;&gt;""),Scenarios!$AA$3:$AA$27,'09_Phase_Factors'!$S$4:$S$28)+SUMPRODUCT(--(Scenarios!$C$3:$C$27=TRUE()),--(Scenarios!$AA$3:$AA$27=""),(Scenarios!$M$3:$M$27*'09_Phase_Factors'!$AH$4:$AH$28+Scenarios!$V$3:$V$27*'09_Phase_Factors'!$AI$4:$AI$28+Scenarios!$T$3:$T$27*'09_Phase_Factors'!$AJ$4:$AJ$28+Scenarios!$U$3:$U$27*'09_Phase_Factors'!$AK$4:$AK$28),'09_Phase_Factors'!$S$4:$S$28))*((1+'00_Inputs_Dashboard'!$B$23)^(16-1))</f>
        <v>362581.445982802</v>
      </c>
      <c r="R25" s="235" t="n">
        <f aca="false">(SUMPRODUCT(--(Scenarios!$C$3:$C$27=TRUE()),--(Scenarios!$AA$3:$AA$27&lt;&gt;""),Scenarios!$AA$3:$AA$27,'09_Phase_Factors'!$T$4:$T$28)+SUMPRODUCT(--(Scenarios!$C$3:$C$27=TRUE()),--(Scenarios!$AA$3:$AA$27=""),(Scenarios!$M$3:$M$27*'09_Phase_Factors'!$AH$4:$AH$28+Scenarios!$V$3:$V$27*'09_Phase_Factors'!$AI$4:$AI$28+Scenarios!$T$3:$T$27*'09_Phase_Factors'!$AJ$4:$AJ$28+Scenarios!$U$3:$U$27*'09_Phase_Factors'!$AK$4:$AK$28),'09_Phase_Factors'!$T$4:$T$28))*((1+'00_Inputs_Dashboard'!$B$23)^(17-1))</f>
        <v>371645.982132372</v>
      </c>
      <c r="S25" s="235" t="n">
        <f aca="false">(SUMPRODUCT(--(Scenarios!$C$3:$C$27=TRUE()),--(Scenarios!$AA$3:$AA$27&lt;&gt;""),Scenarios!$AA$3:$AA$27,'09_Phase_Factors'!$U$4:$U$28)+SUMPRODUCT(--(Scenarios!$C$3:$C$27=TRUE()),--(Scenarios!$AA$3:$AA$27=""),(Scenarios!$M$3:$M$27*'09_Phase_Factors'!$AH$4:$AH$28+Scenarios!$V$3:$V$27*'09_Phase_Factors'!$AI$4:$AI$28+Scenarios!$T$3:$T$27*'09_Phase_Factors'!$AJ$4:$AJ$28+Scenarios!$U$3:$U$27*'09_Phase_Factors'!$AK$4:$AK$28),'09_Phase_Factors'!$U$4:$U$28))*((1+'00_Inputs_Dashboard'!$B$23)^(18-1))</f>
        <v>380937.131685681</v>
      </c>
      <c r="T25" s="235" t="n">
        <f aca="false">(SUMPRODUCT(--(Scenarios!$C$3:$C$27=TRUE()),--(Scenarios!$AA$3:$AA$27&lt;&gt;""),Scenarios!$AA$3:$AA$27,'09_Phase_Factors'!$V$4:$V$28)+SUMPRODUCT(--(Scenarios!$C$3:$C$27=TRUE()),--(Scenarios!$AA$3:$AA$27=""),(Scenarios!$M$3:$M$27*'09_Phase_Factors'!$AH$4:$AH$28+Scenarios!$V$3:$V$27*'09_Phase_Factors'!$AI$4:$AI$28+Scenarios!$T$3:$T$27*'09_Phase_Factors'!$AJ$4:$AJ$28+Scenarios!$U$3:$U$27*'09_Phase_Factors'!$AK$4:$AK$28),'09_Phase_Factors'!$V$4:$V$28))*((1+'00_Inputs_Dashboard'!$B$23)^(19-1))</f>
        <v>390460.559977823</v>
      </c>
      <c r="U25" s="235" t="n">
        <f aca="false">(SUMPRODUCT(--(Scenarios!$C$3:$C$27=TRUE()),--(Scenarios!$AA$3:$AA$27&lt;&gt;""),Scenarios!$AA$3:$AA$27,'09_Phase_Factors'!$W$4:$W$28)+SUMPRODUCT(--(Scenarios!$C$3:$C$27=TRUE()),--(Scenarios!$AA$3:$AA$27=""),(Scenarios!$M$3:$M$27*'09_Phase_Factors'!$AH$4:$AH$28+Scenarios!$V$3:$V$27*'09_Phase_Factors'!$AI$4:$AI$28+Scenarios!$T$3:$T$27*'09_Phase_Factors'!$AJ$4:$AJ$28+Scenarios!$U$3:$U$27*'09_Phase_Factors'!$AK$4:$AK$28),'09_Phase_Factors'!$W$4:$W$28))*((1+'00_Inputs_Dashboard'!$B$23)^(20-1))</f>
        <v>400222.073977269</v>
      </c>
      <c r="V25" s="235" t="n">
        <f aca="false">(SUMPRODUCT(--(Scenarios!$C$3:$C$27=TRUE()),--(Scenarios!$AA$3:$AA$27&lt;&gt;""),Scenarios!$AA$3:$AA$27,'09_Phase_Factors'!$X$4:$X$28)+SUMPRODUCT(--(Scenarios!$C$3:$C$27=TRUE()),--(Scenarios!$AA$3:$AA$27=""),(Scenarios!$M$3:$M$27*'09_Phase_Factors'!$AH$4:$AH$28+Scenarios!$V$3:$V$27*'09_Phase_Factors'!$AI$4:$AI$28+Scenarios!$T$3:$T$27*'09_Phase_Factors'!$AJ$4:$AJ$28+Scenarios!$U$3:$U$27*'09_Phase_Factors'!$AK$4:$AK$28),'09_Phase_Factors'!$X$4:$X$28))*((1+'00_Inputs_Dashboard'!$B$23)^(21-1))</f>
        <v>410227.6258267</v>
      </c>
      <c r="W25" s="235" t="n">
        <f aca="false">(SUMPRODUCT(--(Scenarios!$C$3:$C$27=TRUE()),--(Scenarios!$AA$3:$AA$27&lt;&gt;""),Scenarios!$AA$3:$AA$27,'09_Phase_Factors'!$Y$4:$Y$28)+SUMPRODUCT(--(Scenarios!$C$3:$C$27=TRUE()),--(Scenarios!$AA$3:$AA$27=""),(Scenarios!$M$3:$M$27*'09_Phase_Factors'!$AH$4:$AH$28+Scenarios!$V$3:$V$27*'09_Phase_Factors'!$AI$4:$AI$28+Scenarios!$T$3:$T$27*'09_Phase_Factors'!$AJ$4:$AJ$28+Scenarios!$U$3:$U$27*'09_Phase_Factors'!$AK$4:$AK$28),'09_Phase_Factors'!$Y$4:$Y$28))*((1+'00_Inputs_Dashboard'!$B$23)^(22-1))</f>
        <v>420483.316472368</v>
      </c>
      <c r="X25" s="235" t="n">
        <f aca="false">(SUMPRODUCT(--(Scenarios!$C$3:$C$27=TRUE()),--(Scenarios!$AA$3:$AA$27&lt;&gt;""),Scenarios!$AA$3:$AA$27,'09_Phase_Factors'!$Z$4:$Z$28)+SUMPRODUCT(--(Scenarios!$C$3:$C$27=TRUE()),--(Scenarios!$AA$3:$AA$27=""),(Scenarios!$M$3:$M$27*'09_Phase_Factors'!$AH$4:$AH$28+Scenarios!$V$3:$V$27*'09_Phase_Factors'!$AI$4:$AI$28+Scenarios!$T$3:$T$27*'09_Phase_Factors'!$AJ$4:$AJ$28+Scenarios!$U$3:$U$27*'09_Phase_Factors'!$AK$4:$AK$28),'09_Phase_Factors'!$Z$4:$Z$28))*((1+'00_Inputs_Dashboard'!$B$23)^(23-1))</f>
        <v>430995.399384177</v>
      </c>
      <c r="Y25" s="235" t="n">
        <f aca="false">(SUMPRODUCT(--(Scenarios!$C$3:$C$27=TRUE()),--(Scenarios!$AA$3:$AA$27&lt;&gt;""),Scenarios!$AA$3:$AA$27,'09_Phase_Factors'!$AA$4:$AA$28)+SUMPRODUCT(--(Scenarios!$C$3:$C$27=TRUE()),--(Scenarios!$AA$3:$AA$27=""),(Scenarios!$M$3:$M$27*'09_Phase_Factors'!$AH$4:$AH$28+Scenarios!$V$3:$V$27*'09_Phase_Factors'!$AI$4:$AI$28+Scenarios!$T$3:$T$27*'09_Phase_Factors'!$AJ$4:$AJ$28+Scenarios!$U$3:$U$27*'09_Phase_Factors'!$AK$4:$AK$28),'09_Phase_Factors'!$AA$4:$AA$28))*((1+'00_Inputs_Dashboard'!$B$23)^(24-1))</f>
        <v>441770.284368781</v>
      </c>
      <c r="Z25" s="235" t="n">
        <f aca="false">(SUMPRODUCT(--(Scenarios!$C$3:$C$27=TRUE()),--(Scenarios!$AA$3:$AA$27&lt;&gt;""),Scenarios!$AA$3:$AA$27,'09_Phase_Factors'!$AB$4:$AB$28)+SUMPRODUCT(--(Scenarios!$C$3:$C$27=TRUE()),--(Scenarios!$AA$3:$AA$27=""),(Scenarios!$M$3:$M$27*'09_Phase_Factors'!$AH$4:$AH$28+Scenarios!$V$3:$V$27*'09_Phase_Factors'!$AI$4:$AI$28+Scenarios!$T$3:$T$27*'09_Phase_Factors'!$AJ$4:$AJ$28+Scenarios!$U$3:$U$27*'09_Phase_Factors'!$AK$4:$AK$28),'09_Phase_Factors'!$AB$4:$AB$28))*((1+'00_Inputs_Dashboard'!$B$23)^(25-1))</f>
        <v>452814.541478001</v>
      </c>
      <c r="AA25" s="235" t="n">
        <f aca="false">(SUMPRODUCT(--(Scenarios!$C$3:$C$27=TRUE()),--(Scenarios!$AA$3:$AA$27&lt;&gt;""),Scenarios!$AA$3:$AA$27,'09_Phase_Factors'!$AC$4:$AC$28)+SUMPRODUCT(--(Scenarios!$C$3:$C$27=TRUE()),--(Scenarios!$AA$3:$AA$27=""),(Scenarios!$M$3:$M$27*'09_Phase_Factors'!$AH$4:$AH$28+Scenarios!$V$3:$V$27*'09_Phase_Factors'!$AI$4:$AI$28+Scenarios!$T$3:$T$27*'09_Phase_Factors'!$AJ$4:$AJ$28+Scenarios!$U$3:$U$27*'09_Phase_Factors'!$AK$4:$AK$28),'09_Phase_Factors'!$AC$4:$AC$28))*((1+'00_Inputs_Dashboard'!$B$23)^(26-1))</f>
        <v>464134.905014951</v>
      </c>
      <c r="AB25" s="235" t="n">
        <f aca="false">(SUMPRODUCT(--(Scenarios!$C$3:$C$27=TRUE()),--(Scenarios!$AA$3:$AA$27&lt;&gt;""),Scenarios!$AA$3:$AA$27,'09_Phase_Factors'!$AD$4:$AD$28)+SUMPRODUCT(--(Scenarios!$C$3:$C$27=TRUE()),--(Scenarios!$AA$3:$AA$27=""),(Scenarios!$M$3:$M$27*'09_Phase_Factors'!$AH$4:$AH$28+Scenarios!$V$3:$V$27*'09_Phase_Factors'!$AI$4:$AI$28+Scenarios!$T$3:$T$27*'09_Phase_Factors'!$AJ$4:$AJ$28+Scenarios!$U$3:$U$27*'09_Phase_Factors'!$AK$4:$AK$28),'09_Phase_Factors'!$AD$4:$AD$28))*((1+'00_Inputs_Dashboard'!$B$23)^(27-1))</f>
        <v>475738.277640324</v>
      </c>
      <c r="AC25" s="235" t="n">
        <f aca="false">(SUMPRODUCT(--(Scenarios!$C$3:$C$27=TRUE()),--(Scenarios!$AA$3:$AA$27&lt;&gt;""),Scenarios!$AA$3:$AA$27,'09_Phase_Factors'!$AE$4:$AE$28)+SUMPRODUCT(--(Scenarios!$C$3:$C$27=TRUE()),--(Scenarios!$AA$3:$AA$27=""),(Scenarios!$M$3:$M$27*'09_Phase_Factors'!$AH$4:$AH$28+Scenarios!$V$3:$V$27*'09_Phase_Factors'!$AI$4:$AI$28+Scenarios!$T$3:$T$27*'09_Phase_Factors'!$AJ$4:$AJ$28+Scenarios!$U$3:$U$27*'09_Phase_Factors'!$AK$4:$AK$28),'09_Phase_Factors'!$AE$4:$AE$28))*((1+'00_Inputs_Dashboard'!$B$23)^(28-1))</f>
        <v>487631.734581333</v>
      </c>
      <c r="AD25" s="235" t="n">
        <f aca="false">(SUMPRODUCT(--(Scenarios!$C$3:$C$27=TRUE()),--(Scenarios!$AA$3:$AA$27&lt;&gt;""),Scenarios!$AA$3:$AA$27,'09_Phase_Factors'!$AF$4:$AF$28)+SUMPRODUCT(--(Scenarios!$C$3:$C$27=TRUE()),--(Scenarios!$AA$3:$AA$27=""),(Scenarios!$M$3:$M$27*'09_Phase_Factors'!$AH$4:$AH$28+Scenarios!$V$3:$V$27*'09_Phase_Factors'!$AI$4:$AI$28+Scenarios!$T$3:$T$27*'09_Phase_Factors'!$AJ$4:$AJ$28+Scenarios!$U$3:$U$27*'09_Phase_Factors'!$AK$4:$AK$28),'09_Phase_Factors'!$AF$4:$AF$28))*((1+'00_Inputs_Dashboard'!$B$23)^(29-1))</f>
        <v>499822.527945866</v>
      </c>
      <c r="AE25" s="235" t="n">
        <f aca="false">(SUMPRODUCT(--(Scenarios!$C$3:$C$27=TRUE()),--(Scenarios!$AA$3:$AA$27&lt;&gt;""),Scenarios!$AA$3:$AA$27,'09_Phase_Factors'!$AG$4:$AG$28)+SUMPRODUCT(--(Scenarios!$C$3:$C$27=TRUE()),--(Scenarios!$AA$3:$AA$27=""),(Scenarios!$M$3:$M$27*'09_Phase_Factors'!$AH$4:$AH$28+Scenarios!$V$3:$V$27*'09_Phase_Factors'!$AI$4:$AI$28+Scenarios!$T$3:$T$27*'09_Phase_Factors'!$AJ$4:$AJ$28+Scenarios!$U$3:$U$27*'09_Phase_Factors'!$AK$4:$AK$28),'09_Phase_Factors'!$AG$4:$AG$28))*((1+'00_Inputs_Dashboard'!$B$23)^(30-1))</f>
        <v>512318.091144512</v>
      </c>
      <c r="AF25" s="161"/>
    </row>
    <row r="26" customFormat="false" ht="15" hidden="false" customHeight="true" outlineLevel="0" collapsed="false">
      <c r="A26" s="161" t="s">
        <v>798</v>
      </c>
      <c r="B26" s="235" t="n">
        <f aca="false">(SUMPRODUCT(--(Scenarios!$C$3:$C$27=TRUE()),--(Scenarios!$AB$3:$AB$27&lt;&gt;""),Scenarios!$AB$3:$AB$27,'09_Phase_Factors'!$D$4:$D$28)+SUMPRODUCT(--(Scenarios!$C$3:$C$27=TRUE()),--(Scenarios!$AB$3:$AB$27=""),(Scenarios!$M$3:$M$27*'09_Phase_Factors'!$AL$4:$AL$28+Scenarios!$V$3:$V$27*'09_Phase_Factors'!$AM$4:$AM$28+Scenarios!$T$3:$T$27*'09_Phase_Factors'!$AN$4:$AN$28+Scenarios!$U$3:$U$27*'09_Phase_Factors'!$AO$4:$AO$28),'09_Phase_Factors'!$D$4:$D$28))*((1+'00_Inputs_Dashboard'!$B$23)^(1-1))</f>
        <v>13492.5</v>
      </c>
      <c r="C26" s="235" t="n">
        <f aca="false">(SUMPRODUCT(--(Scenarios!$C$3:$C$27=TRUE()),--(Scenarios!$AB$3:$AB$27&lt;&gt;""),Scenarios!$AB$3:$AB$27,'09_Phase_Factors'!$E$4:$E$28)+SUMPRODUCT(--(Scenarios!$C$3:$C$27=TRUE()),--(Scenarios!$AB$3:$AB$27=""),(Scenarios!$M$3:$M$27*'09_Phase_Factors'!$AL$4:$AL$28+Scenarios!$V$3:$V$27*'09_Phase_Factors'!$AM$4:$AM$28+Scenarios!$T$3:$T$27*'09_Phase_Factors'!$AN$4:$AN$28+Scenarios!$U$3:$U$27*'09_Phase_Factors'!$AO$4:$AO$28),'09_Phase_Factors'!$E$4:$E$28))*((1+'00_Inputs_Dashboard'!$B$23)^(2-1))</f>
        <v>27659.625</v>
      </c>
      <c r="D26" s="235" t="n">
        <f aca="false">(SUMPRODUCT(--(Scenarios!$C$3:$C$27=TRUE()),--(Scenarios!$AB$3:$AB$27&lt;&gt;""),Scenarios!$AB$3:$AB$27,'09_Phase_Factors'!$F$4:$F$28)+SUMPRODUCT(--(Scenarios!$C$3:$C$27=TRUE()),--(Scenarios!$AB$3:$AB$27=""),(Scenarios!$M$3:$M$27*'09_Phase_Factors'!$AL$4:$AL$28+Scenarios!$V$3:$V$27*'09_Phase_Factors'!$AM$4:$AM$28+Scenarios!$T$3:$T$27*'09_Phase_Factors'!$AN$4:$AN$28+Scenarios!$U$3:$U$27*'09_Phase_Factors'!$AO$4:$AO$28),'09_Phase_Factors'!$F$4:$F$28))*((1+'00_Inputs_Dashboard'!$B$23)^(3-1))</f>
        <v>42526.6734375</v>
      </c>
      <c r="E26" s="235" t="n">
        <f aca="false">(SUMPRODUCT(--(Scenarios!$C$3:$C$27=TRUE()),--(Scenarios!$AB$3:$AB$27&lt;&gt;""),Scenarios!$AB$3:$AB$27,'09_Phase_Factors'!$G$4:$G$28)+SUMPRODUCT(--(Scenarios!$C$3:$C$27=TRUE()),--(Scenarios!$AB$3:$AB$27=""),(Scenarios!$M$3:$M$27*'09_Phase_Factors'!$AL$4:$AL$28+Scenarios!$V$3:$V$27*'09_Phase_Factors'!$AM$4:$AM$28+Scenarios!$T$3:$T$27*'09_Phase_Factors'!$AN$4:$AN$28+Scenarios!$U$3:$U$27*'09_Phase_Factors'!$AO$4:$AO$28),'09_Phase_Factors'!$G$4:$G$28))*((1+'00_Inputs_Dashboard'!$B$23)^(4-1))</f>
        <v>58119.78703125</v>
      </c>
      <c r="F26" s="235" t="n">
        <f aca="false">(SUMPRODUCT(--(Scenarios!$C$3:$C$27=TRUE()),--(Scenarios!$AB$3:$AB$27&lt;&gt;""),Scenarios!$AB$3:$AB$27,'09_Phase_Factors'!$H$4:$H$28)+SUMPRODUCT(--(Scenarios!$C$3:$C$27=TRUE()),--(Scenarios!$AB$3:$AB$27=""),(Scenarios!$M$3:$M$27*'09_Phase_Factors'!$AL$4:$AL$28+Scenarios!$V$3:$V$27*'09_Phase_Factors'!$AM$4:$AM$28+Scenarios!$T$3:$T$27*'09_Phase_Factors'!$AN$4:$AN$28+Scenarios!$U$3:$U$27*'09_Phase_Factors'!$AO$4:$AO$28),'09_Phase_Factors'!$H$4:$H$28))*((1+'00_Inputs_Dashboard'!$B$23)^(5-1))</f>
        <v>73720.9034326172</v>
      </c>
      <c r="G26" s="235" t="n">
        <f aca="false">(SUMPRODUCT(--(Scenarios!$C$3:$C$27=TRUE()),--(Scenarios!$AB$3:$AB$27&lt;&gt;""),Scenarios!$AB$3:$AB$27,'09_Phase_Factors'!$I$4:$I$28)+SUMPRODUCT(--(Scenarios!$C$3:$C$27=TRUE()),--(Scenarios!$AB$3:$AB$27=""),(Scenarios!$M$3:$M$27*'09_Phase_Factors'!$AL$4:$AL$28+Scenarios!$V$3:$V$27*'09_Phase_Factors'!$AM$4:$AM$28+Scenarios!$T$3:$T$27*'09_Phase_Factors'!$AN$4:$AN$28+Scenarios!$U$3:$U$27*'09_Phase_Factors'!$AO$4:$AO$28),'09_Phase_Factors'!$I$4:$I$28))*((1+'00_Inputs_Dashboard'!$B$23)^(6-1))</f>
        <v>75563.9260184326</v>
      </c>
      <c r="H26" s="235" t="n">
        <f aca="false">(SUMPRODUCT(--(Scenarios!$C$3:$C$27=TRUE()),--(Scenarios!$AB$3:$AB$27&lt;&gt;""),Scenarios!$AB$3:$AB$27,'09_Phase_Factors'!$J$4:$J$28)+SUMPRODUCT(--(Scenarios!$C$3:$C$27=TRUE()),--(Scenarios!$AB$3:$AB$27=""),(Scenarios!$M$3:$M$27*'09_Phase_Factors'!$AL$4:$AL$28+Scenarios!$V$3:$V$27*'09_Phase_Factors'!$AM$4:$AM$28+Scenarios!$T$3:$T$27*'09_Phase_Factors'!$AN$4:$AN$28+Scenarios!$U$3:$U$27*'09_Phase_Factors'!$AO$4:$AO$28),'09_Phase_Factors'!$J$4:$J$28))*((1+'00_Inputs_Dashboard'!$B$23)^(7-1))</f>
        <v>77453.0241688934</v>
      </c>
      <c r="I26" s="235" t="n">
        <f aca="false">(SUMPRODUCT(--(Scenarios!$C$3:$C$27=TRUE()),--(Scenarios!$AB$3:$AB$27&lt;&gt;""),Scenarios!$AB$3:$AB$27,'09_Phase_Factors'!$K$4:$K$28)+SUMPRODUCT(--(Scenarios!$C$3:$C$27=TRUE()),--(Scenarios!$AB$3:$AB$27=""),(Scenarios!$M$3:$M$27*'09_Phase_Factors'!$AL$4:$AL$28+Scenarios!$V$3:$V$27*'09_Phase_Factors'!$AM$4:$AM$28+Scenarios!$T$3:$T$27*'09_Phase_Factors'!$AN$4:$AN$28+Scenarios!$U$3:$U$27*'09_Phase_Factors'!$AO$4:$AO$28),'09_Phase_Factors'!$K$4:$K$28))*((1+'00_Inputs_Dashboard'!$B$23)^(8-1))</f>
        <v>79389.3497731157</v>
      </c>
      <c r="J26" s="235" t="n">
        <f aca="false">(SUMPRODUCT(--(Scenarios!$C$3:$C$27=TRUE()),--(Scenarios!$AB$3:$AB$27&lt;&gt;""),Scenarios!$AB$3:$AB$27,'09_Phase_Factors'!$L$4:$L$28)+SUMPRODUCT(--(Scenarios!$C$3:$C$27=TRUE()),--(Scenarios!$AB$3:$AB$27=""),(Scenarios!$M$3:$M$27*'09_Phase_Factors'!$AL$4:$AL$28+Scenarios!$V$3:$V$27*'09_Phase_Factors'!$AM$4:$AM$28+Scenarios!$T$3:$T$27*'09_Phase_Factors'!$AN$4:$AN$28+Scenarios!$U$3:$U$27*'09_Phase_Factors'!$AO$4:$AO$28),'09_Phase_Factors'!$L$4:$L$28))*((1+'00_Inputs_Dashboard'!$B$23)^(9-1))</f>
        <v>81374.0835174436</v>
      </c>
      <c r="K26" s="235" t="n">
        <f aca="false">(SUMPRODUCT(--(Scenarios!$C$3:$C$27=TRUE()),--(Scenarios!$AB$3:$AB$27&lt;&gt;""),Scenarios!$AB$3:$AB$27,'09_Phase_Factors'!$M$4:$M$28)+SUMPRODUCT(--(Scenarios!$C$3:$C$27=TRUE()),--(Scenarios!$AB$3:$AB$27=""),(Scenarios!$M$3:$M$27*'09_Phase_Factors'!$AL$4:$AL$28+Scenarios!$V$3:$V$27*'09_Phase_Factors'!$AM$4:$AM$28+Scenarios!$T$3:$T$27*'09_Phase_Factors'!$AN$4:$AN$28+Scenarios!$U$3:$U$27*'09_Phase_Factors'!$AO$4:$AO$28),'09_Phase_Factors'!$M$4:$M$28))*((1+'00_Inputs_Dashboard'!$B$23)^(10-1))</f>
        <v>83408.4356053797</v>
      </c>
      <c r="L26" s="235" t="n">
        <f aca="false">(SUMPRODUCT(--(Scenarios!$C$3:$C$27=TRUE()),--(Scenarios!$AB$3:$AB$27&lt;&gt;""),Scenarios!$AB$3:$AB$27,'09_Phase_Factors'!$N$4:$N$28)+SUMPRODUCT(--(Scenarios!$C$3:$C$27=TRUE()),--(Scenarios!$AB$3:$AB$27=""),(Scenarios!$M$3:$M$27*'09_Phase_Factors'!$AL$4:$AL$28+Scenarios!$V$3:$V$27*'09_Phase_Factors'!$AM$4:$AM$28+Scenarios!$T$3:$T$27*'09_Phase_Factors'!$AN$4:$AN$28+Scenarios!$U$3:$U$27*'09_Phase_Factors'!$AO$4:$AO$28),'09_Phase_Factors'!$N$4:$N$28))*((1+'00_Inputs_Dashboard'!$B$23)^(11-1))</f>
        <v>85493.6464955142</v>
      </c>
      <c r="M26" s="235" t="n">
        <f aca="false">(SUMPRODUCT(--(Scenarios!$C$3:$C$27=TRUE()),--(Scenarios!$AB$3:$AB$27&lt;&gt;""),Scenarios!$AB$3:$AB$27,'09_Phase_Factors'!$O$4:$O$28)+SUMPRODUCT(--(Scenarios!$C$3:$C$27=TRUE()),--(Scenarios!$AB$3:$AB$27=""),(Scenarios!$M$3:$M$27*'09_Phase_Factors'!$AL$4:$AL$28+Scenarios!$V$3:$V$27*'09_Phase_Factors'!$AM$4:$AM$28+Scenarios!$T$3:$T$27*'09_Phase_Factors'!$AN$4:$AN$28+Scenarios!$U$3:$U$27*'09_Phase_Factors'!$AO$4:$AO$28),'09_Phase_Factors'!$O$4:$O$28))*((1+'00_Inputs_Dashboard'!$B$23)^(12-1))</f>
        <v>87630.987657902</v>
      </c>
      <c r="N26" s="235" t="n">
        <f aca="false">(SUMPRODUCT(--(Scenarios!$C$3:$C$27=TRUE()),--(Scenarios!$AB$3:$AB$27&lt;&gt;""),Scenarios!$AB$3:$AB$27,'09_Phase_Factors'!$P$4:$P$28)+SUMPRODUCT(--(Scenarios!$C$3:$C$27=TRUE()),--(Scenarios!$AB$3:$AB$27=""),(Scenarios!$M$3:$M$27*'09_Phase_Factors'!$AL$4:$AL$28+Scenarios!$V$3:$V$27*'09_Phase_Factors'!$AM$4:$AM$28+Scenarios!$T$3:$T$27*'09_Phase_Factors'!$AN$4:$AN$28+Scenarios!$U$3:$U$27*'09_Phase_Factors'!$AO$4:$AO$28),'09_Phase_Factors'!$P$4:$P$28))*((1+'00_Inputs_Dashboard'!$B$23)^(13-1))</f>
        <v>89821.7623493496</v>
      </c>
      <c r="O26" s="235" t="n">
        <f aca="false">(SUMPRODUCT(--(Scenarios!$C$3:$C$27=TRUE()),--(Scenarios!$AB$3:$AB$27&lt;&gt;""),Scenarios!$AB$3:$AB$27,'09_Phase_Factors'!$Q$4:$Q$28)+SUMPRODUCT(--(Scenarios!$C$3:$C$27=TRUE()),--(Scenarios!$AB$3:$AB$27=""),(Scenarios!$M$3:$M$27*'09_Phase_Factors'!$AL$4:$AL$28+Scenarios!$V$3:$V$27*'09_Phase_Factors'!$AM$4:$AM$28+Scenarios!$T$3:$T$27*'09_Phase_Factors'!$AN$4:$AN$28+Scenarios!$U$3:$U$27*'09_Phase_Factors'!$AO$4:$AO$28),'09_Phase_Factors'!$Q$4:$Q$28))*((1+'00_Inputs_Dashboard'!$B$23)^(14-1))</f>
        <v>92067.3064080833</v>
      </c>
      <c r="P26" s="235" t="n">
        <f aca="false">(SUMPRODUCT(--(Scenarios!$C$3:$C$27=TRUE()),--(Scenarios!$AB$3:$AB$27&lt;&gt;""),Scenarios!$AB$3:$AB$27,'09_Phase_Factors'!$R$4:$R$28)+SUMPRODUCT(--(Scenarios!$C$3:$C$27=TRUE()),--(Scenarios!$AB$3:$AB$27=""),(Scenarios!$M$3:$M$27*'09_Phase_Factors'!$AL$4:$AL$28+Scenarios!$V$3:$V$27*'09_Phase_Factors'!$AM$4:$AM$28+Scenarios!$T$3:$T$27*'09_Phase_Factors'!$AN$4:$AN$28+Scenarios!$U$3:$U$27*'09_Phase_Factors'!$AO$4:$AO$28),'09_Phase_Factors'!$R$4:$R$28))*((1+'00_Inputs_Dashboard'!$B$23)^(15-1))</f>
        <v>94368.9890682854</v>
      </c>
      <c r="Q26" s="235" t="n">
        <f aca="false">(SUMPRODUCT(--(Scenarios!$C$3:$C$27=TRUE()),--(Scenarios!$AB$3:$AB$27&lt;&gt;""),Scenarios!$AB$3:$AB$27,'09_Phase_Factors'!$S$4:$S$28)+SUMPRODUCT(--(Scenarios!$C$3:$C$27=TRUE()),--(Scenarios!$AB$3:$AB$27=""),(Scenarios!$M$3:$M$27*'09_Phase_Factors'!$AL$4:$AL$28+Scenarios!$V$3:$V$27*'09_Phase_Factors'!$AM$4:$AM$28+Scenarios!$T$3:$T$27*'09_Phase_Factors'!$AN$4:$AN$28+Scenarios!$U$3:$U$27*'09_Phase_Factors'!$AO$4:$AO$28),'09_Phase_Factors'!$S$4:$S$28))*((1+'00_Inputs_Dashboard'!$B$23)^(16-1))</f>
        <v>96728.2137949925</v>
      </c>
      <c r="R26" s="235" t="n">
        <f aca="false">(SUMPRODUCT(--(Scenarios!$C$3:$C$27=TRUE()),--(Scenarios!$AB$3:$AB$27&lt;&gt;""),Scenarios!$AB$3:$AB$27,'09_Phase_Factors'!$T$4:$T$28)+SUMPRODUCT(--(Scenarios!$C$3:$C$27=TRUE()),--(Scenarios!$AB$3:$AB$27=""),(Scenarios!$M$3:$M$27*'09_Phase_Factors'!$AL$4:$AL$28+Scenarios!$V$3:$V$27*'09_Phase_Factors'!$AM$4:$AM$28+Scenarios!$T$3:$T$27*'09_Phase_Factors'!$AN$4:$AN$28+Scenarios!$U$3:$U$27*'09_Phase_Factors'!$AO$4:$AO$28),'09_Phase_Factors'!$T$4:$T$28))*((1+'00_Inputs_Dashboard'!$B$23)^(17-1))</f>
        <v>99146.4191398673</v>
      </c>
      <c r="S26" s="235" t="n">
        <f aca="false">(SUMPRODUCT(--(Scenarios!$C$3:$C$27=TRUE()),--(Scenarios!$AB$3:$AB$27&lt;&gt;""),Scenarios!$AB$3:$AB$27,'09_Phase_Factors'!$U$4:$U$28)+SUMPRODUCT(--(Scenarios!$C$3:$C$27=TRUE()),--(Scenarios!$AB$3:$AB$27=""),(Scenarios!$M$3:$M$27*'09_Phase_Factors'!$AL$4:$AL$28+Scenarios!$V$3:$V$27*'09_Phase_Factors'!$AM$4:$AM$28+Scenarios!$T$3:$T$27*'09_Phase_Factors'!$AN$4:$AN$28+Scenarios!$U$3:$U$27*'09_Phase_Factors'!$AO$4:$AO$28),'09_Phase_Factors'!$U$4:$U$28))*((1+'00_Inputs_Dashboard'!$B$23)^(18-1))</f>
        <v>101625.079618364</v>
      </c>
      <c r="T26" s="235" t="n">
        <f aca="false">(SUMPRODUCT(--(Scenarios!$C$3:$C$27=TRUE()),--(Scenarios!$AB$3:$AB$27&lt;&gt;""),Scenarios!$AB$3:$AB$27,'09_Phase_Factors'!$V$4:$V$28)+SUMPRODUCT(--(Scenarios!$C$3:$C$27=TRUE()),--(Scenarios!$AB$3:$AB$27=""),(Scenarios!$M$3:$M$27*'09_Phase_Factors'!$AL$4:$AL$28+Scenarios!$V$3:$V$27*'09_Phase_Factors'!$AM$4:$AM$28+Scenarios!$T$3:$T$27*'09_Phase_Factors'!$AN$4:$AN$28+Scenarios!$U$3:$U$27*'09_Phase_Factors'!$AO$4:$AO$28),'09_Phase_Factors'!$V$4:$V$28))*((1+'00_Inputs_Dashboard'!$B$23)^(19-1))</f>
        <v>104165.706608823</v>
      </c>
      <c r="U26" s="235" t="n">
        <f aca="false">(SUMPRODUCT(--(Scenarios!$C$3:$C$27=TRUE()),--(Scenarios!$AB$3:$AB$27&lt;&gt;""),Scenarios!$AB$3:$AB$27,'09_Phase_Factors'!$W$4:$W$28)+SUMPRODUCT(--(Scenarios!$C$3:$C$27=TRUE()),--(Scenarios!$AB$3:$AB$27=""),(Scenarios!$M$3:$M$27*'09_Phase_Factors'!$AL$4:$AL$28+Scenarios!$V$3:$V$27*'09_Phase_Factors'!$AM$4:$AM$28+Scenarios!$T$3:$T$27*'09_Phase_Factors'!$AN$4:$AN$28+Scenarios!$U$3:$U$27*'09_Phase_Factors'!$AO$4:$AO$28),'09_Phase_Factors'!$W$4:$W$28))*((1+'00_Inputs_Dashboard'!$B$23)^(20-1))</f>
        <v>106769.849274044</v>
      </c>
      <c r="V26" s="235" t="n">
        <f aca="false">(SUMPRODUCT(--(Scenarios!$C$3:$C$27=TRUE()),--(Scenarios!$AB$3:$AB$27&lt;&gt;""),Scenarios!$AB$3:$AB$27,'09_Phase_Factors'!$X$4:$X$28)+SUMPRODUCT(--(Scenarios!$C$3:$C$27=TRUE()),--(Scenarios!$AB$3:$AB$27=""),(Scenarios!$M$3:$M$27*'09_Phase_Factors'!$AL$4:$AL$28+Scenarios!$V$3:$V$27*'09_Phase_Factors'!$AM$4:$AM$28+Scenarios!$T$3:$T$27*'09_Phase_Factors'!$AN$4:$AN$28+Scenarios!$U$3:$U$27*'09_Phase_Factors'!$AO$4:$AO$28),'09_Phase_Factors'!$X$4:$X$28))*((1+'00_Inputs_Dashboard'!$B$23)^(21-1))</f>
        <v>109439.095505895</v>
      </c>
      <c r="W26" s="235" t="n">
        <f aca="false">(SUMPRODUCT(--(Scenarios!$C$3:$C$27=TRUE()),--(Scenarios!$AB$3:$AB$27&lt;&gt;""),Scenarios!$AB$3:$AB$27,'09_Phase_Factors'!$Y$4:$Y$28)+SUMPRODUCT(--(Scenarios!$C$3:$C$27=TRUE()),--(Scenarios!$AB$3:$AB$27=""),(Scenarios!$M$3:$M$27*'09_Phase_Factors'!$AL$4:$AL$28+Scenarios!$V$3:$V$27*'09_Phase_Factors'!$AM$4:$AM$28+Scenarios!$T$3:$T$27*'09_Phase_Factors'!$AN$4:$AN$28+Scenarios!$U$3:$U$27*'09_Phase_Factors'!$AO$4:$AO$28),'09_Phase_Factors'!$Y$4:$Y$28))*((1+'00_Inputs_Dashboard'!$B$23)^(22-1))</f>
        <v>112175.072893542</v>
      </c>
      <c r="X26" s="235" t="n">
        <f aca="false">(SUMPRODUCT(--(Scenarios!$C$3:$C$27=TRUE()),--(Scenarios!$AB$3:$AB$27&lt;&gt;""),Scenarios!$AB$3:$AB$27,'09_Phase_Factors'!$Z$4:$Z$28)+SUMPRODUCT(--(Scenarios!$C$3:$C$27=TRUE()),--(Scenarios!$AB$3:$AB$27=""),(Scenarios!$M$3:$M$27*'09_Phase_Factors'!$AL$4:$AL$28+Scenarios!$V$3:$V$27*'09_Phase_Factors'!$AM$4:$AM$28+Scenarios!$T$3:$T$27*'09_Phase_Factors'!$AN$4:$AN$28+Scenarios!$U$3:$U$27*'09_Phase_Factors'!$AO$4:$AO$28),'09_Phase_Factors'!$Z$4:$Z$28))*((1+'00_Inputs_Dashboard'!$B$23)^(23-1))</f>
        <v>114979.449715881</v>
      </c>
      <c r="Y26" s="235" t="n">
        <f aca="false">(SUMPRODUCT(--(Scenarios!$C$3:$C$27=TRUE()),--(Scenarios!$AB$3:$AB$27&lt;&gt;""),Scenarios!$AB$3:$AB$27,'09_Phase_Factors'!$AA$4:$AA$28)+SUMPRODUCT(--(Scenarios!$C$3:$C$27=TRUE()),--(Scenarios!$AB$3:$AB$27=""),(Scenarios!$M$3:$M$27*'09_Phase_Factors'!$AL$4:$AL$28+Scenarios!$V$3:$V$27*'09_Phase_Factors'!$AM$4:$AM$28+Scenarios!$T$3:$T$27*'09_Phase_Factors'!$AN$4:$AN$28+Scenarios!$U$3:$U$27*'09_Phase_Factors'!$AO$4:$AO$28),'09_Phase_Factors'!$AA$4:$AA$28))*((1+'00_Inputs_Dashboard'!$B$23)^(24-1))</f>
        <v>117853.935958778</v>
      </c>
      <c r="Z26" s="235" t="n">
        <f aca="false">(SUMPRODUCT(--(Scenarios!$C$3:$C$27=TRUE()),--(Scenarios!$AB$3:$AB$27&lt;&gt;""),Scenarios!$AB$3:$AB$27,'09_Phase_Factors'!$AB$4:$AB$28)+SUMPRODUCT(--(Scenarios!$C$3:$C$27=TRUE()),--(Scenarios!$AB$3:$AB$27=""),(Scenarios!$M$3:$M$27*'09_Phase_Factors'!$AL$4:$AL$28+Scenarios!$V$3:$V$27*'09_Phase_Factors'!$AM$4:$AM$28+Scenarios!$T$3:$T$27*'09_Phase_Factors'!$AN$4:$AN$28+Scenarios!$U$3:$U$27*'09_Phase_Factors'!$AO$4:$AO$28),'09_Phase_Factors'!$AB$4:$AB$28))*((1+'00_Inputs_Dashboard'!$B$23)^(25-1))</f>
        <v>120800.284357747</v>
      </c>
      <c r="AA26" s="235" t="n">
        <f aca="false">(SUMPRODUCT(--(Scenarios!$C$3:$C$27=TRUE()),--(Scenarios!$AB$3:$AB$27&lt;&gt;""),Scenarios!$AB$3:$AB$27,'09_Phase_Factors'!$AC$4:$AC$28)+SUMPRODUCT(--(Scenarios!$C$3:$C$27=TRUE()),--(Scenarios!$AB$3:$AB$27=""),(Scenarios!$M$3:$M$27*'09_Phase_Factors'!$AL$4:$AL$28+Scenarios!$V$3:$V$27*'09_Phase_Factors'!$AM$4:$AM$28+Scenarios!$T$3:$T$27*'09_Phase_Factors'!$AN$4:$AN$28+Scenarios!$U$3:$U$27*'09_Phase_Factors'!$AO$4:$AO$28),'09_Phase_Factors'!$AC$4:$AC$28))*((1+'00_Inputs_Dashboard'!$B$23)^(26-1))</f>
        <v>123820.291466691</v>
      </c>
      <c r="AB26" s="235" t="n">
        <f aca="false">(SUMPRODUCT(--(Scenarios!$C$3:$C$27=TRUE()),--(Scenarios!$AB$3:$AB$27&lt;&gt;""),Scenarios!$AB$3:$AB$27,'09_Phase_Factors'!$AD$4:$AD$28)+SUMPRODUCT(--(Scenarios!$C$3:$C$27=TRUE()),--(Scenarios!$AB$3:$AB$27=""),(Scenarios!$M$3:$M$27*'09_Phase_Factors'!$AL$4:$AL$28+Scenarios!$V$3:$V$27*'09_Phase_Factors'!$AM$4:$AM$28+Scenarios!$T$3:$T$27*'09_Phase_Factors'!$AN$4:$AN$28+Scenarios!$U$3:$U$27*'09_Phase_Factors'!$AO$4:$AO$28),'09_Phase_Factors'!$AD$4:$AD$28))*((1+'00_Inputs_Dashboard'!$B$23)^(27-1))</f>
        <v>126915.798753358</v>
      </c>
      <c r="AC26" s="235" t="n">
        <f aca="false">(SUMPRODUCT(--(Scenarios!$C$3:$C$27=TRUE()),--(Scenarios!$AB$3:$AB$27&lt;&gt;""),Scenarios!$AB$3:$AB$27,'09_Phase_Factors'!$AE$4:$AE$28)+SUMPRODUCT(--(Scenarios!$C$3:$C$27=TRUE()),--(Scenarios!$AB$3:$AB$27=""),(Scenarios!$M$3:$M$27*'09_Phase_Factors'!$AL$4:$AL$28+Scenarios!$V$3:$V$27*'09_Phase_Factors'!$AM$4:$AM$28+Scenarios!$T$3:$T$27*'09_Phase_Factors'!$AN$4:$AN$28+Scenarios!$U$3:$U$27*'09_Phase_Factors'!$AO$4:$AO$28),'09_Phase_Factors'!$AE$4:$AE$28))*((1+'00_Inputs_Dashboard'!$B$23)^(28-1))</f>
        <v>130088.693722192</v>
      </c>
      <c r="AD26" s="235" t="n">
        <f aca="false">(SUMPRODUCT(--(Scenarios!$C$3:$C$27=TRUE()),--(Scenarios!$AB$3:$AB$27&lt;&gt;""),Scenarios!$AB$3:$AB$27,'09_Phase_Factors'!$AF$4:$AF$28)+SUMPRODUCT(--(Scenarios!$C$3:$C$27=TRUE()),--(Scenarios!$AB$3:$AB$27=""),(Scenarios!$M$3:$M$27*'09_Phase_Factors'!$AL$4:$AL$28+Scenarios!$V$3:$V$27*'09_Phase_Factors'!$AM$4:$AM$28+Scenarios!$T$3:$T$27*'09_Phase_Factors'!$AN$4:$AN$28+Scenarios!$U$3:$U$27*'09_Phase_Factors'!$AO$4:$AO$28),'09_Phase_Factors'!$AF$4:$AF$28))*((1+'00_Inputs_Dashboard'!$B$23)^(29-1))</f>
        <v>133340.911065247</v>
      </c>
      <c r="AE26" s="235" t="n">
        <f aca="false">(SUMPRODUCT(--(Scenarios!$C$3:$C$27=TRUE()),--(Scenarios!$AB$3:$AB$27&lt;&gt;""),Scenarios!$AB$3:$AB$27,'09_Phase_Factors'!$AG$4:$AG$28)+SUMPRODUCT(--(Scenarios!$C$3:$C$27=TRUE()),--(Scenarios!$AB$3:$AB$27=""),(Scenarios!$M$3:$M$27*'09_Phase_Factors'!$AL$4:$AL$28+Scenarios!$V$3:$V$27*'09_Phase_Factors'!$AM$4:$AM$28+Scenarios!$T$3:$T$27*'09_Phase_Factors'!$AN$4:$AN$28+Scenarios!$U$3:$U$27*'09_Phase_Factors'!$AO$4:$AO$28),'09_Phase_Factors'!$AG$4:$AG$28))*((1+'00_Inputs_Dashboard'!$B$23)^(30-1))</f>
        <v>136674.433841878</v>
      </c>
      <c r="AF26" s="161"/>
    </row>
    <row r="27" customFormat="false" ht="15" hidden="false" customHeight="true" outlineLevel="0" collapsed="false">
      <c r="A27" s="161" t="s">
        <v>799</v>
      </c>
      <c r="B27" s="235" t="n">
        <f aca="false">'05_Capital_Triggers'!B31</f>
        <v>0</v>
      </c>
      <c r="C27" s="235" t="n">
        <f aca="false">'05_Capital_Triggers'!B32</f>
        <v>0</v>
      </c>
      <c r="D27" s="235" t="n">
        <f aca="false">'05_Capital_Triggers'!B33</f>
        <v>0</v>
      </c>
      <c r="E27" s="235" t="n">
        <f aca="false">'05_Capital_Triggers'!B34</f>
        <v>0</v>
      </c>
      <c r="F27" s="235" t="n">
        <f aca="false">'05_Capital_Triggers'!B35</f>
        <v>0</v>
      </c>
      <c r="G27" s="235" t="n">
        <f aca="false">'05_Capital_Triggers'!B36</f>
        <v>0</v>
      </c>
      <c r="H27" s="235" t="n">
        <f aca="false">'05_Capital_Triggers'!B37</f>
        <v>0</v>
      </c>
      <c r="I27" s="235" t="n">
        <f aca="false">'05_Capital_Triggers'!B38</f>
        <v>0</v>
      </c>
      <c r="J27" s="235" t="n">
        <f aca="false">'05_Capital_Triggers'!B39</f>
        <v>0</v>
      </c>
      <c r="K27" s="235" t="n">
        <f aca="false">'05_Capital_Triggers'!B40</f>
        <v>0</v>
      </c>
      <c r="L27" s="235" t="n">
        <f aca="false">'05_Capital_Triggers'!B41</f>
        <v>0</v>
      </c>
      <c r="M27" s="235" t="n">
        <f aca="false">'05_Capital_Triggers'!B42</f>
        <v>0</v>
      </c>
      <c r="N27" s="235" t="n">
        <f aca="false">'05_Capital_Triggers'!B43</f>
        <v>0</v>
      </c>
      <c r="O27" s="235" t="n">
        <f aca="false">'05_Capital_Triggers'!B44</f>
        <v>0</v>
      </c>
      <c r="P27" s="235" t="n">
        <f aca="false">'05_Capital_Triggers'!B45</f>
        <v>0</v>
      </c>
      <c r="Q27" s="235" t="n">
        <f aca="false">'05_Capital_Triggers'!B46</f>
        <v>0</v>
      </c>
      <c r="R27" s="235" t="n">
        <f aca="false">'05_Capital_Triggers'!B47</f>
        <v>0</v>
      </c>
      <c r="S27" s="235" t="n">
        <f aca="false">'05_Capital_Triggers'!B48</f>
        <v>0</v>
      </c>
      <c r="T27" s="235" t="n">
        <f aca="false">'05_Capital_Triggers'!B49</f>
        <v>0</v>
      </c>
      <c r="U27" s="235" t="n">
        <f aca="false">'05_Capital_Triggers'!B50</f>
        <v>0</v>
      </c>
      <c r="V27" s="235" t="n">
        <f aca="false">'05_Capital_Triggers'!B51</f>
        <v>0</v>
      </c>
      <c r="W27" s="235" t="n">
        <f aca="false">'05_Capital_Triggers'!B52</f>
        <v>0</v>
      </c>
      <c r="X27" s="235" t="n">
        <f aca="false">'05_Capital_Triggers'!B53</f>
        <v>0</v>
      </c>
      <c r="Y27" s="235" t="n">
        <f aca="false">'05_Capital_Triggers'!B54</f>
        <v>0</v>
      </c>
      <c r="Z27" s="235" t="n">
        <f aca="false">'05_Capital_Triggers'!B55</f>
        <v>0</v>
      </c>
      <c r="AA27" s="235" t="n">
        <f aca="false">'05_Capital_Triggers'!B56</f>
        <v>0</v>
      </c>
      <c r="AB27" s="235" t="n">
        <f aca="false">'05_Capital_Triggers'!B57</f>
        <v>0</v>
      </c>
      <c r="AC27" s="235" t="n">
        <f aca="false">'05_Capital_Triggers'!B58</f>
        <v>0</v>
      </c>
      <c r="AD27" s="235" t="n">
        <f aca="false">'05_Capital_Triggers'!B59</f>
        <v>0</v>
      </c>
      <c r="AE27" s="235" t="n">
        <f aca="false">'05_Capital_Triggers'!B60</f>
        <v>0</v>
      </c>
      <c r="AF27" s="161"/>
    </row>
    <row r="28" customFormat="false" ht="15" hidden="false" customHeight="true" outlineLevel="0" collapsed="false">
      <c r="A28" s="161" t="s">
        <v>800</v>
      </c>
      <c r="B28" s="235" t="n">
        <f aca="false">'05_Capital_Triggers'!C31</f>
        <v>0</v>
      </c>
      <c r="C28" s="235" t="n">
        <f aca="false">'05_Capital_Triggers'!C32</f>
        <v>0</v>
      </c>
      <c r="D28" s="235" t="n">
        <f aca="false">'05_Capital_Triggers'!C33</f>
        <v>0</v>
      </c>
      <c r="E28" s="235" t="n">
        <f aca="false">'05_Capital_Triggers'!C34</f>
        <v>0</v>
      </c>
      <c r="F28" s="235" t="n">
        <f aca="false">'05_Capital_Triggers'!C35</f>
        <v>0</v>
      </c>
      <c r="G28" s="235" t="n">
        <f aca="false">'05_Capital_Triggers'!C36</f>
        <v>0</v>
      </c>
      <c r="H28" s="235" t="n">
        <f aca="false">'05_Capital_Triggers'!C37</f>
        <v>0</v>
      </c>
      <c r="I28" s="235" t="n">
        <f aca="false">'05_Capital_Triggers'!C38</f>
        <v>0</v>
      </c>
      <c r="J28" s="235" t="n">
        <f aca="false">'05_Capital_Triggers'!C39</f>
        <v>0</v>
      </c>
      <c r="K28" s="235" t="n">
        <f aca="false">'05_Capital_Triggers'!C40</f>
        <v>0</v>
      </c>
      <c r="L28" s="235" t="n">
        <f aca="false">'05_Capital_Triggers'!C41</f>
        <v>0</v>
      </c>
      <c r="M28" s="235" t="n">
        <f aca="false">'05_Capital_Triggers'!C42</f>
        <v>0</v>
      </c>
      <c r="N28" s="235" t="n">
        <f aca="false">'05_Capital_Triggers'!C43</f>
        <v>0</v>
      </c>
      <c r="O28" s="235" t="n">
        <f aca="false">'05_Capital_Triggers'!C44</f>
        <v>0</v>
      </c>
      <c r="P28" s="235" t="n">
        <f aca="false">'05_Capital_Triggers'!C45</f>
        <v>0</v>
      </c>
      <c r="Q28" s="235" t="n">
        <f aca="false">'05_Capital_Triggers'!C46</f>
        <v>0</v>
      </c>
      <c r="R28" s="235" t="n">
        <f aca="false">'05_Capital_Triggers'!C47</f>
        <v>0</v>
      </c>
      <c r="S28" s="235" t="n">
        <f aca="false">'05_Capital_Triggers'!C48</f>
        <v>0</v>
      </c>
      <c r="T28" s="235" t="n">
        <f aca="false">'05_Capital_Triggers'!C49</f>
        <v>0</v>
      </c>
      <c r="U28" s="235" t="n">
        <f aca="false">'05_Capital_Triggers'!C50</f>
        <v>0</v>
      </c>
      <c r="V28" s="235" t="n">
        <f aca="false">'05_Capital_Triggers'!C51</f>
        <v>0</v>
      </c>
      <c r="W28" s="235" t="n">
        <f aca="false">'05_Capital_Triggers'!C52</f>
        <v>0</v>
      </c>
      <c r="X28" s="235" t="n">
        <f aca="false">'05_Capital_Triggers'!C53</f>
        <v>0</v>
      </c>
      <c r="Y28" s="235" t="n">
        <f aca="false">'05_Capital_Triggers'!C54</f>
        <v>0</v>
      </c>
      <c r="Z28" s="235" t="n">
        <f aca="false">'05_Capital_Triggers'!C55</f>
        <v>0</v>
      </c>
      <c r="AA28" s="235" t="n">
        <f aca="false">'05_Capital_Triggers'!C56</f>
        <v>0</v>
      </c>
      <c r="AB28" s="235" t="n">
        <f aca="false">'05_Capital_Triggers'!C57</f>
        <v>0</v>
      </c>
      <c r="AC28" s="235" t="n">
        <f aca="false">'05_Capital_Triggers'!C58</f>
        <v>0</v>
      </c>
      <c r="AD28" s="235" t="n">
        <f aca="false">'05_Capital_Triggers'!C59</f>
        <v>0</v>
      </c>
      <c r="AE28" s="235" t="n">
        <f aca="false">'05_Capital_Triggers'!C60</f>
        <v>0</v>
      </c>
      <c r="AF28" s="161"/>
    </row>
    <row r="29" customFormat="false" ht="15" hidden="false" customHeight="true" outlineLevel="0" collapsed="false">
      <c r="A29" s="161" t="s">
        <v>801</v>
      </c>
      <c r="B29" s="235" t="n">
        <f aca="false">(B25+IF('00_Inputs_Dashboard'!$B$27=1,B27,0))*'00_Inputs_Dashboard'!$B$25</f>
        <v>1293</v>
      </c>
      <c r="C29" s="235" t="n">
        <f aca="false">(C25+IF('00_Inputs_Dashboard'!$B$27=1,C27,0))*'00_Inputs_Dashboard'!$B$25</f>
        <v>2650.65</v>
      </c>
      <c r="D29" s="235" t="n">
        <f aca="false">(D25+IF('00_Inputs_Dashboard'!$B$27=1,D27,0))*'00_Inputs_Dashboard'!$B$25</f>
        <v>4075.374375</v>
      </c>
      <c r="E29" s="235" t="n">
        <f aca="false">(E25+IF('00_Inputs_Dashboard'!$B$27=1,E27,0))*'00_Inputs_Dashboard'!$B$25</f>
        <v>5569.6783125</v>
      </c>
      <c r="F29" s="235" t="n">
        <f aca="false">(F25+IF('00_Inputs_Dashboard'!$B$27=1,F27,0))*'00_Inputs_Dashboard'!$B$25</f>
        <v>6908.48892919922</v>
      </c>
      <c r="G29" s="235" t="n">
        <f aca="false">(G25+IF('00_Inputs_Dashboard'!$B$27=1,G27,0))*'00_Inputs_Dashboard'!$B$25</f>
        <v>7081.2011524292</v>
      </c>
      <c r="H29" s="235" t="n">
        <f aca="false">(H25+IF('00_Inputs_Dashboard'!$B$27=1,H27,0))*'00_Inputs_Dashboard'!$B$25</f>
        <v>7258.23118123993</v>
      </c>
      <c r="I29" s="235" t="n">
        <f aca="false">(I25+IF('00_Inputs_Dashboard'!$B$27=1,I27,0))*'00_Inputs_Dashboard'!$B$25</f>
        <v>7439.68696077092</v>
      </c>
      <c r="J29" s="235" t="n">
        <f aca="false">(J25+IF('00_Inputs_Dashboard'!$B$27=1,J27,0))*'00_Inputs_Dashboard'!$B$25</f>
        <v>7625.6791347902</v>
      </c>
      <c r="K29" s="235" t="n">
        <f aca="false">(K25+IF('00_Inputs_Dashboard'!$B$27=1,K27,0))*'00_Inputs_Dashboard'!$B$25</f>
        <v>7816.32111315995</v>
      </c>
      <c r="L29" s="235" t="n">
        <f aca="false">(L25+IF('00_Inputs_Dashboard'!$B$27=1,L27,0))*'00_Inputs_Dashboard'!$B$25</f>
        <v>8011.72914098895</v>
      </c>
      <c r="M29" s="235" t="n">
        <f aca="false">(M25+IF('00_Inputs_Dashboard'!$B$27=1,M27,0))*'00_Inputs_Dashboard'!$B$25</f>
        <v>8212.02236951367</v>
      </c>
      <c r="N29" s="235" t="n">
        <f aca="false">(N25+IF('00_Inputs_Dashboard'!$B$27=1,N27,0))*'00_Inputs_Dashboard'!$B$25</f>
        <v>8417.32292875151</v>
      </c>
      <c r="O29" s="235" t="n">
        <f aca="false">(O25+IF('00_Inputs_Dashboard'!$B$27=1,O27,0))*'00_Inputs_Dashboard'!$B$25</f>
        <v>8627.7560019703</v>
      </c>
      <c r="P29" s="235" t="n">
        <f aca="false">(P25+IF('00_Inputs_Dashboard'!$B$27=1,P27,0))*'00_Inputs_Dashboard'!$B$25</f>
        <v>8843.44990201956</v>
      </c>
      <c r="Q29" s="235" t="n">
        <f aca="false">(Q25+IF('00_Inputs_Dashboard'!$B$27=1,Q27,0))*'00_Inputs_Dashboard'!$B$25</f>
        <v>9064.53614957004</v>
      </c>
      <c r="R29" s="235" t="n">
        <f aca="false">(R25+IF('00_Inputs_Dashboard'!$B$27=1,R27,0))*'00_Inputs_Dashboard'!$B$25</f>
        <v>9291.1495533093</v>
      </c>
      <c r="S29" s="235" t="n">
        <f aca="false">(S25+IF('00_Inputs_Dashboard'!$B$27=1,S27,0))*'00_Inputs_Dashboard'!$B$25</f>
        <v>9523.42829214203</v>
      </c>
      <c r="T29" s="235" t="n">
        <f aca="false">(T25+IF('00_Inputs_Dashboard'!$B$27=1,T27,0))*'00_Inputs_Dashboard'!$B$25</f>
        <v>9761.51399944558</v>
      </c>
      <c r="U29" s="235" t="n">
        <f aca="false">(U25+IF('00_Inputs_Dashboard'!$B$27=1,U27,0))*'00_Inputs_Dashboard'!$B$25</f>
        <v>10005.5518494317</v>
      </c>
      <c r="V29" s="235" t="n">
        <f aca="false">(V25+IF('00_Inputs_Dashboard'!$B$27=1,V27,0))*'00_Inputs_Dashboard'!$B$25</f>
        <v>10255.6906456675</v>
      </c>
      <c r="W29" s="235" t="n">
        <f aca="false">(W25+IF('00_Inputs_Dashboard'!$B$27=1,W27,0))*'00_Inputs_Dashboard'!$B$25</f>
        <v>10512.0829118092</v>
      </c>
      <c r="X29" s="235" t="n">
        <f aca="false">(X25+IF('00_Inputs_Dashboard'!$B$27=1,X27,0))*'00_Inputs_Dashboard'!$B$25</f>
        <v>10774.8849846044</v>
      </c>
      <c r="Y29" s="235" t="n">
        <f aca="false">(Y25+IF('00_Inputs_Dashboard'!$B$27=1,Y27,0))*'00_Inputs_Dashboard'!$B$25</f>
        <v>11044.2571092195</v>
      </c>
      <c r="Z29" s="235" t="n">
        <f aca="false">(Z25+IF('00_Inputs_Dashboard'!$B$27=1,Z27,0))*'00_Inputs_Dashboard'!$B$25</f>
        <v>11320.36353695</v>
      </c>
      <c r="AA29" s="235" t="n">
        <f aca="false">(AA25+IF('00_Inputs_Dashboard'!$B$27=1,AA27,0))*'00_Inputs_Dashboard'!$B$25</f>
        <v>11603.3726253738</v>
      </c>
      <c r="AB29" s="235" t="n">
        <f aca="false">(AB25+IF('00_Inputs_Dashboard'!$B$27=1,AB27,0))*'00_Inputs_Dashboard'!$B$25</f>
        <v>11893.4569410081</v>
      </c>
      <c r="AC29" s="235" t="n">
        <f aca="false">(AC25+IF('00_Inputs_Dashboard'!$B$27=1,AC27,0))*'00_Inputs_Dashboard'!$B$25</f>
        <v>12190.7933645333</v>
      </c>
      <c r="AD29" s="235" t="n">
        <f aca="false">(AD25+IF('00_Inputs_Dashboard'!$B$27=1,AD27,0))*'00_Inputs_Dashboard'!$B$25</f>
        <v>12495.5631986466</v>
      </c>
      <c r="AE29" s="235" t="n">
        <f aca="false">(AE25+IF('00_Inputs_Dashboard'!$B$27=1,AE27,0))*'00_Inputs_Dashboard'!$B$25</f>
        <v>12807.9522786128</v>
      </c>
      <c r="AF29" s="161"/>
    </row>
    <row r="30" customFormat="false" ht="15" hidden="false" customHeight="true" outlineLevel="0" collapsed="false">
      <c r="A30" s="161" t="s">
        <v>802</v>
      </c>
      <c r="B30" s="235" t="n">
        <f aca="false">(B26+IF('00_Inputs_Dashboard'!$B$27=1,B28,0))*'00_Inputs_Dashboard'!$B$26</f>
        <v>337.3125</v>
      </c>
      <c r="C30" s="235" t="n">
        <f aca="false">(C26+IF('00_Inputs_Dashboard'!$B$27=1,C28,0))*'00_Inputs_Dashboard'!$B$26</f>
        <v>691.490625</v>
      </c>
      <c r="D30" s="235" t="n">
        <f aca="false">(D26+IF('00_Inputs_Dashboard'!$B$27=1,D28,0))*'00_Inputs_Dashboard'!$B$26</f>
        <v>1063.1668359375</v>
      </c>
      <c r="E30" s="235" t="n">
        <f aca="false">(E26+IF('00_Inputs_Dashboard'!$B$27=1,E28,0))*'00_Inputs_Dashboard'!$B$26</f>
        <v>1452.99467578125</v>
      </c>
      <c r="F30" s="235" t="n">
        <f aca="false">(F26+IF('00_Inputs_Dashboard'!$B$27=1,F28,0))*'00_Inputs_Dashboard'!$B$26</f>
        <v>1843.02258581543</v>
      </c>
      <c r="G30" s="235" t="n">
        <f aca="false">(G26+IF('00_Inputs_Dashboard'!$B$27=1,G28,0))*'00_Inputs_Dashboard'!$B$26</f>
        <v>1889.09815046081</v>
      </c>
      <c r="H30" s="235" t="n">
        <f aca="false">(H26+IF('00_Inputs_Dashboard'!$B$27=1,H28,0))*'00_Inputs_Dashboard'!$B$26</f>
        <v>1936.32560422233</v>
      </c>
      <c r="I30" s="235" t="n">
        <f aca="false">(I26+IF('00_Inputs_Dashboard'!$B$27=1,I28,0))*'00_Inputs_Dashboard'!$B$26</f>
        <v>1984.73374432789</v>
      </c>
      <c r="J30" s="235" t="n">
        <f aca="false">(J26+IF('00_Inputs_Dashboard'!$B$27=1,J28,0))*'00_Inputs_Dashboard'!$B$26</f>
        <v>2034.35208793609</v>
      </c>
      <c r="K30" s="235" t="n">
        <f aca="false">(K26+IF('00_Inputs_Dashboard'!$B$27=1,K28,0))*'00_Inputs_Dashboard'!$B$26</f>
        <v>2085.21089013449</v>
      </c>
      <c r="L30" s="235" t="n">
        <f aca="false">(L26+IF('00_Inputs_Dashboard'!$B$27=1,L28,0))*'00_Inputs_Dashboard'!$B$26</f>
        <v>2137.34116238785</v>
      </c>
      <c r="M30" s="235" t="n">
        <f aca="false">(M26+IF('00_Inputs_Dashboard'!$B$27=1,M28,0))*'00_Inputs_Dashboard'!$B$26</f>
        <v>2190.77469144755</v>
      </c>
      <c r="N30" s="235" t="n">
        <f aca="false">(N26+IF('00_Inputs_Dashboard'!$B$27=1,N28,0))*'00_Inputs_Dashboard'!$B$26</f>
        <v>2245.54405873374</v>
      </c>
      <c r="O30" s="235" t="n">
        <f aca="false">(O26+IF('00_Inputs_Dashboard'!$B$27=1,O28,0))*'00_Inputs_Dashboard'!$B$26</f>
        <v>2301.68266020208</v>
      </c>
      <c r="P30" s="235" t="n">
        <f aca="false">(P26+IF('00_Inputs_Dashboard'!$B$27=1,P28,0))*'00_Inputs_Dashboard'!$B$26</f>
        <v>2359.22472670713</v>
      </c>
      <c r="Q30" s="235" t="n">
        <f aca="false">(Q26+IF('00_Inputs_Dashboard'!$B$27=1,Q28,0))*'00_Inputs_Dashboard'!$B$26</f>
        <v>2418.20534487481</v>
      </c>
      <c r="R30" s="235" t="n">
        <f aca="false">(R26+IF('00_Inputs_Dashboard'!$B$27=1,R28,0))*'00_Inputs_Dashboard'!$B$26</f>
        <v>2478.66047849668</v>
      </c>
      <c r="S30" s="235" t="n">
        <f aca="false">(S26+IF('00_Inputs_Dashboard'!$B$27=1,S28,0))*'00_Inputs_Dashboard'!$B$26</f>
        <v>2540.6269904591</v>
      </c>
      <c r="T30" s="235" t="n">
        <f aca="false">(T26+IF('00_Inputs_Dashboard'!$B$27=1,T28,0))*'00_Inputs_Dashboard'!$B$26</f>
        <v>2604.14266522058</v>
      </c>
      <c r="U30" s="235" t="n">
        <f aca="false">(U26+IF('00_Inputs_Dashboard'!$B$27=1,U28,0))*'00_Inputs_Dashboard'!$B$26</f>
        <v>2669.24623185109</v>
      </c>
      <c r="V30" s="235" t="n">
        <f aca="false">(V26+IF('00_Inputs_Dashboard'!$B$27=1,V28,0))*'00_Inputs_Dashboard'!$B$26</f>
        <v>2735.97738764737</v>
      </c>
      <c r="W30" s="235" t="n">
        <f aca="false">(W26+IF('00_Inputs_Dashboard'!$B$27=1,W28,0))*'00_Inputs_Dashboard'!$B$26</f>
        <v>2804.37682233855</v>
      </c>
      <c r="X30" s="235" t="n">
        <f aca="false">(X26+IF('00_Inputs_Dashboard'!$B$27=1,X28,0))*'00_Inputs_Dashboard'!$B$26</f>
        <v>2874.48624289702</v>
      </c>
      <c r="Y30" s="235" t="n">
        <f aca="false">(Y26+IF('00_Inputs_Dashboard'!$B$27=1,Y28,0))*'00_Inputs_Dashboard'!$B$26</f>
        <v>2946.34839896944</v>
      </c>
      <c r="Z30" s="235" t="n">
        <f aca="false">(Z26+IF('00_Inputs_Dashboard'!$B$27=1,Z28,0))*'00_Inputs_Dashboard'!$B$26</f>
        <v>3020.00710894368</v>
      </c>
      <c r="AA30" s="235" t="n">
        <f aca="false">(AA26+IF('00_Inputs_Dashboard'!$B$27=1,AA28,0))*'00_Inputs_Dashboard'!$B$26</f>
        <v>3095.50728666727</v>
      </c>
      <c r="AB30" s="235" t="n">
        <f aca="false">(AB26+IF('00_Inputs_Dashboard'!$B$27=1,AB28,0))*'00_Inputs_Dashboard'!$B$26</f>
        <v>3172.89496883395</v>
      </c>
      <c r="AC30" s="235" t="n">
        <f aca="false">(AC26+IF('00_Inputs_Dashboard'!$B$27=1,AC28,0))*'00_Inputs_Dashboard'!$B$26</f>
        <v>3252.2173430548</v>
      </c>
      <c r="AD30" s="235" t="n">
        <f aca="false">(AD26+IF('00_Inputs_Dashboard'!$B$27=1,AD28,0))*'00_Inputs_Dashboard'!$B$26</f>
        <v>3333.52277663117</v>
      </c>
      <c r="AE30" s="235" t="n">
        <f aca="false">(AE26+IF('00_Inputs_Dashboard'!$B$27=1,AE28,0))*'00_Inputs_Dashboard'!$B$26</f>
        <v>3416.86084604695</v>
      </c>
      <c r="AF30" s="161"/>
    </row>
    <row r="31" customFormat="false" ht="15" hidden="false" customHeight="true" outlineLevel="0" collapsed="false">
      <c r="A31" s="161" t="s">
        <v>803</v>
      </c>
      <c r="B31" s="235" t="n">
        <f aca="false">B20+B22+B24-B25-B27-B29</f>
        <v>333141.904325</v>
      </c>
      <c r="C31" s="235" t="n">
        <f aca="false">C20+C22+C24-C25-C27-C29</f>
        <v>308731.747169</v>
      </c>
      <c r="D31" s="235" t="n">
        <f aca="false">D20+D22+D24-D25-D27-D29</f>
        <v>285221.50212371</v>
      </c>
      <c r="E31" s="235" t="n">
        <f aca="false">E20+E22+E24-E25-E27-E29</f>
        <v>262833.939305677</v>
      </c>
      <c r="F31" s="235" t="n">
        <f aca="false">F20+F22+F24-F25-F27-F29</f>
        <v>26177.3360477701</v>
      </c>
      <c r="G31" s="235" t="n">
        <f aca="false">G20+G22+G24-G25-G27-G29</f>
        <v>-114236.342175963</v>
      </c>
      <c r="H31" s="235" t="n">
        <f aca="false">H20+H22+H24-H25-H27-H29</f>
        <v>-110928.999052785</v>
      </c>
      <c r="I31" s="235" t="n">
        <f aca="false">I20+I22+I24-I25-I27-I29</f>
        <v>-107169.177250872</v>
      </c>
      <c r="J31" s="235" t="n">
        <f aca="false">J20+J22+J24-J25-J27-J29</f>
        <v>-102923.377097218</v>
      </c>
      <c r="K31" s="235" t="n">
        <f aca="false">K20+K22+K24-K25-K27-K29</f>
        <v>-98155.9301646275</v>
      </c>
      <c r="L31" s="235" t="n">
        <f aca="false">L20+L22+L24-L25-L27-L29</f>
        <v>-92828.8651771205</v>
      </c>
      <c r="M31" s="235" t="n">
        <f aca="false">M20+M22+M24-M25-M27-M29</f>
        <v>-86901.7657704286</v>
      </c>
      <c r="N31" s="235" t="n">
        <f aca="false">N20+N22+N24-N25-N27-N29</f>
        <v>-80331.6196164022</v>
      </c>
      <c r="O31" s="235" t="n">
        <f aca="false">O20+O22+O24-O25-O27-O29</f>
        <v>-73072.6583906278</v>
      </c>
      <c r="P31" s="235" t="n">
        <f aca="false">P20+P22+P24-P25-P27-P29</f>
        <v>-65076.188031238</v>
      </c>
      <c r="Q31" s="235" t="n">
        <f aca="false">Q20+Q22+Q24-Q25-Q27-Q29</f>
        <v>-56290.4087037142</v>
      </c>
      <c r="R31" s="235" t="n">
        <f aca="false">R20+R22+R24-R25-R27-R29</f>
        <v>-46660.223851304</v>
      </c>
      <c r="S31" s="235" t="n">
        <f aca="false">S20+S22+S24-S25-S27-S29</f>
        <v>-36127.0376733833</v>
      </c>
      <c r="T31" s="235" t="n">
        <f aca="false">T20+T22+T24-T25-T27-T29</f>
        <v>-24628.5403345625</v>
      </c>
      <c r="U31" s="235" t="n">
        <f aca="false">U20+U22+U24-U25-U27-U29</f>
        <v>-12098.4801654317</v>
      </c>
      <c r="V31" s="235" t="n">
        <f aca="false">V20+V22+V24-V25-V27-V29</f>
        <v>1533.5779285769</v>
      </c>
      <c r="W31" s="235" t="n">
        <f aca="false">W20+W22+W24-W25-W27-W29</f>
        <v>16342.5086808244</v>
      </c>
      <c r="X31" s="235" t="n">
        <f aca="false">X20+X22+X24-X25-X27-X29</f>
        <v>32407.8981801202</v>
      </c>
      <c r="Y31" s="235" t="n">
        <f aca="false">Y20+Y22+Y24-Y25-Y27-Y29</f>
        <v>49814.3320238347</v>
      </c>
      <c r="Z31" s="235" t="n">
        <f aca="false">Z20+Z22+Z24-Z25-Z27-Z29</f>
        <v>68651.700896995</v>
      </c>
      <c r="AA31" s="235" t="n">
        <f aca="false">AA20+AA22+AA24-AA25-AA27-AA29</f>
        <v>89015.524626338</v>
      </c>
      <c r="AB31" s="235" t="n">
        <f aca="false">AB20+AB22+AB24-AB25-AB27-AB29</f>
        <v>111007.29582133</v>
      </c>
      <c r="AC31" s="235" t="n">
        <f aca="false">AC20+AC22+AC24-AC25-AC27-AC29</f>
        <v>134734.844280956</v>
      </c>
      <c r="AD31" s="235" t="n">
        <f aca="false">AD20+AD22+AD24-AD25-AD27-AD29</f>
        <v>160312.723415919</v>
      </c>
      <c r="AE31" s="235" t="n">
        <f aca="false">AE20+AE22+AE24-AE25-AE27-AE29</f>
        <v>187862.620010932</v>
      </c>
      <c r="AF31" s="161"/>
    </row>
    <row r="32" customFormat="false" ht="15" hidden="false" customHeight="true" outlineLevel="0" collapsed="false">
      <c r="A32" s="161" t="s">
        <v>804</v>
      </c>
      <c r="B32" s="235" t="n">
        <f aca="false">B21+B23-B26-B28-B30</f>
        <v>-7019.78025</v>
      </c>
      <c r="C32" s="235" t="n">
        <f aca="false">C21+C23-C26-C28-C30</f>
        <v>-13913.847255</v>
      </c>
      <c r="D32" s="235" t="n">
        <f aca="false">D21+D23-D26-D28-D30</f>
        <v>-20634.5835651375</v>
      </c>
      <c r="E32" s="235" t="n">
        <f aca="false">E21+E23-E26-E28-E30</f>
        <v>-27129.3522259672</v>
      </c>
      <c r="F32" s="235" t="n">
        <f aca="false">F21+F23-F26-F28-F30</f>
        <v>-35049.0582832054</v>
      </c>
      <c r="G32" s="235" t="n">
        <f aca="false">G21+G23-G26-G28-G30</f>
        <v>-34507.2643695526</v>
      </c>
      <c r="H32" s="235" t="n">
        <f aca="false">H21+H23-H26-H28-H30</f>
        <v>-33866.8443858144</v>
      </c>
      <c r="I32" s="235" t="n">
        <f aca="false">I21+I23-I26-I28-I30</f>
        <v>-33120.2278069042</v>
      </c>
      <c r="J32" s="235" t="n">
        <f aca="false">J21+J23-J26-J28-J30</f>
        <v>-32259.3485522079</v>
      </c>
      <c r="K32" s="235" t="n">
        <f aca="false">K21+K23-K26-K28-K30</f>
        <v>-31275.6142191521</v>
      </c>
      <c r="L32" s="235" t="n">
        <f aca="false">L21+L23-L26-L28-L30</f>
        <v>-30159.8734449582</v>
      </c>
      <c r="M32" s="235" t="n">
        <f aca="false">M21+M23-M26-M28-M30</f>
        <v>-28902.3812836292</v>
      </c>
      <c r="N32" s="235" t="n">
        <f aca="false">N21+N23-N26-N28-N30</f>
        <v>-27492.7624784197</v>
      </c>
      <c r="O32" s="235" t="n">
        <f aca="false">O21+O23-O26-O28-O30</f>
        <v>-25919.9725028419</v>
      </c>
      <c r="P32" s="235" t="n">
        <f aca="false">P21+P23-P26-P28-P30</f>
        <v>-24172.2562356224</v>
      </c>
      <c r="Q32" s="235" t="n">
        <f aca="false">Q21+Q23-Q26-Q28-Q30</f>
        <v>-22237.104126935</v>
      </c>
      <c r="R32" s="235" t="n">
        <f aca="false">R21+R23-R26-R28-R30</f>
        <v>-20101.2057046558</v>
      </c>
      <c r="S32" s="235" t="n">
        <f aca="false">S21+S23-S26-S28-S30</f>
        <v>-17750.4002602924</v>
      </c>
      <c r="T32" s="235" t="n">
        <f aca="false">T21+T23-T26-T28-T30</f>
        <v>-15169.6245446011</v>
      </c>
      <c r="U32" s="235" t="n">
        <f aca="false">U21+U23-U26-U28-U30</f>
        <v>-12342.8572926856</v>
      </c>
      <c r="V32" s="235" t="n">
        <f aca="false">V21+V23-V26-V28-V30</f>
        <v>-9253.0603875404</v>
      </c>
      <c r="W32" s="235" t="n">
        <f aca="false">W21+W23-W26-W28-W30</f>
        <v>-5882.11645951886</v>
      </c>
      <c r="X32" s="235" t="n">
        <f aca="false">X21+X23-X26-X28-X30</f>
        <v>-2210.76270703415</v>
      </c>
      <c r="Y32" s="235" t="n">
        <f aca="false">Y21+Y23-Y26-Y28-Y30</f>
        <v>1781.47928910104</v>
      </c>
      <c r="Z32" s="235" t="n">
        <f aca="false">Z21+Z23-Z26-Z28-Z30</f>
        <v>6116.37799896829</v>
      </c>
      <c r="AA32" s="235" t="n">
        <f aca="false">AA21+AA23-AA26-AA28-AA30</f>
        <v>10817.0708802406</v>
      </c>
      <c r="AB32" s="235" t="n">
        <f aca="false">AB21+AB23-AB26-AB28-AB30</f>
        <v>15908.1480894226</v>
      </c>
      <c r="AC32" s="235" t="n">
        <f aca="false">AC21+AC23-AC26-AC28-AC30</f>
        <v>21415.7412550646</v>
      </c>
      <c r="AD32" s="235" t="n">
        <f aca="false">AD21+AD23-AD26-AD28-AD30</f>
        <v>27367.6176176521</v>
      </c>
      <c r="AE32" s="235" t="n">
        <f aca="false">AE21+AE23-AE26-AE28-AE30</f>
        <v>33793.279859177</v>
      </c>
      <c r="AF32" s="161"/>
    </row>
    <row r="33" customFormat="false" ht="15" hidden="false" customHeight="true" outlineLevel="0" collapsed="false">
      <c r="A33" s="161" t="s">
        <v>805</v>
      </c>
      <c r="B33" s="235" t="n">
        <f aca="false">B31+B32</f>
        <v>326122.124075</v>
      </c>
      <c r="C33" s="235" t="n">
        <f aca="false">C31+C32</f>
        <v>294817.899914</v>
      </c>
      <c r="D33" s="235" t="n">
        <f aca="false">D31+D32</f>
        <v>264586.918558573</v>
      </c>
      <c r="E33" s="235" t="n">
        <f aca="false">E31+E32</f>
        <v>235704.58707971</v>
      </c>
      <c r="F33" s="235" t="n">
        <f aca="false">F31+F32</f>
        <v>-8871.72223543526</v>
      </c>
      <c r="G33" s="235" t="n">
        <f aca="false">G31+G32</f>
        <v>-148743.606545515</v>
      </c>
      <c r="H33" s="235" t="n">
        <f aca="false">H31+H32</f>
        <v>-144795.843438599</v>
      </c>
      <c r="I33" s="235" t="n">
        <f aca="false">I31+I32</f>
        <v>-140289.405057777</v>
      </c>
      <c r="J33" s="235" t="n">
        <f aca="false">J31+J32</f>
        <v>-135182.725649426</v>
      </c>
      <c r="K33" s="235" t="n">
        <f aca="false">K31+K32</f>
        <v>-129431.54438378</v>
      </c>
      <c r="L33" s="235" t="n">
        <f aca="false">L31+L32</f>
        <v>-122988.738622079</v>
      </c>
      <c r="M33" s="235" t="n">
        <f aca="false">M31+M32</f>
        <v>-115804.147054058</v>
      </c>
      <c r="N33" s="235" t="n">
        <f aca="false">N31+N32</f>
        <v>-107824.382094822</v>
      </c>
      <c r="O33" s="235" t="n">
        <f aca="false">O31+O32</f>
        <v>-98992.6308934697</v>
      </c>
      <c r="P33" s="235" t="n">
        <f aca="false">P31+P32</f>
        <v>-89248.4442668605</v>
      </c>
      <c r="Q33" s="235" t="n">
        <f aca="false">Q31+Q32</f>
        <v>-78527.5128306493</v>
      </c>
      <c r="R33" s="235" t="n">
        <f aca="false">R31+R32</f>
        <v>-66761.4295559597</v>
      </c>
      <c r="S33" s="235" t="n">
        <f aca="false">S31+S32</f>
        <v>-53877.4379336757</v>
      </c>
      <c r="T33" s="235" t="n">
        <f aca="false">T31+T32</f>
        <v>-39798.1648791636</v>
      </c>
      <c r="U33" s="235" t="n">
        <f aca="false">U31+U32</f>
        <v>-24441.3374581174</v>
      </c>
      <c r="V33" s="235" t="n">
        <f aca="false">V31+V32</f>
        <v>-7719.4824589635</v>
      </c>
      <c r="W33" s="235" t="n">
        <f aca="false">W31+W32</f>
        <v>10460.3922213055</v>
      </c>
      <c r="X33" s="235" t="n">
        <f aca="false">X31+X32</f>
        <v>30197.135473086</v>
      </c>
      <c r="Y33" s="235" t="n">
        <f aca="false">Y31+Y32</f>
        <v>51595.8113129358</v>
      </c>
      <c r="Z33" s="235" t="n">
        <f aca="false">Z31+Z32</f>
        <v>74768.0788959633</v>
      </c>
      <c r="AA33" s="235" t="n">
        <f aca="false">AA31+AA32</f>
        <v>99832.5955065785</v>
      </c>
      <c r="AB33" s="235" t="n">
        <f aca="false">AB31+AB32</f>
        <v>126915.443910752</v>
      </c>
      <c r="AC33" s="235" t="n">
        <f aca="false">AC31+AC32</f>
        <v>156150.585536021</v>
      </c>
      <c r="AD33" s="235" t="n">
        <f aca="false">AD31+AD32</f>
        <v>187680.341033571</v>
      </c>
      <c r="AE33" s="235" t="n">
        <f aca="false">AE31+AE32</f>
        <v>221655.899870109</v>
      </c>
      <c r="AF33" s="161"/>
    </row>
    <row r="34" customFormat="false" ht="12.75" hidden="false" customHeight="true" outlineLevel="0" collapsed="false">
      <c r="A34" s="239" t="s">
        <v>806</v>
      </c>
      <c r="B34" s="161" t="n">
        <f aca="false">SUMPRODUCT(--(Scenarios!$C$3:$C$27=TRUE()),Scenarios!$AD$3:$AD$27,'09_Phase_Factors'!$D$4:$D$28)</f>
        <v>7395750</v>
      </c>
      <c r="C34" s="161" t="n">
        <f aca="false">SUMPRODUCT(--(Scenarios!$C$3:$C$27=TRUE()),Scenarios!$AD$3:$AD$27,'09_Phase_Factors'!$E$4:$E$28)</f>
        <v>14791500</v>
      </c>
      <c r="D34" s="161" t="n">
        <f aca="false">SUMPRODUCT(--(Scenarios!$C$3:$C$27=TRUE()),Scenarios!$AD$3:$AD$27,'09_Phase_Factors'!$F$4:$F$28)</f>
        <v>22187250</v>
      </c>
      <c r="E34" s="161" t="n">
        <f aca="false">SUMPRODUCT(--(Scenarios!$C$3:$C$27=TRUE()),Scenarios!$AD$3:$AD$27,'09_Phase_Factors'!$G$4:$G$28)</f>
        <v>29583000</v>
      </c>
      <c r="F34" s="161" t="n">
        <f aca="false">SUMPRODUCT(--(Scenarios!$C$3:$C$27=TRUE()),Scenarios!$AD$3:$AD$27,'09_Phase_Factors'!$H$4:$H$28)</f>
        <v>34875000</v>
      </c>
      <c r="G34" s="161" t="n">
        <f aca="false">SUMPRODUCT(--(Scenarios!$C$3:$C$27=TRUE()),Scenarios!$AD$3:$AD$27,'09_Phase_Factors'!$I$4:$I$28)</f>
        <v>34875000</v>
      </c>
      <c r="H34" s="161" t="n">
        <f aca="false">SUMPRODUCT(--(Scenarios!$C$3:$C$27=TRUE()),Scenarios!$AD$3:$AD$27,'09_Phase_Factors'!$J$4:$J$28)</f>
        <v>34875000</v>
      </c>
      <c r="I34" s="161" t="n">
        <f aca="false">SUMPRODUCT(--(Scenarios!$C$3:$C$27=TRUE()),Scenarios!$AD$3:$AD$27,'09_Phase_Factors'!$K$4:$K$28)</f>
        <v>34875000</v>
      </c>
      <c r="J34" s="161" t="n">
        <f aca="false">SUMPRODUCT(--(Scenarios!$C$3:$C$27=TRUE()),Scenarios!$AD$3:$AD$27,'09_Phase_Factors'!$L$4:$L$28)</f>
        <v>34875000</v>
      </c>
      <c r="K34" s="161" t="n">
        <f aca="false">SUMPRODUCT(--(Scenarios!$C$3:$C$27=TRUE()),Scenarios!$AD$3:$AD$27,'09_Phase_Factors'!$M$4:$M$28)</f>
        <v>34875000</v>
      </c>
      <c r="L34" s="161" t="n">
        <f aca="false">SUMPRODUCT(--(Scenarios!$C$3:$C$27=TRUE()),Scenarios!$AD$3:$AD$27,'09_Phase_Factors'!$N$4:$N$28)</f>
        <v>34875000</v>
      </c>
      <c r="M34" s="161" t="n">
        <f aca="false">SUMPRODUCT(--(Scenarios!$C$3:$C$27=TRUE()),Scenarios!$AD$3:$AD$27,'09_Phase_Factors'!$O$4:$O$28)</f>
        <v>34875000</v>
      </c>
      <c r="N34" s="161" t="n">
        <f aca="false">SUMPRODUCT(--(Scenarios!$C$3:$C$27=TRUE()),Scenarios!$AD$3:$AD$27,'09_Phase_Factors'!$P$4:$P$28)</f>
        <v>34875000</v>
      </c>
      <c r="O34" s="161" t="n">
        <f aca="false">SUMPRODUCT(--(Scenarios!$C$3:$C$27=TRUE()),Scenarios!$AD$3:$AD$27,'09_Phase_Factors'!$Q$4:$Q$28)</f>
        <v>34875000</v>
      </c>
      <c r="P34" s="161" t="n">
        <f aca="false">SUMPRODUCT(--(Scenarios!$C$3:$C$27=TRUE()),Scenarios!$AD$3:$AD$27,'09_Phase_Factors'!$R$4:$R$28)</f>
        <v>34875000</v>
      </c>
      <c r="Q34" s="161" t="n">
        <f aca="false">SUMPRODUCT(--(Scenarios!$C$3:$C$27=TRUE()),Scenarios!$AD$3:$AD$27,'09_Phase_Factors'!$S$4:$S$28)</f>
        <v>34875000</v>
      </c>
      <c r="R34" s="161" t="n">
        <f aca="false">SUMPRODUCT(--(Scenarios!$C$3:$C$27=TRUE()),Scenarios!$AD$3:$AD$27,'09_Phase_Factors'!$T$4:$T$28)</f>
        <v>34875000</v>
      </c>
      <c r="S34" s="161" t="n">
        <f aca="false">SUMPRODUCT(--(Scenarios!$C$3:$C$27=TRUE()),Scenarios!$AD$3:$AD$27,'09_Phase_Factors'!$U$4:$U$28)</f>
        <v>34875000</v>
      </c>
      <c r="T34" s="161" t="n">
        <f aca="false">SUMPRODUCT(--(Scenarios!$C$3:$C$27=TRUE()),Scenarios!$AD$3:$AD$27,'09_Phase_Factors'!$V$4:$V$28)</f>
        <v>34875000</v>
      </c>
      <c r="U34" s="161" t="n">
        <f aca="false">SUMPRODUCT(--(Scenarios!$C$3:$C$27=TRUE()),Scenarios!$AD$3:$AD$27,'09_Phase_Factors'!$W$4:$W$28)</f>
        <v>34875000</v>
      </c>
      <c r="V34" s="161" t="n">
        <f aca="false">SUMPRODUCT(--(Scenarios!$C$3:$C$27=TRUE()),Scenarios!$AD$3:$AD$27,'09_Phase_Factors'!$X$4:$X$28)</f>
        <v>34875000</v>
      </c>
      <c r="W34" s="161" t="n">
        <f aca="false">SUMPRODUCT(--(Scenarios!$C$3:$C$27=TRUE()),Scenarios!$AD$3:$AD$27,'09_Phase_Factors'!$Y$4:$Y$28)</f>
        <v>34875000</v>
      </c>
      <c r="X34" s="161" t="n">
        <f aca="false">SUMPRODUCT(--(Scenarios!$C$3:$C$27=TRUE()),Scenarios!$AD$3:$AD$27,'09_Phase_Factors'!$Z$4:$Z$28)</f>
        <v>34875000</v>
      </c>
      <c r="Y34" s="161" t="n">
        <f aca="false">SUMPRODUCT(--(Scenarios!$C$3:$C$27=TRUE()),Scenarios!$AD$3:$AD$27,'09_Phase_Factors'!$AA$4:$AA$28)</f>
        <v>34875000</v>
      </c>
      <c r="Z34" s="161" t="n">
        <f aca="false">SUMPRODUCT(--(Scenarios!$C$3:$C$27=TRUE()),Scenarios!$AD$3:$AD$27,'09_Phase_Factors'!$AB$4:$AB$28)</f>
        <v>34875000</v>
      </c>
      <c r="AA34" s="161" t="n">
        <f aca="false">SUMPRODUCT(--(Scenarios!$C$3:$C$27=TRUE()),Scenarios!$AD$3:$AD$27,'09_Phase_Factors'!$AC$4:$AC$28)</f>
        <v>34875000</v>
      </c>
      <c r="AB34" s="161" t="n">
        <f aca="false">SUMPRODUCT(--(Scenarios!$C$3:$C$27=TRUE()),Scenarios!$AD$3:$AD$27,'09_Phase_Factors'!$AD$4:$AD$28)</f>
        <v>34875000</v>
      </c>
      <c r="AC34" s="161" t="n">
        <f aca="false">SUMPRODUCT(--(Scenarios!$C$3:$C$27=TRUE()),Scenarios!$AD$3:$AD$27,'09_Phase_Factors'!$AE$4:$AE$28)</f>
        <v>34875000</v>
      </c>
      <c r="AD34" s="161" t="n">
        <f aca="false">SUMPRODUCT(--(Scenarios!$C$3:$C$27=TRUE()),Scenarios!$AD$3:$AD$27,'09_Phase_Factors'!$AF$4:$AF$28)</f>
        <v>34875000</v>
      </c>
      <c r="AE34" s="161" t="n">
        <f aca="false">SUMPRODUCT(--(Scenarios!$C$3:$C$27=TRUE()),Scenarios!$AD$3:$AD$27,'09_Phase_Factors'!$AG$4:$AG$28)</f>
        <v>34875000</v>
      </c>
      <c r="AF34" s="161"/>
    </row>
    <row r="35" customFormat="false" ht="12.75" hidden="false" customHeight="true" outlineLevel="0" collapsed="false">
      <c r="A35" s="239" t="s">
        <v>807</v>
      </c>
      <c r="B35" s="161" t="n">
        <f aca="false">SUMPRODUCT(--(Scenarios!$C$3:$C$27=TRUE()),Scenarios!$AE$3:$AE$27,'09_Phase_Factors'!$D$4:$D$28)</f>
        <v>7314750</v>
      </c>
      <c r="C35" s="161" t="n">
        <f aca="false">SUMPRODUCT(--(Scenarios!$C$3:$C$27=TRUE()),Scenarios!$AE$3:$AE$27,'09_Phase_Factors'!$E$4:$E$28)</f>
        <v>14629500</v>
      </c>
      <c r="D35" s="161" t="n">
        <f aca="false">SUMPRODUCT(--(Scenarios!$C$3:$C$27=TRUE()),Scenarios!$AE$3:$AE$27,'09_Phase_Factors'!$F$4:$F$28)</f>
        <v>21944250</v>
      </c>
      <c r="E35" s="161" t="n">
        <f aca="false">SUMPRODUCT(--(Scenarios!$C$3:$C$27=TRUE()),Scenarios!$AE$3:$AE$27,'09_Phase_Factors'!$G$4:$G$28)</f>
        <v>29259000</v>
      </c>
      <c r="F35" s="161" t="n">
        <f aca="false">SUMPRODUCT(--(Scenarios!$C$3:$C$27=TRUE()),Scenarios!$AE$3:$AE$27,'09_Phase_Factors'!$H$4:$H$28)</f>
        <v>34470000</v>
      </c>
      <c r="G35" s="161" t="n">
        <f aca="false">SUMPRODUCT(--(Scenarios!$C$3:$C$27=TRUE()),Scenarios!$AE$3:$AE$27,'09_Phase_Factors'!$I$4:$I$28)</f>
        <v>34470000</v>
      </c>
      <c r="H35" s="161" t="n">
        <f aca="false">SUMPRODUCT(--(Scenarios!$C$3:$C$27=TRUE()),Scenarios!$AE$3:$AE$27,'09_Phase_Factors'!$J$4:$J$28)</f>
        <v>34470000</v>
      </c>
      <c r="I35" s="161" t="n">
        <f aca="false">SUMPRODUCT(--(Scenarios!$C$3:$C$27=TRUE()),Scenarios!$AE$3:$AE$27,'09_Phase_Factors'!$K$4:$K$28)</f>
        <v>34470000</v>
      </c>
      <c r="J35" s="161" t="n">
        <f aca="false">SUMPRODUCT(--(Scenarios!$C$3:$C$27=TRUE()),Scenarios!$AE$3:$AE$27,'09_Phase_Factors'!$L$4:$L$28)</f>
        <v>34470000</v>
      </c>
      <c r="K35" s="161" t="n">
        <f aca="false">SUMPRODUCT(--(Scenarios!$C$3:$C$27=TRUE()),Scenarios!$AE$3:$AE$27,'09_Phase_Factors'!$M$4:$M$28)</f>
        <v>34470000</v>
      </c>
      <c r="L35" s="161" t="n">
        <f aca="false">SUMPRODUCT(--(Scenarios!$C$3:$C$27=TRUE()),Scenarios!$AE$3:$AE$27,'09_Phase_Factors'!$N$4:$N$28)</f>
        <v>34470000</v>
      </c>
      <c r="M35" s="161" t="n">
        <f aca="false">SUMPRODUCT(--(Scenarios!$C$3:$C$27=TRUE()),Scenarios!$AE$3:$AE$27,'09_Phase_Factors'!$O$4:$O$28)</f>
        <v>34470000</v>
      </c>
      <c r="N35" s="161" t="n">
        <f aca="false">SUMPRODUCT(--(Scenarios!$C$3:$C$27=TRUE()),Scenarios!$AE$3:$AE$27,'09_Phase_Factors'!$P$4:$P$28)</f>
        <v>34470000</v>
      </c>
      <c r="O35" s="161" t="n">
        <f aca="false">SUMPRODUCT(--(Scenarios!$C$3:$C$27=TRUE()),Scenarios!$AE$3:$AE$27,'09_Phase_Factors'!$Q$4:$Q$28)</f>
        <v>34470000</v>
      </c>
      <c r="P35" s="161" t="n">
        <f aca="false">SUMPRODUCT(--(Scenarios!$C$3:$C$27=TRUE()),Scenarios!$AE$3:$AE$27,'09_Phase_Factors'!$R$4:$R$28)</f>
        <v>34470000</v>
      </c>
      <c r="Q35" s="161" t="n">
        <f aca="false">SUMPRODUCT(--(Scenarios!$C$3:$C$27=TRUE()),Scenarios!$AE$3:$AE$27,'09_Phase_Factors'!$S$4:$S$28)</f>
        <v>34470000</v>
      </c>
      <c r="R35" s="161" t="n">
        <f aca="false">SUMPRODUCT(--(Scenarios!$C$3:$C$27=TRUE()),Scenarios!$AE$3:$AE$27,'09_Phase_Factors'!$T$4:$T$28)</f>
        <v>34470000</v>
      </c>
      <c r="S35" s="161" t="n">
        <f aca="false">SUMPRODUCT(--(Scenarios!$C$3:$C$27=TRUE()),Scenarios!$AE$3:$AE$27,'09_Phase_Factors'!$U$4:$U$28)</f>
        <v>34470000</v>
      </c>
      <c r="T35" s="161" t="n">
        <f aca="false">SUMPRODUCT(--(Scenarios!$C$3:$C$27=TRUE()),Scenarios!$AE$3:$AE$27,'09_Phase_Factors'!$V$4:$V$28)</f>
        <v>34470000</v>
      </c>
      <c r="U35" s="161" t="n">
        <f aca="false">SUMPRODUCT(--(Scenarios!$C$3:$C$27=TRUE()),Scenarios!$AE$3:$AE$27,'09_Phase_Factors'!$W$4:$W$28)</f>
        <v>34470000</v>
      </c>
      <c r="V35" s="161" t="n">
        <f aca="false">SUMPRODUCT(--(Scenarios!$C$3:$C$27=TRUE()),Scenarios!$AE$3:$AE$27,'09_Phase_Factors'!$X$4:$X$28)</f>
        <v>34470000</v>
      </c>
      <c r="W35" s="161" t="n">
        <f aca="false">SUMPRODUCT(--(Scenarios!$C$3:$C$27=TRUE()),Scenarios!$AE$3:$AE$27,'09_Phase_Factors'!$Y$4:$Y$28)</f>
        <v>34470000</v>
      </c>
      <c r="X35" s="161" t="n">
        <f aca="false">SUMPRODUCT(--(Scenarios!$C$3:$C$27=TRUE()),Scenarios!$AE$3:$AE$27,'09_Phase_Factors'!$Z$4:$Z$28)</f>
        <v>34470000</v>
      </c>
      <c r="Y35" s="161" t="n">
        <f aca="false">SUMPRODUCT(--(Scenarios!$C$3:$C$27=TRUE()),Scenarios!$AE$3:$AE$27,'09_Phase_Factors'!$AA$4:$AA$28)</f>
        <v>34470000</v>
      </c>
      <c r="Z35" s="161" t="n">
        <f aca="false">SUMPRODUCT(--(Scenarios!$C$3:$C$27=TRUE()),Scenarios!$AE$3:$AE$27,'09_Phase_Factors'!$AB$4:$AB$28)</f>
        <v>34470000</v>
      </c>
      <c r="AA35" s="161" t="n">
        <f aca="false">SUMPRODUCT(--(Scenarios!$C$3:$C$27=TRUE()),Scenarios!$AE$3:$AE$27,'09_Phase_Factors'!$AC$4:$AC$28)</f>
        <v>34470000</v>
      </c>
      <c r="AB35" s="161" t="n">
        <f aca="false">SUMPRODUCT(--(Scenarios!$C$3:$C$27=TRUE()),Scenarios!$AE$3:$AE$27,'09_Phase_Factors'!$AD$4:$AD$28)</f>
        <v>34470000</v>
      </c>
      <c r="AC35" s="161" t="n">
        <f aca="false">SUMPRODUCT(--(Scenarios!$C$3:$C$27=TRUE()),Scenarios!$AE$3:$AE$27,'09_Phase_Factors'!$AE$4:$AE$28)</f>
        <v>34470000</v>
      </c>
      <c r="AD35" s="161" t="n">
        <f aca="false">SUMPRODUCT(--(Scenarios!$C$3:$C$27=TRUE()),Scenarios!$AE$3:$AE$27,'09_Phase_Factors'!$AF$4:$AF$28)</f>
        <v>34470000</v>
      </c>
      <c r="AE35" s="161" t="n">
        <f aca="false">SUMPRODUCT(--(Scenarios!$C$3:$C$27=TRUE()),Scenarios!$AE$3:$AE$27,'09_Phase_Factors'!$AG$4:$AG$28)</f>
        <v>34470000</v>
      </c>
      <c r="AF35" s="161"/>
    </row>
    <row r="36" customFormat="false" ht="12.75" hidden="false" customHeight="true" outlineLevel="0" collapsed="false">
      <c r="A36" s="161" t="s">
        <v>808</v>
      </c>
      <c r="B36" s="235" t="n">
        <f aca="false">B11*((1+'00_Inputs_Dashboard'!$B$15)^(1-1))*'00_Inputs_Dashboard'!$B$21*'00_Inputs_Dashboard'!$B$50</f>
        <v>28392.5775</v>
      </c>
      <c r="C36" s="235" t="n">
        <f aca="false">C11*((1+'00_Inputs_Dashboard'!$B$15)^(2-1))*'00_Inputs_Dashboard'!$B$21*'00_Inputs_Dashboard'!$B$50</f>
        <v>60192.2643</v>
      </c>
      <c r="D36" s="235" t="n">
        <f aca="false">D11*((1+'00_Inputs_Dashboard'!$B$15)^(3-1))*'00_Inputs_Dashboard'!$B$21*'00_Inputs_Dashboard'!$B$50</f>
        <v>95705.700237</v>
      </c>
      <c r="E36" s="235" t="n">
        <f aca="false">E11*((1+'00_Inputs_Dashboard'!$B$15)^(4-1))*'00_Inputs_Dashboard'!$B$21*'00_Inputs_Dashboard'!$B$50</f>
        <v>135264.05633496</v>
      </c>
      <c r="F36" s="235" t="n">
        <f aca="false">F11*((1+'00_Inputs_Dashboard'!$B$15)^(5-1))*'00_Inputs_Dashboard'!$B$21*'00_Inputs_Dashboard'!$B$50</f>
        <v>169102.539531048</v>
      </c>
      <c r="G36" s="235" t="n">
        <f aca="false">G11*((1+'00_Inputs_Dashboard'!$B$15)^(6-1))*'00_Inputs_Dashboard'!$B$21*'00_Inputs_Dashboard'!$B$50</f>
        <v>179248.691902911</v>
      </c>
      <c r="H36" s="235" t="n">
        <f aca="false">H11*((1+'00_Inputs_Dashboard'!$B$15)^(7-1))*'00_Inputs_Dashboard'!$B$21*'00_Inputs_Dashboard'!$B$50</f>
        <v>190003.613417086</v>
      </c>
      <c r="I36" s="235" t="n">
        <f aca="false">I11*((1+'00_Inputs_Dashboard'!$B$15)^(8-1))*'00_Inputs_Dashboard'!$B$21*'00_Inputs_Dashboard'!$B$50</f>
        <v>201403.830222111</v>
      </c>
      <c r="J36" s="235" t="n">
        <f aca="false">J11*((1+'00_Inputs_Dashboard'!$B$15)^(9-1))*'00_Inputs_Dashboard'!$B$21*'00_Inputs_Dashboard'!$B$50</f>
        <v>213488.060035437</v>
      </c>
      <c r="K36" s="235" t="n">
        <f aca="false">K11*((1+'00_Inputs_Dashboard'!$B$15)^(10-1))*'00_Inputs_Dashboard'!$B$21*'00_Inputs_Dashboard'!$B$50</f>
        <v>226297.343637564</v>
      </c>
      <c r="L36" s="235" t="n">
        <f aca="false">L11*((1+'00_Inputs_Dashboard'!$B$15)^(11-1))*'00_Inputs_Dashboard'!$B$21*'00_Inputs_Dashboard'!$B$50</f>
        <v>239875.184255818</v>
      </c>
      <c r="M36" s="235" t="n">
        <f aca="false">M11*((1+'00_Inputs_Dashboard'!$B$15)^(12-1))*'00_Inputs_Dashboard'!$B$21*'00_Inputs_Dashboard'!$B$50</f>
        <v>254267.695311167</v>
      </c>
      <c r="N36" s="235" t="n">
        <f aca="false">N11*((1+'00_Inputs_Dashboard'!$B$15)^(13-1))*'00_Inputs_Dashboard'!$B$21*'00_Inputs_Dashboard'!$B$50</f>
        <v>269523.757029837</v>
      </c>
      <c r="O36" s="235" t="n">
        <f aca="false">O11*((1+'00_Inputs_Dashboard'!$B$15)^(14-1))*'00_Inputs_Dashboard'!$B$21*'00_Inputs_Dashboard'!$B$50</f>
        <v>285695.182451627</v>
      </c>
      <c r="P36" s="235" t="n">
        <f aca="false">P11*((1+'00_Inputs_Dashboard'!$B$15)^(15-1))*'00_Inputs_Dashboard'!$B$21*'00_Inputs_Dashboard'!$B$50</f>
        <v>302836.893398724</v>
      </c>
      <c r="Q36" s="235" t="n">
        <f aca="false">Q11*((1+'00_Inputs_Dashboard'!$B$15)^(16-1))*'00_Inputs_Dashboard'!$B$21*'00_Inputs_Dashboard'!$B$50</f>
        <v>321007.107002648</v>
      </c>
      <c r="R36" s="235" t="n">
        <f aca="false">R11*((1+'00_Inputs_Dashboard'!$B$15)^(17-1))*'00_Inputs_Dashboard'!$B$21*'00_Inputs_Dashboard'!$B$50</f>
        <v>340267.533422807</v>
      </c>
      <c r="S36" s="235" t="n">
        <f aca="false">S11*((1+'00_Inputs_Dashboard'!$B$15)^(18-1))*'00_Inputs_Dashboard'!$B$21*'00_Inputs_Dashboard'!$B$50</f>
        <v>360683.585428175</v>
      </c>
      <c r="T36" s="235" t="n">
        <f aca="false">T11*((1+'00_Inputs_Dashboard'!$B$15)^(19-1))*'00_Inputs_Dashboard'!$B$21*'00_Inputs_Dashboard'!$B$50</f>
        <v>382324.600553866</v>
      </c>
      <c r="U36" s="235" t="n">
        <f aca="false">U11*((1+'00_Inputs_Dashboard'!$B$15)^(20-1))*'00_Inputs_Dashboard'!$B$21*'00_Inputs_Dashboard'!$B$50</f>
        <v>405264.076587098</v>
      </c>
      <c r="V36" s="235" t="n">
        <f aca="false">V11*((1+'00_Inputs_Dashboard'!$B$15)^(21-1))*'00_Inputs_Dashboard'!$B$21*'00_Inputs_Dashboard'!$B$50</f>
        <v>429579.921182324</v>
      </c>
      <c r="W36" s="235" t="n">
        <f aca="false">W11*((1+'00_Inputs_Dashboard'!$B$15)^(22-1))*'00_Inputs_Dashboard'!$B$21*'00_Inputs_Dashboard'!$B$50</f>
        <v>455354.716453263</v>
      </c>
      <c r="X36" s="235" t="n">
        <f aca="false">X11*((1+'00_Inputs_Dashboard'!$B$15)^(23-1))*'00_Inputs_Dashboard'!$B$21*'00_Inputs_Dashboard'!$B$50</f>
        <v>482675.999440459</v>
      </c>
      <c r="Y36" s="235" t="n">
        <f aca="false">Y11*((1+'00_Inputs_Dashboard'!$B$15)^(24-1))*'00_Inputs_Dashboard'!$B$21*'00_Inputs_Dashboard'!$B$50</f>
        <v>511636.559406886</v>
      </c>
      <c r="Z36" s="235" t="n">
        <f aca="false">Z11*((1+'00_Inputs_Dashboard'!$B$15)^(25-1))*'00_Inputs_Dashboard'!$B$21*'00_Inputs_Dashboard'!$B$50</f>
        <v>542334.7529713</v>
      </c>
      <c r="AA36" s="235" t="n">
        <f aca="false">AA11*((1+'00_Inputs_Dashboard'!$B$15)^(26-1))*'00_Inputs_Dashboard'!$B$21*'00_Inputs_Dashboard'!$B$50</f>
        <v>574874.838149578</v>
      </c>
      <c r="AB36" s="235" t="n">
        <f aca="false">AB11*((1+'00_Inputs_Dashboard'!$B$15)^(27-1))*'00_Inputs_Dashboard'!$B$21*'00_Inputs_Dashboard'!$B$50</f>
        <v>609367.328438552</v>
      </c>
      <c r="AC36" s="235" t="n">
        <f aca="false">AC11*((1+'00_Inputs_Dashboard'!$B$15)^(28-1))*'00_Inputs_Dashboard'!$B$21*'00_Inputs_Dashboard'!$B$50</f>
        <v>645929.368144865</v>
      </c>
      <c r="AD36" s="235" t="n">
        <f aca="false">AD11*((1+'00_Inputs_Dashboard'!$B$15)^(29-1))*'00_Inputs_Dashboard'!$B$21*'00_Inputs_Dashboard'!$B$50</f>
        <v>684685.130233557</v>
      </c>
      <c r="AE36" s="235" t="n">
        <f aca="false">AE11*((1+'00_Inputs_Dashboard'!$B$15)^(30-1))*'00_Inputs_Dashboard'!$B$21*'00_Inputs_Dashboard'!$B$50</f>
        <v>725766.238047571</v>
      </c>
      <c r="AF36" s="161"/>
    </row>
    <row r="37" customFormat="false" ht="12.75" hidden="false" customHeight="true" outlineLevel="0" collapsed="false">
      <c r="A37" s="161" t="s">
        <v>809</v>
      </c>
      <c r="B37" s="235" t="n">
        <f aca="false">B11*((1+'00_Inputs_Dashboard'!$B$15)^(1-1))*'00_Inputs_Dashboard'!$B$22*'00_Inputs_Dashboard'!$B$50</f>
        <v>7005.775</v>
      </c>
      <c r="C37" s="235" t="n">
        <f aca="false">C11*((1+'00_Inputs_Dashboard'!$B$15)^(2-1))*'00_Inputs_Dashboard'!$B$22*'00_Inputs_Dashboard'!$B$50</f>
        <v>14852.243</v>
      </c>
      <c r="D37" s="235" t="n">
        <f aca="false">D11*((1+'00_Inputs_Dashboard'!$B$15)^(3-1))*'00_Inputs_Dashboard'!$B$22*'00_Inputs_Dashboard'!$B$50</f>
        <v>23615.06637</v>
      </c>
      <c r="E37" s="235" t="n">
        <f aca="false">E11*((1+'00_Inputs_Dashboard'!$B$15)^(4-1))*'00_Inputs_Dashboard'!$B$22*'00_Inputs_Dashboard'!$B$50</f>
        <v>33375.9604696</v>
      </c>
      <c r="F37" s="235" t="n">
        <f aca="false">F11*((1+'00_Inputs_Dashboard'!$B$15)^(5-1))*'00_Inputs_Dashboard'!$B$22*'00_Inputs_Dashboard'!$B$50</f>
        <v>41725.49476648</v>
      </c>
      <c r="G37" s="235" t="n">
        <f aca="false">G11*((1+'00_Inputs_Dashboard'!$B$15)^(6-1))*'00_Inputs_Dashboard'!$B$22*'00_Inputs_Dashboard'!$B$50</f>
        <v>44229.0244524688</v>
      </c>
      <c r="H37" s="235" t="n">
        <f aca="false">H11*((1+'00_Inputs_Dashboard'!$B$15)^(7-1))*'00_Inputs_Dashboard'!$B$22*'00_Inputs_Dashboard'!$B$50</f>
        <v>46882.7659196169</v>
      </c>
      <c r="I37" s="235" t="n">
        <f aca="false">I11*((1+'00_Inputs_Dashboard'!$B$15)^(8-1))*'00_Inputs_Dashboard'!$B$22*'00_Inputs_Dashboard'!$B$50</f>
        <v>49695.731874794</v>
      </c>
      <c r="J37" s="235" t="n">
        <f aca="false">J11*((1+'00_Inputs_Dashboard'!$B$15)^(9-1))*'00_Inputs_Dashboard'!$B$22*'00_Inputs_Dashboard'!$B$50</f>
        <v>52677.4757872816</v>
      </c>
      <c r="K37" s="235" t="n">
        <f aca="false">K11*((1+'00_Inputs_Dashboard'!$B$15)^(10-1))*'00_Inputs_Dashboard'!$B$22*'00_Inputs_Dashboard'!$B$50</f>
        <v>55838.1243345185</v>
      </c>
      <c r="L37" s="235" t="n">
        <f aca="false">L11*((1+'00_Inputs_Dashboard'!$B$15)^(11-1))*'00_Inputs_Dashboard'!$B$22*'00_Inputs_Dashboard'!$B$50</f>
        <v>59188.4117945896</v>
      </c>
      <c r="M37" s="235" t="n">
        <f aca="false">M11*((1+'00_Inputs_Dashboard'!$B$15)^(12-1))*'00_Inputs_Dashboard'!$B$22*'00_Inputs_Dashboard'!$B$50</f>
        <v>62739.716502265</v>
      </c>
      <c r="N37" s="235" t="n">
        <f aca="false">N11*((1+'00_Inputs_Dashboard'!$B$15)^(13-1))*'00_Inputs_Dashboard'!$B$22*'00_Inputs_Dashboard'!$B$50</f>
        <v>66504.0994924009</v>
      </c>
      <c r="O37" s="235" t="n">
        <f aca="false">O11*((1+'00_Inputs_Dashboard'!$B$15)^(14-1))*'00_Inputs_Dashboard'!$B$22*'00_Inputs_Dashboard'!$B$50</f>
        <v>70494.345461945</v>
      </c>
      <c r="P37" s="235" t="n">
        <f aca="false">P11*((1+'00_Inputs_Dashboard'!$B$15)^(15-1))*'00_Inputs_Dashboard'!$B$22*'00_Inputs_Dashboard'!$B$50</f>
        <v>74724.0061896617</v>
      </c>
      <c r="Q37" s="235" t="n">
        <f aca="false">Q11*((1+'00_Inputs_Dashboard'!$B$15)^(16-1))*'00_Inputs_Dashboard'!$B$22*'00_Inputs_Dashboard'!$B$50</f>
        <v>79207.4465610414</v>
      </c>
      <c r="R37" s="235" t="n">
        <f aca="false">R11*((1+'00_Inputs_Dashboard'!$B$15)^(17-1))*'00_Inputs_Dashboard'!$B$22*'00_Inputs_Dashboard'!$B$50</f>
        <v>83959.8933547038</v>
      </c>
      <c r="S37" s="235" t="n">
        <f aca="false">S11*((1+'00_Inputs_Dashboard'!$B$15)^(18-1))*'00_Inputs_Dashboard'!$B$22*'00_Inputs_Dashboard'!$B$50</f>
        <v>88997.4869559861</v>
      </c>
      <c r="T37" s="235" t="n">
        <f aca="false">T11*((1+'00_Inputs_Dashboard'!$B$15)^(19-1))*'00_Inputs_Dashboard'!$B$22*'00_Inputs_Dashboard'!$B$50</f>
        <v>94337.3361733453</v>
      </c>
      <c r="U37" s="235" t="n">
        <f aca="false">U11*((1+'00_Inputs_Dashboard'!$B$15)^(20-1))*'00_Inputs_Dashboard'!$B$22*'00_Inputs_Dashboard'!$B$50</f>
        <v>99997.576343746</v>
      </c>
      <c r="V37" s="235" t="n">
        <f aca="false">V11*((1+'00_Inputs_Dashboard'!$B$15)^(21-1))*'00_Inputs_Dashboard'!$B$22*'00_Inputs_Dashboard'!$B$50</f>
        <v>105997.430924371</v>
      </c>
      <c r="W37" s="235" t="n">
        <f aca="false">W11*((1+'00_Inputs_Dashboard'!$B$15)^(22-1))*'00_Inputs_Dashboard'!$B$22*'00_Inputs_Dashboard'!$B$50</f>
        <v>112357.276779833</v>
      </c>
      <c r="X37" s="235" t="n">
        <f aca="false">X11*((1+'00_Inputs_Dashboard'!$B$15)^(23-1))*'00_Inputs_Dashboard'!$B$22*'00_Inputs_Dashboard'!$B$50</f>
        <v>119098.713386623</v>
      </c>
      <c r="Y37" s="235" t="n">
        <f aca="false">Y11*((1+'00_Inputs_Dashboard'!$B$15)^(24-1))*'00_Inputs_Dashboard'!$B$22*'00_Inputs_Dashboard'!$B$50</f>
        <v>126244.63618982</v>
      </c>
      <c r="Z37" s="235" t="n">
        <f aca="false">Z11*((1+'00_Inputs_Dashboard'!$B$15)^(25-1))*'00_Inputs_Dashboard'!$B$22*'00_Inputs_Dashboard'!$B$50</f>
        <v>133819.31436121</v>
      </c>
      <c r="AA37" s="235" t="n">
        <f aca="false">AA11*((1+'00_Inputs_Dashboard'!$B$15)^(26-1))*'00_Inputs_Dashboard'!$B$22*'00_Inputs_Dashboard'!$B$50</f>
        <v>141848.473222882</v>
      </c>
      <c r="AB37" s="235" t="n">
        <f aca="false">AB11*((1+'00_Inputs_Dashboard'!$B$15)^(27-1))*'00_Inputs_Dashboard'!$B$22*'00_Inputs_Dashboard'!$B$50</f>
        <v>150359.381616255</v>
      </c>
      <c r="AC37" s="235" t="n">
        <f aca="false">AC11*((1+'00_Inputs_Dashboard'!$B$15)^(28-1))*'00_Inputs_Dashboard'!$B$22*'00_Inputs_Dashboard'!$B$50</f>
        <v>159380.94451323</v>
      </c>
      <c r="AD37" s="235" t="n">
        <f aca="false">AD11*((1+'00_Inputs_Dashboard'!$B$15)^(29-1))*'00_Inputs_Dashboard'!$B$22*'00_Inputs_Dashboard'!$B$50</f>
        <v>168943.801184024</v>
      </c>
      <c r="AE37" s="235" t="n">
        <f aca="false">AE11*((1+'00_Inputs_Dashboard'!$B$15)^(30-1))*'00_Inputs_Dashboard'!$B$22*'00_Inputs_Dashboard'!$B$50</f>
        <v>179080.429255066</v>
      </c>
      <c r="AF37" s="161"/>
    </row>
    <row r="38" customFormat="false" ht="12.75" hidden="false" customHeight="true" outlineLevel="0" collapsed="false">
      <c r="A38" s="161" t="s">
        <v>810</v>
      </c>
      <c r="B38" s="235" t="n">
        <f aca="false">SUMPRODUCT(--(Scenarios!$C$3:$C$27=TRUE()),Scenarios!$AF$3:$AF$27,'09_Phase_Factors'!$D$4:$D$28)</f>
        <v>0</v>
      </c>
      <c r="C38" s="235" t="n">
        <f aca="false">SUMPRODUCT(--(Scenarios!$C$3:$C$27=TRUE()),Scenarios!$AF$3:$AF$27,'09_Phase_Factors'!$E$4:$E$28)</f>
        <v>0</v>
      </c>
      <c r="D38" s="235" t="n">
        <f aca="false">SUMPRODUCT(--(Scenarios!$C$3:$C$27=TRUE()),Scenarios!$AF$3:$AF$27,'09_Phase_Factors'!$F$4:$F$28)</f>
        <v>0</v>
      </c>
      <c r="E38" s="235" t="n">
        <f aca="false">SUMPRODUCT(--(Scenarios!$C$3:$C$27=TRUE()),Scenarios!$AF$3:$AF$27,'09_Phase_Factors'!$G$4:$G$28)</f>
        <v>0</v>
      </c>
      <c r="F38" s="235" t="n">
        <f aca="false">SUMPRODUCT(--(Scenarios!$C$3:$C$27=TRUE()),Scenarios!$AF$3:$AF$27,'09_Phase_Factors'!$H$4:$H$28)</f>
        <v>0</v>
      </c>
      <c r="G38" s="235" t="n">
        <f aca="false">SUMPRODUCT(--(Scenarios!$C$3:$C$27=TRUE()),Scenarios!$AF$3:$AF$27,'09_Phase_Factors'!$I$4:$I$28)</f>
        <v>0</v>
      </c>
      <c r="H38" s="235" t="n">
        <f aca="false">SUMPRODUCT(--(Scenarios!$C$3:$C$27=TRUE()),Scenarios!$AF$3:$AF$27,'09_Phase_Factors'!$J$4:$J$28)</f>
        <v>0</v>
      </c>
      <c r="I38" s="235" t="n">
        <f aca="false">SUMPRODUCT(--(Scenarios!$C$3:$C$27=TRUE()),Scenarios!$AF$3:$AF$27,'09_Phase_Factors'!$K$4:$K$28)</f>
        <v>0</v>
      </c>
      <c r="J38" s="235" t="n">
        <f aca="false">SUMPRODUCT(--(Scenarios!$C$3:$C$27=TRUE()),Scenarios!$AF$3:$AF$27,'09_Phase_Factors'!$L$4:$L$28)</f>
        <v>0</v>
      </c>
      <c r="K38" s="235" t="n">
        <f aca="false">SUMPRODUCT(--(Scenarios!$C$3:$C$27=TRUE()),Scenarios!$AF$3:$AF$27,'09_Phase_Factors'!$M$4:$M$28)</f>
        <v>0</v>
      </c>
      <c r="L38" s="235" t="n">
        <f aca="false">SUMPRODUCT(--(Scenarios!$C$3:$C$27=TRUE()),Scenarios!$AF$3:$AF$27,'09_Phase_Factors'!$N$4:$N$28)</f>
        <v>0</v>
      </c>
      <c r="M38" s="235" t="n">
        <f aca="false">SUMPRODUCT(--(Scenarios!$C$3:$C$27=TRUE()),Scenarios!$AF$3:$AF$27,'09_Phase_Factors'!$O$4:$O$28)</f>
        <v>0</v>
      </c>
      <c r="N38" s="235" t="n">
        <f aca="false">SUMPRODUCT(--(Scenarios!$C$3:$C$27=TRUE()),Scenarios!$AF$3:$AF$27,'09_Phase_Factors'!$P$4:$P$28)</f>
        <v>0</v>
      </c>
      <c r="O38" s="235" t="n">
        <f aca="false">SUMPRODUCT(--(Scenarios!$C$3:$C$27=TRUE()),Scenarios!$AF$3:$AF$27,'09_Phase_Factors'!$Q$4:$Q$28)</f>
        <v>0</v>
      </c>
      <c r="P38" s="235" t="n">
        <f aca="false">SUMPRODUCT(--(Scenarios!$C$3:$C$27=TRUE()),Scenarios!$AF$3:$AF$27,'09_Phase_Factors'!$R$4:$R$28)</f>
        <v>0</v>
      </c>
      <c r="Q38" s="235" t="n">
        <f aca="false">SUMPRODUCT(--(Scenarios!$C$3:$C$27=TRUE()),Scenarios!$AF$3:$AF$27,'09_Phase_Factors'!$S$4:$S$28)</f>
        <v>0</v>
      </c>
      <c r="R38" s="235" t="n">
        <f aca="false">SUMPRODUCT(--(Scenarios!$C$3:$C$27=TRUE()),Scenarios!$AF$3:$AF$27,'09_Phase_Factors'!$T$4:$T$28)</f>
        <v>0</v>
      </c>
      <c r="S38" s="235" t="n">
        <f aca="false">SUMPRODUCT(--(Scenarios!$C$3:$C$27=TRUE()),Scenarios!$AF$3:$AF$27,'09_Phase_Factors'!$U$4:$U$28)</f>
        <v>0</v>
      </c>
      <c r="T38" s="235" t="n">
        <f aca="false">SUMPRODUCT(--(Scenarios!$C$3:$C$27=TRUE()),Scenarios!$AF$3:$AF$27,'09_Phase_Factors'!$V$4:$V$28)</f>
        <v>0</v>
      </c>
      <c r="U38" s="235" t="n">
        <f aca="false">SUMPRODUCT(--(Scenarios!$C$3:$C$27=TRUE()),Scenarios!$AF$3:$AF$27,'09_Phase_Factors'!$W$4:$W$28)</f>
        <v>0</v>
      </c>
      <c r="V38" s="235" t="n">
        <f aca="false">SUMPRODUCT(--(Scenarios!$C$3:$C$27=TRUE()),Scenarios!$AF$3:$AF$27,'09_Phase_Factors'!$X$4:$X$28)</f>
        <v>0</v>
      </c>
      <c r="W38" s="235" t="n">
        <f aca="false">SUMPRODUCT(--(Scenarios!$C$3:$C$27=TRUE()),Scenarios!$AF$3:$AF$27,'09_Phase_Factors'!$Y$4:$Y$28)</f>
        <v>0</v>
      </c>
      <c r="X38" s="235" t="n">
        <f aca="false">SUMPRODUCT(--(Scenarios!$C$3:$C$27=TRUE()),Scenarios!$AF$3:$AF$27,'09_Phase_Factors'!$Z$4:$Z$28)</f>
        <v>0</v>
      </c>
      <c r="Y38" s="235" t="n">
        <f aca="false">SUMPRODUCT(--(Scenarios!$C$3:$C$27=TRUE()),Scenarios!$AF$3:$AF$27,'09_Phase_Factors'!$AA$4:$AA$28)</f>
        <v>0</v>
      </c>
      <c r="Z38" s="235" t="n">
        <f aca="false">SUMPRODUCT(--(Scenarios!$C$3:$C$27=TRUE()),Scenarios!$AF$3:$AF$27,'09_Phase_Factors'!$AB$4:$AB$28)</f>
        <v>0</v>
      </c>
      <c r="AA38" s="235" t="n">
        <f aca="false">SUMPRODUCT(--(Scenarios!$C$3:$C$27=TRUE()),Scenarios!$AF$3:$AF$27,'09_Phase_Factors'!$AC$4:$AC$28)</f>
        <v>0</v>
      </c>
      <c r="AB38" s="235" t="n">
        <f aca="false">SUMPRODUCT(--(Scenarios!$C$3:$C$27=TRUE()),Scenarios!$AF$3:$AF$27,'09_Phase_Factors'!$AD$4:$AD$28)</f>
        <v>0</v>
      </c>
      <c r="AC38" s="235" t="n">
        <f aca="false">SUMPRODUCT(--(Scenarios!$C$3:$C$27=TRUE()),Scenarios!$AF$3:$AF$27,'09_Phase_Factors'!$AE$4:$AE$28)</f>
        <v>0</v>
      </c>
      <c r="AD38" s="235" t="n">
        <f aca="false">SUMPRODUCT(--(Scenarios!$C$3:$C$27=TRUE()),Scenarios!$AF$3:$AF$27,'09_Phase_Factors'!$AF$4:$AF$28)</f>
        <v>0</v>
      </c>
      <c r="AE38" s="235" t="n">
        <f aca="false">SUMPRODUCT(--(Scenarios!$C$3:$C$27=TRUE()),Scenarios!$AF$3:$AF$27,'09_Phase_Factors'!$AG$4:$AG$28)</f>
        <v>0</v>
      </c>
      <c r="AF38" s="161"/>
    </row>
    <row r="39" customFormat="false" ht="12.75" hidden="false" customHeight="true" outlineLevel="0" collapsed="false">
      <c r="A39" s="161" t="s">
        <v>811</v>
      </c>
      <c r="B39" s="235" t="n">
        <f aca="false">SUMPRODUCT(--(Scenarios!$C$3:$C$27=TRUE()),Scenarios!$AG$3:$AG$27,'09_Phase_Factors'!$D$4:$D$28)</f>
        <v>0</v>
      </c>
      <c r="C39" s="235" t="n">
        <f aca="false">SUMPRODUCT(--(Scenarios!$C$3:$C$27=TRUE()),Scenarios!$AG$3:$AG$27,'09_Phase_Factors'!$E$4:$E$28)</f>
        <v>0</v>
      </c>
      <c r="D39" s="235" t="n">
        <f aca="false">SUMPRODUCT(--(Scenarios!$C$3:$C$27=TRUE()),Scenarios!$AG$3:$AG$27,'09_Phase_Factors'!$F$4:$F$28)</f>
        <v>0</v>
      </c>
      <c r="E39" s="235" t="n">
        <f aca="false">SUMPRODUCT(--(Scenarios!$C$3:$C$27=TRUE()),Scenarios!$AG$3:$AG$27,'09_Phase_Factors'!$G$4:$G$28)</f>
        <v>0</v>
      </c>
      <c r="F39" s="235" t="n">
        <f aca="false">SUMPRODUCT(--(Scenarios!$C$3:$C$27=TRUE()),Scenarios!$AG$3:$AG$27,'09_Phase_Factors'!$H$4:$H$28)</f>
        <v>0</v>
      </c>
      <c r="G39" s="235" t="n">
        <f aca="false">SUMPRODUCT(--(Scenarios!$C$3:$C$27=TRUE()),Scenarios!$AG$3:$AG$27,'09_Phase_Factors'!$I$4:$I$28)</f>
        <v>0</v>
      </c>
      <c r="H39" s="235" t="n">
        <f aca="false">SUMPRODUCT(--(Scenarios!$C$3:$C$27=TRUE()),Scenarios!$AG$3:$AG$27,'09_Phase_Factors'!$J$4:$J$28)</f>
        <v>0</v>
      </c>
      <c r="I39" s="235" t="n">
        <f aca="false">SUMPRODUCT(--(Scenarios!$C$3:$C$27=TRUE()),Scenarios!$AG$3:$AG$27,'09_Phase_Factors'!$K$4:$K$28)</f>
        <v>0</v>
      </c>
      <c r="J39" s="235" t="n">
        <f aca="false">SUMPRODUCT(--(Scenarios!$C$3:$C$27=TRUE()),Scenarios!$AG$3:$AG$27,'09_Phase_Factors'!$L$4:$L$28)</f>
        <v>0</v>
      </c>
      <c r="K39" s="235" t="n">
        <f aca="false">SUMPRODUCT(--(Scenarios!$C$3:$C$27=TRUE()),Scenarios!$AG$3:$AG$27,'09_Phase_Factors'!$M$4:$M$28)</f>
        <v>0</v>
      </c>
      <c r="L39" s="235" t="n">
        <f aca="false">SUMPRODUCT(--(Scenarios!$C$3:$C$27=TRUE()),Scenarios!$AG$3:$AG$27,'09_Phase_Factors'!$N$4:$N$28)</f>
        <v>0</v>
      </c>
      <c r="M39" s="235" t="n">
        <f aca="false">SUMPRODUCT(--(Scenarios!$C$3:$C$27=TRUE()),Scenarios!$AG$3:$AG$27,'09_Phase_Factors'!$O$4:$O$28)</f>
        <v>0</v>
      </c>
      <c r="N39" s="235" t="n">
        <f aca="false">SUMPRODUCT(--(Scenarios!$C$3:$C$27=TRUE()),Scenarios!$AG$3:$AG$27,'09_Phase_Factors'!$P$4:$P$28)</f>
        <v>0</v>
      </c>
      <c r="O39" s="235" t="n">
        <f aca="false">SUMPRODUCT(--(Scenarios!$C$3:$C$27=TRUE()),Scenarios!$AG$3:$AG$27,'09_Phase_Factors'!$Q$4:$Q$28)</f>
        <v>0</v>
      </c>
      <c r="P39" s="235" t="n">
        <f aca="false">SUMPRODUCT(--(Scenarios!$C$3:$C$27=TRUE()),Scenarios!$AG$3:$AG$27,'09_Phase_Factors'!$R$4:$R$28)</f>
        <v>0</v>
      </c>
      <c r="Q39" s="235" t="n">
        <f aca="false">SUMPRODUCT(--(Scenarios!$C$3:$C$27=TRUE()),Scenarios!$AG$3:$AG$27,'09_Phase_Factors'!$S$4:$S$28)</f>
        <v>0</v>
      </c>
      <c r="R39" s="235" t="n">
        <f aca="false">SUMPRODUCT(--(Scenarios!$C$3:$C$27=TRUE()),Scenarios!$AG$3:$AG$27,'09_Phase_Factors'!$T$4:$T$28)</f>
        <v>0</v>
      </c>
      <c r="S39" s="235" t="n">
        <f aca="false">SUMPRODUCT(--(Scenarios!$C$3:$C$27=TRUE()),Scenarios!$AG$3:$AG$27,'09_Phase_Factors'!$U$4:$U$28)</f>
        <v>0</v>
      </c>
      <c r="T39" s="235" t="n">
        <f aca="false">SUMPRODUCT(--(Scenarios!$C$3:$C$27=TRUE()),Scenarios!$AG$3:$AG$27,'09_Phase_Factors'!$V$4:$V$28)</f>
        <v>0</v>
      </c>
      <c r="U39" s="235" t="n">
        <f aca="false">SUMPRODUCT(--(Scenarios!$C$3:$C$27=TRUE()),Scenarios!$AG$3:$AG$27,'09_Phase_Factors'!$W$4:$W$28)</f>
        <v>0</v>
      </c>
      <c r="V39" s="235" t="n">
        <f aca="false">SUMPRODUCT(--(Scenarios!$C$3:$C$27=TRUE()),Scenarios!$AG$3:$AG$27,'09_Phase_Factors'!$X$4:$X$28)</f>
        <v>0</v>
      </c>
      <c r="W39" s="235" t="n">
        <f aca="false">SUMPRODUCT(--(Scenarios!$C$3:$C$27=TRUE()),Scenarios!$AG$3:$AG$27,'09_Phase_Factors'!$Y$4:$Y$28)</f>
        <v>0</v>
      </c>
      <c r="X39" s="235" t="n">
        <f aca="false">SUMPRODUCT(--(Scenarios!$C$3:$C$27=TRUE()),Scenarios!$AG$3:$AG$27,'09_Phase_Factors'!$Z$4:$Z$28)</f>
        <v>0</v>
      </c>
      <c r="Y39" s="235" t="n">
        <f aca="false">SUMPRODUCT(--(Scenarios!$C$3:$C$27=TRUE()),Scenarios!$AG$3:$AG$27,'09_Phase_Factors'!$AA$4:$AA$28)</f>
        <v>0</v>
      </c>
      <c r="Z39" s="235" t="n">
        <f aca="false">SUMPRODUCT(--(Scenarios!$C$3:$C$27=TRUE()),Scenarios!$AG$3:$AG$27,'09_Phase_Factors'!$AB$4:$AB$28)</f>
        <v>0</v>
      </c>
      <c r="AA39" s="235" t="n">
        <f aca="false">SUMPRODUCT(--(Scenarios!$C$3:$C$27=TRUE()),Scenarios!$AG$3:$AG$27,'09_Phase_Factors'!$AC$4:$AC$28)</f>
        <v>0</v>
      </c>
      <c r="AB39" s="235" t="n">
        <f aca="false">SUMPRODUCT(--(Scenarios!$C$3:$C$27=TRUE()),Scenarios!$AG$3:$AG$27,'09_Phase_Factors'!$AD$4:$AD$28)</f>
        <v>0</v>
      </c>
      <c r="AC39" s="235" t="n">
        <f aca="false">SUMPRODUCT(--(Scenarios!$C$3:$C$27=TRUE()),Scenarios!$AG$3:$AG$27,'09_Phase_Factors'!$AE$4:$AE$28)</f>
        <v>0</v>
      </c>
      <c r="AD39" s="235" t="n">
        <f aca="false">SUMPRODUCT(--(Scenarios!$C$3:$C$27=TRUE()),Scenarios!$AG$3:$AG$27,'09_Phase_Factors'!$AF$4:$AF$28)</f>
        <v>0</v>
      </c>
      <c r="AE39" s="235" t="n">
        <f aca="false">SUMPRODUCT(--(Scenarios!$C$3:$C$27=TRUE()),Scenarios!$AG$3:$AG$27,'09_Phase_Factors'!$AG$4:$AG$28)</f>
        <v>0</v>
      </c>
      <c r="AF39" s="161"/>
    </row>
  </sheetData>
  <mergeCells count="1">
    <mergeCell ref="A1:AF1"/>
  </mergeCell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66796875" defaultRowHeight="12.75" customHeight="false" zeroHeight="false" outlineLevelRow="0" outlineLevelCol="0"/>
  <cols>
    <col collapsed="false" customWidth="true" hidden="false" outlineLevel="0" max="1" min="1" style="1" width="34"/>
    <col collapsed="false" customWidth="true" hidden="false" outlineLevel="0" max="14" min="2" style="1" width="13"/>
  </cols>
  <sheetData>
    <row r="1" customFormat="false" ht="21.75" hidden="false" customHeight="true" outlineLevel="0" collapsed="false">
      <c r="A1" s="160" t="s">
        <v>812</v>
      </c>
      <c r="B1" s="160"/>
      <c r="C1" s="160"/>
      <c r="D1" s="160"/>
      <c r="E1" s="160"/>
      <c r="F1" s="160"/>
      <c r="G1" s="160"/>
      <c r="H1" s="160"/>
      <c r="I1" s="160"/>
      <c r="J1" s="160"/>
      <c r="K1" s="161"/>
      <c r="L1" s="161"/>
      <c r="M1" s="161"/>
      <c r="N1" s="161"/>
    </row>
    <row r="2" customFormat="false" ht="14.25" hidden="false" customHeight="true" outlineLevel="0" collapsed="false">
      <c r="A2" s="161" t="s">
        <v>813</v>
      </c>
      <c r="B2" s="161"/>
      <c r="C2" s="161"/>
      <c r="D2" s="161"/>
      <c r="E2" s="161"/>
      <c r="F2" s="161"/>
      <c r="G2" s="161"/>
      <c r="H2" s="161"/>
      <c r="I2" s="161"/>
      <c r="J2" s="161"/>
      <c r="K2" s="161"/>
      <c r="L2" s="161"/>
      <c r="M2" s="161"/>
      <c r="N2" s="161"/>
    </row>
    <row r="3" customFormat="false" ht="15" hidden="false" customHeight="true" outlineLevel="0" collapsed="false">
      <c r="A3" s="199" t="s">
        <v>150</v>
      </c>
      <c r="B3" s="199" t="s">
        <v>814</v>
      </c>
      <c r="C3" s="199" t="s">
        <v>815</v>
      </c>
      <c r="D3" s="199" t="s">
        <v>816</v>
      </c>
      <c r="E3" s="199" t="s">
        <v>817</v>
      </c>
      <c r="F3" s="199" t="s">
        <v>818</v>
      </c>
      <c r="G3" s="199" t="s">
        <v>819</v>
      </c>
      <c r="H3" s="199" t="s">
        <v>820</v>
      </c>
      <c r="I3" s="199" t="s">
        <v>821</v>
      </c>
      <c r="J3" s="199" t="s">
        <v>328</v>
      </c>
      <c r="K3" s="161"/>
      <c r="L3" s="161"/>
      <c r="M3" s="161"/>
      <c r="N3" s="161"/>
    </row>
    <row r="4" customFormat="false" ht="27.75" hidden="false" customHeight="true" outlineLevel="0" collapsed="false">
      <c r="A4" s="240" t="s">
        <v>822</v>
      </c>
      <c r="B4" s="240" t="s">
        <v>823</v>
      </c>
      <c r="C4" s="241" t="n">
        <v>3500</v>
      </c>
      <c r="D4" s="242" t="n">
        <v>5000000</v>
      </c>
      <c r="E4" s="243"/>
      <c r="F4" s="241" t="n">
        <f aca="false">MAX('04_Annual_Calculations'!B7:AE7)</f>
        <v>270</v>
      </c>
      <c r="G4" s="241" t="n">
        <f aca="false">IF(ISNUMBER(E4),E4,INT(F4/C4))</f>
        <v>0</v>
      </c>
      <c r="H4" s="242" t="n">
        <f aca="false">G4*D4</f>
        <v>0</v>
      </c>
      <c r="I4" s="240" t="s">
        <v>257</v>
      </c>
      <c r="J4" s="244" t="s">
        <v>824</v>
      </c>
      <c r="K4" s="161"/>
      <c r="L4" s="161"/>
      <c r="M4" s="161"/>
      <c r="N4" s="161"/>
    </row>
    <row r="5" customFormat="false" ht="15" hidden="false" customHeight="true" outlineLevel="0" collapsed="false">
      <c r="A5" s="240" t="s">
        <v>825</v>
      </c>
      <c r="B5" s="240" t="s">
        <v>823</v>
      </c>
      <c r="C5" s="241" t="n">
        <v>7000</v>
      </c>
      <c r="D5" s="242" t="n">
        <v>1200000</v>
      </c>
      <c r="E5" s="243"/>
      <c r="F5" s="241" t="n">
        <f aca="false">MAX('04_Annual_Calculations'!B7:AE7)</f>
        <v>270</v>
      </c>
      <c r="G5" s="241" t="n">
        <f aca="false">IF(ISNUMBER(E5),E5,INT(F5/C5))</f>
        <v>0</v>
      </c>
      <c r="H5" s="242" t="n">
        <f aca="false">G5*D5</f>
        <v>0</v>
      </c>
      <c r="I5" s="240" t="s">
        <v>257</v>
      </c>
      <c r="J5" s="244" t="s">
        <v>826</v>
      </c>
      <c r="K5" s="161"/>
      <c r="L5" s="161"/>
      <c r="M5" s="161"/>
      <c r="N5" s="161"/>
    </row>
    <row r="6" customFormat="false" ht="15" hidden="false" customHeight="true" outlineLevel="0" collapsed="false">
      <c r="A6" s="240" t="s">
        <v>827</v>
      </c>
      <c r="B6" s="240" t="s">
        <v>823</v>
      </c>
      <c r="C6" s="241" t="n">
        <v>14000</v>
      </c>
      <c r="D6" s="242" t="n">
        <v>1500000</v>
      </c>
      <c r="E6" s="243"/>
      <c r="F6" s="241" t="n">
        <f aca="false">MAX('04_Annual_Calculations'!B7:AE7)</f>
        <v>270</v>
      </c>
      <c r="G6" s="241" t="n">
        <f aca="false">IF(ISNUMBER(E6),E6,INT(F6/C6))</f>
        <v>0</v>
      </c>
      <c r="H6" s="242" t="n">
        <f aca="false">G6*D6</f>
        <v>0</v>
      </c>
      <c r="I6" s="240" t="s">
        <v>257</v>
      </c>
      <c r="J6" s="244" t="s">
        <v>828</v>
      </c>
      <c r="K6" s="161"/>
      <c r="L6" s="161"/>
      <c r="M6" s="161"/>
      <c r="N6" s="161"/>
    </row>
    <row r="7" customFormat="false" ht="15" hidden="false" customHeight="true" outlineLevel="0" collapsed="false">
      <c r="A7" s="240" t="s">
        <v>829</v>
      </c>
      <c r="B7" s="240" t="s">
        <v>830</v>
      </c>
      <c r="C7" s="241" t="n">
        <v>1500</v>
      </c>
      <c r="D7" s="242" t="n">
        <v>400000</v>
      </c>
      <c r="E7" s="243"/>
      <c r="F7" s="241" t="n">
        <f aca="false">MAX('04_Annual_Calculations'!B5:AE5)</f>
        <v>28.75</v>
      </c>
      <c r="G7" s="241" t="n">
        <f aca="false">IF(ISNUMBER(E7),E7,INT(F7/C7))</f>
        <v>0</v>
      </c>
      <c r="H7" s="242" t="n">
        <f aca="false">G7*D7</f>
        <v>0</v>
      </c>
      <c r="I7" s="240" t="s">
        <v>257</v>
      </c>
      <c r="J7" s="244" t="s">
        <v>831</v>
      </c>
      <c r="K7" s="161"/>
      <c r="L7" s="161"/>
      <c r="M7" s="161"/>
      <c r="N7" s="161"/>
    </row>
    <row r="8" customFormat="false" ht="15" hidden="false" customHeight="true" outlineLevel="0" collapsed="false">
      <c r="A8" s="240" t="s">
        <v>832</v>
      </c>
      <c r="B8" s="240" t="s">
        <v>823</v>
      </c>
      <c r="C8" s="241" t="n">
        <v>500</v>
      </c>
      <c r="D8" s="242" t="n">
        <v>120000</v>
      </c>
      <c r="E8" s="243"/>
      <c r="F8" s="241" t="n">
        <f aca="false">MAX('04_Annual_Calculations'!B7:AE7)</f>
        <v>270</v>
      </c>
      <c r="G8" s="241" t="n">
        <f aca="false">IF(ISNUMBER(E8),E8,INT(F8/C8))</f>
        <v>0</v>
      </c>
      <c r="H8" s="242" t="n">
        <f aca="false">G8*D8</f>
        <v>0</v>
      </c>
      <c r="I8" s="240" t="s">
        <v>190</v>
      </c>
      <c r="J8" s="244" t="s">
        <v>833</v>
      </c>
      <c r="K8" s="161"/>
      <c r="L8" s="161"/>
      <c r="M8" s="161"/>
      <c r="N8" s="161"/>
    </row>
    <row r="9" customFormat="false" ht="15" hidden="false" customHeight="true" outlineLevel="0" collapsed="false">
      <c r="A9" s="240" t="s">
        <v>834</v>
      </c>
      <c r="B9" s="240" t="s">
        <v>823</v>
      </c>
      <c r="C9" s="241" t="n">
        <v>1000</v>
      </c>
      <c r="D9" s="242" t="n">
        <v>65000</v>
      </c>
      <c r="E9" s="243"/>
      <c r="F9" s="241" t="n">
        <f aca="false">MAX('04_Annual_Calculations'!B7:AE7)</f>
        <v>270</v>
      </c>
      <c r="G9" s="241" t="n">
        <f aca="false">IF(ISNUMBER(E9),E9,INT(F9/C9))</f>
        <v>0</v>
      </c>
      <c r="H9" s="242" t="n">
        <f aca="false">G9*D9</f>
        <v>0</v>
      </c>
      <c r="I9" s="240" t="s">
        <v>190</v>
      </c>
      <c r="J9" s="244" t="s">
        <v>835</v>
      </c>
      <c r="K9" s="161"/>
      <c r="L9" s="161"/>
      <c r="M9" s="161"/>
      <c r="N9" s="161"/>
    </row>
    <row r="10" customFormat="false" ht="18.75" hidden="false" customHeight="true" outlineLevel="0" collapsed="false">
      <c r="A10" s="240" t="s">
        <v>836</v>
      </c>
      <c r="B10" s="240" t="s">
        <v>830</v>
      </c>
      <c r="C10" s="241" t="n">
        <v>50</v>
      </c>
      <c r="D10" s="242" t="n">
        <v>750000</v>
      </c>
      <c r="E10" s="243"/>
      <c r="F10" s="241" t="n">
        <f aca="false">MAX('04_Annual_Calculations'!B5:AE5)</f>
        <v>28.75</v>
      </c>
      <c r="G10" s="241" t="n">
        <f aca="false">IF(ISNUMBER(E10),E10,INT(F10/C10))</f>
        <v>0</v>
      </c>
      <c r="H10" s="242" t="n">
        <f aca="false">G10*D10</f>
        <v>0</v>
      </c>
      <c r="I10" s="240" t="s">
        <v>190</v>
      </c>
      <c r="J10" s="244" t="s">
        <v>837</v>
      </c>
      <c r="K10" s="161"/>
      <c r="L10" s="161"/>
      <c r="M10" s="161"/>
      <c r="N10" s="161"/>
    </row>
    <row r="11" customFormat="false" ht="18.75" hidden="false" customHeight="true" outlineLevel="0" collapsed="false">
      <c r="A11" s="240" t="s">
        <v>838</v>
      </c>
      <c r="B11" s="240" t="s">
        <v>830</v>
      </c>
      <c r="C11" s="241" t="n">
        <v>200</v>
      </c>
      <c r="D11" s="242" t="n">
        <v>2500000</v>
      </c>
      <c r="E11" s="243"/>
      <c r="F11" s="241" t="n">
        <f aca="false">MAX('04_Annual_Calculations'!B5:AE5)</f>
        <v>28.75</v>
      </c>
      <c r="G11" s="241" t="n">
        <f aca="false">IF(ISNUMBER(E11),E11,INT(F11/C11))</f>
        <v>0</v>
      </c>
      <c r="H11" s="242" t="n">
        <f aca="false">G11*D11</f>
        <v>0</v>
      </c>
      <c r="I11" s="240" t="s">
        <v>190</v>
      </c>
      <c r="J11" s="244" t="s">
        <v>839</v>
      </c>
      <c r="K11" s="161"/>
      <c r="L11" s="161"/>
      <c r="M11" s="161"/>
      <c r="N11" s="161"/>
    </row>
    <row r="12" customFormat="false" ht="18.75" hidden="false" customHeight="true" outlineLevel="0" collapsed="false">
      <c r="A12" s="240" t="s">
        <v>840</v>
      </c>
      <c r="B12" s="240" t="s">
        <v>823</v>
      </c>
      <c r="C12" s="241" t="n">
        <v>1500</v>
      </c>
      <c r="D12" s="242" t="n">
        <v>600000</v>
      </c>
      <c r="E12" s="243"/>
      <c r="F12" s="241" t="n">
        <f aca="false">MAX('04_Annual_Calculations'!B7:AE7)</f>
        <v>270</v>
      </c>
      <c r="G12" s="241" t="n">
        <f aca="false">IF(ISNUMBER(E12),E12,INT(F12/C12))</f>
        <v>0</v>
      </c>
      <c r="H12" s="242" t="n">
        <f aca="false">G12*D12</f>
        <v>0</v>
      </c>
      <c r="I12" s="240" t="s">
        <v>190</v>
      </c>
      <c r="J12" s="244" t="s">
        <v>841</v>
      </c>
      <c r="K12" s="161"/>
      <c r="L12" s="161"/>
      <c r="M12" s="161"/>
      <c r="N12" s="161"/>
    </row>
    <row r="13" customFormat="false" ht="15" hidden="false" customHeight="true" outlineLevel="0" collapsed="false">
      <c r="A13" s="240" t="s">
        <v>842</v>
      </c>
      <c r="B13" s="240" t="s">
        <v>830</v>
      </c>
      <c r="C13" s="241" t="n">
        <v>500</v>
      </c>
      <c r="D13" s="242" t="n">
        <v>150000</v>
      </c>
      <c r="E13" s="243"/>
      <c r="F13" s="241" t="n">
        <f aca="false">MAX('04_Annual_Calculations'!B5:AE5)</f>
        <v>28.75</v>
      </c>
      <c r="G13" s="241" t="n">
        <f aca="false">IF(ISNUMBER(E13),E13,INT(F13/C13))</f>
        <v>0</v>
      </c>
      <c r="H13" s="242" t="n">
        <f aca="false">G13*D13</f>
        <v>0</v>
      </c>
      <c r="I13" s="240" t="s">
        <v>190</v>
      </c>
      <c r="J13" s="244" t="s">
        <v>843</v>
      </c>
      <c r="K13" s="161"/>
      <c r="L13" s="161"/>
      <c r="M13" s="161"/>
      <c r="N13" s="161"/>
    </row>
    <row r="14" customFormat="false" ht="12.75" hidden="false" customHeight="true" outlineLevel="0" collapsed="false">
      <c r="A14" s="161"/>
      <c r="B14" s="161"/>
      <c r="C14" s="161"/>
      <c r="D14" s="161"/>
      <c r="E14" s="161"/>
      <c r="F14" s="161"/>
      <c r="G14" s="161"/>
      <c r="H14" s="161"/>
      <c r="I14" s="161"/>
      <c r="J14" s="161"/>
      <c r="K14" s="161"/>
      <c r="L14" s="161"/>
      <c r="M14" s="161"/>
      <c r="N14" s="161"/>
    </row>
    <row r="15" customFormat="false" ht="15" hidden="false" customHeight="true" outlineLevel="0" collapsed="false">
      <c r="A15" s="236" t="s">
        <v>844</v>
      </c>
      <c r="B15" s="161"/>
      <c r="C15" s="161"/>
      <c r="D15" s="161"/>
      <c r="E15" s="161"/>
      <c r="F15" s="161"/>
      <c r="G15" s="161"/>
      <c r="H15" s="245" t="n">
        <f aca="false">SUMIF(I4:I13,"City",H4:H13)</f>
        <v>0</v>
      </c>
      <c r="I15" s="161"/>
      <c r="J15" s="161"/>
      <c r="K15" s="161"/>
      <c r="L15" s="161"/>
      <c r="M15" s="161"/>
      <c r="N15" s="161"/>
    </row>
    <row r="16" customFormat="false" ht="15" hidden="false" customHeight="true" outlineLevel="0" collapsed="false">
      <c r="A16" s="236" t="s">
        <v>845</v>
      </c>
      <c r="B16" s="161"/>
      <c r="C16" s="161"/>
      <c r="D16" s="161"/>
      <c r="E16" s="161"/>
      <c r="F16" s="161"/>
      <c r="G16" s="161"/>
      <c r="H16" s="245" t="n">
        <f aca="false">SUMIF(I4:I13,"ESD",H4:H13)</f>
        <v>0</v>
      </c>
      <c r="I16" s="161"/>
      <c r="J16" s="161"/>
      <c r="K16" s="161"/>
      <c r="L16" s="161"/>
      <c r="M16" s="161"/>
      <c r="N16" s="161"/>
    </row>
    <row r="17" customFormat="false" ht="12.75" hidden="false" customHeight="true" outlineLevel="0" collapsed="false">
      <c r="A17" s="161"/>
      <c r="B17" s="161"/>
      <c r="C17" s="161"/>
      <c r="D17" s="161"/>
      <c r="E17" s="161"/>
      <c r="F17" s="161"/>
      <c r="G17" s="161"/>
      <c r="H17" s="161"/>
      <c r="I17" s="161"/>
      <c r="J17" s="161"/>
      <c r="K17" s="161"/>
      <c r="L17" s="161"/>
      <c r="M17" s="161"/>
      <c r="N17" s="161"/>
    </row>
    <row r="18" customFormat="false" ht="14.25" hidden="false" customHeight="true" outlineLevel="0" collapsed="false">
      <c r="A18" s="161" t="s">
        <v>846</v>
      </c>
      <c r="B18" s="161"/>
      <c r="C18" s="161"/>
      <c r="D18" s="161"/>
      <c r="E18" s="161"/>
      <c r="F18" s="161"/>
      <c r="G18" s="161"/>
      <c r="H18" s="161"/>
      <c r="I18" s="161"/>
      <c r="J18" s="161"/>
      <c r="K18" s="161"/>
      <c r="L18" s="161"/>
      <c r="M18" s="161"/>
      <c r="N18" s="161"/>
    </row>
    <row r="19" customFormat="false" ht="12.75" hidden="false" customHeight="true" outlineLevel="0" collapsed="false">
      <c r="A19" s="161"/>
      <c r="B19" s="161"/>
      <c r="C19" s="161"/>
      <c r="D19" s="161"/>
      <c r="E19" s="161"/>
      <c r="F19" s="161"/>
      <c r="G19" s="161"/>
      <c r="H19" s="161"/>
      <c r="I19" s="161"/>
      <c r="J19" s="161"/>
      <c r="K19" s="161"/>
      <c r="L19" s="161"/>
      <c r="M19" s="161"/>
      <c r="N19" s="161"/>
    </row>
    <row r="20" customFormat="false" ht="12.75" hidden="false" customHeight="true" outlineLevel="0" collapsed="false">
      <c r="A20" s="161"/>
      <c r="B20" s="161"/>
      <c r="C20" s="161"/>
      <c r="D20" s="161"/>
      <c r="E20" s="161"/>
      <c r="F20" s="161"/>
      <c r="G20" s="161"/>
      <c r="H20" s="161"/>
      <c r="I20" s="161"/>
      <c r="J20" s="161"/>
      <c r="K20" s="161"/>
      <c r="L20" s="161"/>
      <c r="M20" s="161"/>
      <c r="N20" s="161"/>
    </row>
    <row r="21" customFormat="false" ht="12.75" hidden="false" customHeight="true" outlineLevel="0" collapsed="false">
      <c r="A21" s="161"/>
      <c r="B21" s="161"/>
      <c r="C21" s="161"/>
      <c r="D21" s="161"/>
      <c r="E21" s="161"/>
      <c r="F21" s="161"/>
      <c r="G21" s="161"/>
      <c r="H21" s="161"/>
      <c r="I21" s="161"/>
      <c r="J21" s="161"/>
      <c r="K21" s="161"/>
      <c r="L21" s="161"/>
      <c r="M21" s="161"/>
      <c r="N21" s="161"/>
    </row>
    <row r="22" customFormat="false" ht="12.75" hidden="false" customHeight="true" outlineLevel="0" collapsed="false">
      <c r="A22" s="161"/>
      <c r="B22" s="161"/>
      <c r="C22" s="161"/>
      <c r="D22" s="161"/>
      <c r="E22" s="161"/>
      <c r="F22" s="161"/>
      <c r="G22" s="161"/>
      <c r="H22" s="161"/>
      <c r="I22" s="161"/>
      <c r="J22" s="161"/>
      <c r="K22" s="161"/>
      <c r="L22" s="161"/>
      <c r="M22" s="161"/>
      <c r="N22" s="161"/>
    </row>
    <row r="23" customFormat="false" ht="12.75" hidden="false" customHeight="true" outlineLevel="0" collapsed="false">
      <c r="A23" s="161"/>
      <c r="B23" s="161"/>
      <c r="C23" s="161"/>
      <c r="D23" s="161"/>
      <c r="E23" s="161"/>
      <c r="F23" s="161"/>
      <c r="G23" s="161"/>
      <c r="H23" s="161"/>
      <c r="I23" s="161"/>
      <c r="J23" s="161"/>
      <c r="K23" s="161"/>
      <c r="L23" s="161"/>
      <c r="M23" s="161"/>
      <c r="N23" s="161"/>
    </row>
    <row r="24" customFormat="false" ht="12.75" hidden="false" customHeight="true" outlineLevel="0" collapsed="false">
      <c r="A24" s="161"/>
      <c r="B24" s="161"/>
      <c r="C24" s="161"/>
      <c r="D24" s="161"/>
      <c r="E24" s="161"/>
      <c r="F24" s="161"/>
      <c r="G24" s="161"/>
      <c r="H24" s="161"/>
      <c r="I24" s="161"/>
      <c r="J24" s="161"/>
      <c r="K24" s="161"/>
      <c r="L24" s="161"/>
      <c r="M24" s="161"/>
      <c r="N24" s="161"/>
    </row>
    <row r="25" customFormat="false" ht="12.75" hidden="false" customHeight="true" outlineLevel="0" collapsed="false">
      <c r="A25" s="161"/>
      <c r="B25" s="161"/>
      <c r="C25" s="161"/>
      <c r="D25" s="161"/>
      <c r="E25" s="161"/>
      <c r="F25" s="161"/>
      <c r="G25" s="161"/>
      <c r="H25" s="161"/>
      <c r="I25" s="161"/>
      <c r="J25" s="161"/>
      <c r="K25" s="161"/>
      <c r="L25" s="161"/>
      <c r="M25" s="161"/>
      <c r="N25" s="161"/>
    </row>
    <row r="26" customFormat="false" ht="12.75" hidden="false" customHeight="true" outlineLevel="0" collapsed="false">
      <c r="A26" s="161"/>
      <c r="B26" s="161"/>
      <c r="C26" s="161"/>
      <c r="D26" s="161"/>
      <c r="E26" s="161"/>
      <c r="F26" s="161"/>
      <c r="G26" s="161"/>
      <c r="H26" s="161"/>
      <c r="I26" s="161"/>
      <c r="J26" s="161"/>
      <c r="K26" s="161"/>
      <c r="L26" s="161"/>
      <c r="M26" s="161"/>
      <c r="N26" s="161"/>
    </row>
    <row r="27" customFormat="false" ht="12.75" hidden="false" customHeight="true" outlineLevel="0" collapsed="false">
      <c r="A27" s="161"/>
      <c r="B27" s="161"/>
      <c r="C27" s="161"/>
      <c r="D27" s="161"/>
      <c r="E27" s="161"/>
      <c r="F27" s="161"/>
      <c r="G27" s="161"/>
      <c r="H27" s="161"/>
      <c r="I27" s="161"/>
      <c r="J27" s="161"/>
      <c r="K27" s="161"/>
      <c r="L27" s="161"/>
      <c r="M27" s="161"/>
      <c r="N27" s="161"/>
    </row>
    <row r="28" customFormat="false" ht="12.75" hidden="false" customHeight="true" outlineLevel="0" collapsed="false">
      <c r="A28" s="161"/>
      <c r="B28" s="161"/>
      <c r="C28" s="161"/>
      <c r="D28" s="161"/>
      <c r="E28" s="161"/>
      <c r="F28" s="161"/>
      <c r="G28" s="161"/>
      <c r="H28" s="161"/>
      <c r="I28" s="161"/>
      <c r="J28" s="161"/>
      <c r="K28" s="161"/>
      <c r="L28" s="161"/>
      <c r="M28" s="161"/>
      <c r="N28" s="161"/>
    </row>
    <row r="29" customFormat="false" ht="12.75" hidden="false" customHeight="true" outlineLevel="0" collapsed="false">
      <c r="A29" s="161"/>
      <c r="B29" s="161"/>
      <c r="C29" s="161"/>
      <c r="D29" s="161"/>
      <c r="E29" s="161"/>
      <c r="F29" s="161"/>
      <c r="G29" s="161"/>
      <c r="H29" s="161"/>
      <c r="I29" s="161"/>
      <c r="J29" s="161"/>
      <c r="K29" s="161"/>
      <c r="L29" s="161"/>
      <c r="M29" s="161"/>
      <c r="N29" s="161"/>
    </row>
    <row r="30" customFormat="false" ht="15" hidden="false" customHeight="true" outlineLevel="0" collapsed="false">
      <c r="A30" s="246" t="s">
        <v>847</v>
      </c>
      <c r="B30" s="236" t="s">
        <v>848</v>
      </c>
      <c r="C30" s="236" t="s">
        <v>849</v>
      </c>
      <c r="D30" s="247" t="s">
        <v>850</v>
      </c>
      <c r="E30" s="247" t="s">
        <v>822</v>
      </c>
      <c r="F30" s="247" t="s">
        <v>825</v>
      </c>
      <c r="G30" s="247" t="s">
        <v>827</v>
      </c>
      <c r="H30" s="247" t="s">
        <v>829</v>
      </c>
      <c r="I30" s="247" t="s">
        <v>832</v>
      </c>
      <c r="J30" s="247" t="s">
        <v>834</v>
      </c>
      <c r="K30" s="247" t="s">
        <v>836</v>
      </c>
      <c r="L30" s="247" t="s">
        <v>838</v>
      </c>
      <c r="M30" s="247" t="s">
        <v>840</v>
      </c>
      <c r="N30" s="247" t="s">
        <v>842</v>
      </c>
    </row>
    <row r="31" customFormat="false" ht="15" hidden="false" customHeight="true" outlineLevel="0" collapsed="false">
      <c r="A31" s="161" t="s">
        <v>747</v>
      </c>
      <c r="B31" s="245" t="n">
        <f aca="false">(I31*$D$8+J31*$D$9+K31*$D$10+L31*$D$11+M31*$D$12+N31*$D$13)*((1+'00_Inputs_Dashboard'!$B$24)^(1-1))</f>
        <v>0</v>
      </c>
      <c r="C31" s="245" t="n">
        <f aca="false">(E31*$D$4+F31*$D$5+G31*$D$6+H31*$D$7)*((1+'00_Inputs_Dashboard'!$B$24)^(1-1))</f>
        <v>0</v>
      </c>
      <c r="D31" s="161"/>
      <c r="E31" s="248" t="n">
        <f aca="false">IF(ISNUMBER($E$4),$E$4,INT('04_Annual_Calculations'!B$7/$C$4))</f>
        <v>0</v>
      </c>
      <c r="F31" s="248" t="n">
        <f aca="false">IF(ISNUMBER($E$5),$E$5,INT('04_Annual_Calculations'!B$7/$C$5))</f>
        <v>0</v>
      </c>
      <c r="G31" s="248" t="n">
        <f aca="false">IF(ISNUMBER($E$6),$E$6,INT('04_Annual_Calculations'!B$7/$C$6))</f>
        <v>0</v>
      </c>
      <c r="H31" s="248" t="n">
        <f aca="false">IF(ISNUMBER($E$7),$E$7,INT('04_Annual_Calculations'!B$5/$C$7))</f>
        <v>0</v>
      </c>
      <c r="I31" s="248" t="n">
        <f aca="false">IF(ISNUMBER($E$8),$E$8,INT('04_Annual_Calculations'!B$7/$C$8))</f>
        <v>0</v>
      </c>
      <c r="J31" s="248" t="n">
        <f aca="false">IF(ISNUMBER($E$9),$E$9,INT('04_Annual_Calculations'!B$7/$C$9))</f>
        <v>0</v>
      </c>
      <c r="K31" s="248" t="n">
        <f aca="false">IF(ISNUMBER($E$10),$E$10,INT('04_Annual_Calculations'!B$5/$C$10))</f>
        <v>0</v>
      </c>
      <c r="L31" s="248" t="n">
        <f aca="false">IF(ISNUMBER($E$11),$E$11,INT('04_Annual_Calculations'!B$5/$C$11))</f>
        <v>0</v>
      </c>
      <c r="M31" s="248" t="n">
        <f aca="false">IF(ISNUMBER($E$12),$E$12,INT('04_Annual_Calculations'!B$7/$C$12))</f>
        <v>0</v>
      </c>
      <c r="N31" s="248" t="n">
        <f aca="false">IF(ISNUMBER($E$13),$E$13,INT('04_Annual_Calculations'!B$5/$C$13))</f>
        <v>0</v>
      </c>
    </row>
    <row r="32" customFormat="false" ht="15" hidden="false" customHeight="true" outlineLevel="0" collapsed="false">
      <c r="A32" s="161" t="s">
        <v>748</v>
      </c>
      <c r="B32" s="245" t="n">
        <f aca="false">(I32*$D$8+J32*$D$9+K32*$D$10+L32*$D$11+M32*$D$12+N32*$D$13)*((1+'00_Inputs_Dashboard'!$B$24)^(2-1))</f>
        <v>0</v>
      </c>
      <c r="C32" s="245" t="n">
        <f aca="false">(E32*$D$4+F32*$D$5+G32*$D$6+H32*$D$7)*((1+'00_Inputs_Dashboard'!$B$24)^(2-1))</f>
        <v>0</v>
      </c>
      <c r="D32" s="161"/>
      <c r="E32" s="248" t="n">
        <f aca="false">IF(ISNUMBER($E$4),0,MAX(0,INT('04_Annual_Calculations'!C$7/$C$4)-INT('04_Annual_Calculations'!B$7/$C$4)))</f>
        <v>0</v>
      </c>
      <c r="F32" s="248" t="n">
        <f aca="false">IF(ISNUMBER($E$5),0,MAX(0,INT('04_Annual_Calculations'!C$7/$C$5)-INT('04_Annual_Calculations'!B$7/$C$5)))</f>
        <v>0</v>
      </c>
      <c r="G32" s="248" t="n">
        <f aca="false">IF(ISNUMBER($E$6),0,MAX(0,INT('04_Annual_Calculations'!C$7/$C$6)-INT('04_Annual_Calculations'!B$7/$C$6)))</f>
        <v>0</v>
      </c>
      <c r="H32" s="248" t="n">
        <f aca="false">IF(ISNUMBER($E$7),0,MAX(0,INT('04_Annual_Calculations'!C$5/$C$7)-INT('04_Annual_Calculations'!B$5/$C$7)))</f>
        <v>0</v>
      </c>
      <c r="I32" s="248" t="n">
        <f aca="false">IF(ISNUMBER($E$8),0,MAX(0,INT('04_Annual_Calculations'!C$7/$C$8)-INT('04_Annual_Calculations'!B$7/$C$8)))</f>
        <v>0</v>
      </c>
      <c r="J32" s="248" t="n">
        <f aca="false">IF(ISNUMBER($E$9),0,MAX(0,INT('04_Annual_Calculations'!C$7/$C$9)-INT('04_Annual_Calculations'!B$7/$C$9)))</f>
        <v>0</v>
      </c>
      <c r="K32" s="248" t="n">
        <f aca="false">IF(ISNUMBER($E$10),0,MAX(0,INT('04_Annual_Calculations'!C$5/$C$10)-INT('04_Annual_Calculations'!B$5/$C$10)))</f>
        <v>0</v>
      </c>
      <c r="L32" s="248" t="n">
        <f aca="false">IF(ISNUMBER($E$11),0,MAX(0,INT('04_Annual_Calculations'!C$5/$C$11)-INT('04_Annual_Calculations'!B$5/$C$11)))</f>
        <v>0</v>
      </c>
      <c r="M32" s="248" t="n">
        <f aca="false">IF(ISNUMBER($E$12),0,MAX(0,INT('04_Annual_Calculations'!C$7/$C$12)-INT('04_Annual_Calculations'!B$7/$C$12)))</f>
        <v>0</v>
      </c>
      <c r="N32" s="248" t="n">
        <f aca="false">IF(ISNUMBER($E$13),0,MAX(0,INT('04_Annual_Calculations'!C$5/$C$13)-INT('04_Annual_Calculations'!B$5/$C$13)))</f>
        <v>0</v>
      </c>
    </row>
    <row r="33" customFormat="false" ht="15" hidden="false" customHeight="true" outlineLevel="0" collapsed="false">
      <c r="A33" s="161" t="s">
        <v>749</v>
      </c>
      <c r="B33" s="245" t="n">
        <f aca="false">(I33*$D$8+J33*$D$9+K33*$D$10+L33*$D$11+M33*$D$12+N33*$D$13)*((1+'00_Inputs_Dashboard'!$B$24)^(3-1))</f>
        <v>0</v>
      </c>
      <c r="C33" s="245" t="n">
        <f aca="false">(E33*$D$4+F33*$D$5+G33*$D$6+H33*$D$7)*((1+'00_Inputs_Dashboard'!$B$24)^(3-1))</f>
        <v>0</v>
      </c>
      <c r="D33" s="161"/>
      <c r="E33" s="248" t="n">
        <f aca="false">IF(ISNUMBER($E$4),0,MAX(0,INT('04_Annual_Calculations'!D$7/$C$4)-INT('04_Annual_Calculations'!C$7/$C$4)))</f>
        <v>0</v>
      </c>
      <c r="F33" s="248" t="n">
        <f aca="false">IF(ISNUMBER($E$5),0,MAX(0,INT('04_Annual_Calculations'!D$7/$C$5)-INT('04_Annual_Calculations'!C$7/$C$5)))</f>
        <v>0</v>
      </c>
      <c r="G33" s="248" t="n">
        <f aca="false">IF(ISNUMBER($E$6),0,MAX(0,INT('04_Annual_Calculations'!D$7/$C$6)-INT('04_Annual_Calculations'!C$7/$C$6)))</f>
        <v>0</v>
      </c>
      <c r="H33" s="248" t="n">
        <f aca="false">IF(ISNUMBER($E$7),0,MAX(0,INT('04_Annual_Calculations'!D$5/$C$7)-INT('04_Annual_Calculations'!C$5/$C$7)))</f>
        <v>0</v>
      </c>
      <c r="I33" s="248" t="n">
        <f aca="false">IF(ISNUMBER($E$8),0,MAX(0,INT('04_Annual_Calculations'!D$7/$C$8)-INT('04_Annual_Calculations'!C$7/$C$8)))</f>
        <v>0</v>
      </c>
      <c r="J33" s="248" t="n">
        <f aca="false">IF(ISNUMBER($E$9),0,MAX(0,INT('04_Annual_Calculations'!D$7/$C$9)-INT('04_Annual_Calculations'!C$7/$C$9)))</f>
        <v>0</v>
      </c>
      <c r="K33" s="248" t="n">
        <f aca="false">IF(ISNUMBER($E$10),0,MAX(0,INT('04_Annual_Calculations'!D$5/$C$10)-INT('04_Annual_Calculations'!C$5/$C$10)))</f>
        <v>0</v>
      </c>
      <c r="L33" s="248" t="n">
        <f aca="false">IF(ISNUMBER($E$11),0,MAX(0,INT('04_Annual_Calculations'!D$5/$C$11)-INT('04_Annual_Calculations'!C$5/$C$11)))</f>
        <v>0</v>
      </c>
      <c r="M33" s="248" t="n">
        <f aca="false">IF(ISNUMBER($E$12),0,MAX(0,INT('04_Annual_Calculations'!D$7/$C$12)-INT('04_Annual_Calculations'!C$7/$C$12)))</f>
        <v>0</v>
      </c>
      <c r="N33" s="248" t="n">
        <f aca="false">IF(ISNUMBER($E$13),0,MAX(0,INT('04_Annual_Calculations'!D$5/$C$13)-INT('04_Annual_Calculations'!C$5/$C$13)))</f>
        <v>0</v>
      </c>
    </row>
    <row r="34" customFormat="false" ht="15" hidden="false" customHeight="true" outlineLevel="0" collapsed="false">
      <c r="A34" s="161" t="s">
        <v>750</v>
      </c>
      <c r="B34" s="245" t="n">
        <f aca="false">(I34*$D$8+J34*$D$9+K34*$D$10+L34*$D$11+M34*$D$12+N34*$D$13)*((1+'00_Inputs_Dashboard'!$B$24)^(4-1))</f>
        <v>0</v>
      </c>
      <c r="C34" s="245" t="n">
        <f aca="false">(E34*$D$4+F34*$D$5+G34*$D$6+H34*$D$7)*((1+'00_Inputs_Dashboard'!$B$24)^(4-1))</f>
        <v>0</v>
      </c>
      <c r="D34" s="161"/>
      <c r="E34" s="248" t="n">
        <f aca="false">IF(ISNUMBER($E$4),0,MAX(0,INT('04_Annual_Calculations'!E$7/$C$4)-INT('04_Annual_Calculations'!D$7/$C$4)))</f>
        <v>0</v>
      </c>
      <c r="F34" s="248" t="n">
        <f aca="false">IF(ISNUMBER($E$5),0,MAX(0,INT('04_Annual_Calculations'!E$7/$C$5)-INT('04_Annual_Calculations'!D$7/$C$5)))</f>
        <v>0</v>
      </c>
      <c r="G34" s="248" t="n">
        <f aca="false">IF(ISNUMBER($E$6),0,MAX(0,INT('04_Annual_Calculations'!E$7/$C$6)-INT('04_Annual_Calculations'!D$7/$C$6)))</f>
        <v>0</v>
      </c>
      <c r="H34" s="248" t="n">
        <f aca="false">IF(ISNUMBER($E$7),0,MAX(0,INT('04_Annual_Calculations'!E$5/$C$7)-INT('04_Annual_Calculations'!D$5/$C$7)))</f>
        <v>0</v>
      </c>
      <c r="I34" s="248" t="n">
        <f aca="false">IF(ISNUMBER($E$8),0,MAX(0,INT('04_Annual_Calculations'!E$7/$C$8)-INT('04_Annual_Calculations'!D$7/$C$8)))</f>
        <v>0</v>
      </c>
      <c r="J34" s="248" t="n">
        <f aca="false">IF(ISNUMBER($E$9),0,MAX(0,INT('04_Annual_Calculations'!E$7/$C$9)-INT('04_Annual_Calculations'!D$7/$C$9)))</f>
        <v>0</v>
      </c>
      <c r="K34" s="248" t="n">
        <f aca="false">IF(ISNUMBER($E$10),0,MAX(0,INT('04_Annual_Calculations'!E$5/$C$10)-INT('04_Annual_Calculations'!D$5/$C$10)))</f>
        <v>0</v>
      </c>
      <c r="L34" s="248" t="n">
        <f aca="false">IF(ISNUMBER($E$11),0,MAX(0,INT('04_Annual_Calculations'!E$5/$C$11)-INT('04_Annual_Calculations'!D$5/$C$11)))</f>
        <v>0</v>
      </c>
      <c r="M34" s="248" t="n">
        <f aca="false">IF(ISNUMBER($E$12),0,MAX(0,INT('04_Annual_Calculations'!E$7/$C$12)-INT('04_Annual_Calculations'!D$7/$C$12)))</f>
        <v>0</v>
      </c>
      <c r="N34" s="248" t="n">
        <f aca="false">IF(ISNUMBER($E$13),0,MAX(0,INT('04_Annual_Calculations'!E$5/$C$13)-INT('04_Annual_Calculations'!D$5/$C$13)))</f>
        <v>0</v>
      </c>
    </row>
    <row r="35" customFormat="false" ht="15" hidden="false" customHeight="true" outlineLevel="0" collapsed="false">
      <c r="A35" s="161" t="s">
        <v>751</v>
      </c>
      <c r="B35" s="245" t="n">
        <f aca="false">(I35*$D$8+J35*$D$9+K35*$D$10+L35*$D$11+M35*$D$12+N35*$D$13)*((1+'00_Inputs_Dashboard'!$B$24)^(5-1))</f>
        <v>0</v>
      </c>
      <c r="C35" s="245" t="n">
        <f aca="false">(E35*$D$4+F35*$D$5+G35*$D$6+H35*$D$7)*((1+'00_Inputs_Dashboard'!$B$24)^(5-1))</f>
        <v>0</v>
      </c>
      <c r="D35" s="161"/>
      <c r="E35" s="248" t="n">
        <f aca="false">IF(ISNUMBER($E$4),0,MAX(0,INT('04_Annual_Calculations'!F$7/$C$4)-INT('04_Annual_Calculations'!E$7/$C$4)))</f>
        <v>0</v>
      </c>
      <c r="F35" s="248" t="n">
        <f aca="false">IF(ISNUMBER($E$5),0,MAX(0,INT('04_Annual_Calculations'!F$7/$C$5)-INT('04_Annual_Calculations'!E$7/$C$5)))</f>
        <v>0</v>
      </c>
      <c r="G35" s="248" t="n">
        <f aca="false">IF(ISNUMBER($E$6),0,MAX(0,INT('04_Annual_Calculations'!F$7/$C$6)-INT('04_Annual_Calculations'!E$7/$C$6)))</f>
        <v>0</v>
      </c>
      <c r="H35" s="248" t="n">
        <f aca="false">IF(ISNUMBER($E$7),0,MAX(0,INT('04_Annual_Calculations'!F$5/$C$7)-INT('04_Annual_Calculations'!E$5/$C$7)))</f>
        <v>0</v>
      </c>
      <c r="I35" s="248" t="n">
        <f aca="false">IF(ISNUMBER($E$8),0,MAX(0,INT('04_Annual_Calculations'!F$7/$C$8)-INT('04_Annual_Calculations'!E$7/$C$8)))</f>
        <v>0</v>
      </c>
      <c r="J35" s="248" t="n">
        <f aca="false">IF(ISNUMBER($E$9),0,MAX(0,INT('04_Annual_Calculations'!F$7/$C$9)-INT('04_Annual_Calculations'!E$7/$C$9)))</f>
        <v>0</v>
      </c>
      <c r="K35" s="248" t="n">
        <f aca="false">IF(ISNUMBER($E$10),0,MAX(0,INT('04_Annual_Calculations'!F$5/$C$10)-INT('04_Annual_Calculations'!E$5/$C$10)))</f>
        <v>0</v>
      </c>
      <c r="L35" s="248" t="n">
        <f aca="false">IF(ISNUMBER($E$11),0,MAX(0,INT('04_Annual_Calculations'!F$5/$C$11)-INT('04_Annual_Calculations'!E$5/$C$11)))</f>
        <v>0</v>
      </c>
      <c r="M35" s="248" t="n">
        <f aca="false">IF(ISNUMBER($E$12),0,MAX(0,INT('04_Annual_Calculations'!F$7/$C$12)-INT('04_Annual_Calculations'!E$7/$C$12)))</f>
        <v>0</v>
      </c>
      <c r="N35" s="248" t="n">
        <f aca="false">IF(ISNUMBER($E$13),0,MAX(0,INT('04_Annual_Calculations'!F$5/$C$13)-INT('04_Annual_Calculations'!E$5/$C$13)))</f>
        <v>0</v>
      </c>
    </row>
    <row r="36" customFormat="false" ht="15" hidden="false" customHeight="true" outlineLevel="0" collapsed="false">
      <c r="A36" s="161" t="s">
        <v>752</v>
      </c>
      <c r="B36" s="245" t="n">
        <f aca="false">(I36*$D$8+J36*$D$9+K36*$D$10+L36*$D$11+M36*$D$12+N36*$D$13)*((1+'00_Inputs_Dashboard'!$B$24)^(6-1))</f>
        <v>0</v>
      </c>
      <c r="C36" s="245" t="n">
        <f aca="false">(E36*$D$4+F36*$D$5+G36*$D$6+H36*$D$7)*((1+'00_Inputs_Dashboard'!$B$24)^(6-1))</f>
        <v>0</v>
      </c>
      <c r="D36" s="161"/>
      <c r="E36" s="248" t="n">
        <f aca="false">IF(ISNUMBER($E$4),0,MAX(0,INT('04_Annual_Calculations'!G$7/$C$4)-INT('04_Annual_Calculations'!F$7/$C$4)))</f>
        <v>0</v>
      </c>
      <c r="F36" s="248" t="n">
        <f aca="false">IF(ISNUMBER($E$5),0,MAX(0,INT('04_Annual_Calculations'!G$7/$C$5)-INT('04_Annual_Calculations'!F$7/$C$5)))</f>
        <v>0</v>
      </c>
      <c r="G36" s="248" t="n">
        <f aca="false">IF(ISNUMBER($E$6),0,MAX(0,INT('04_Annual_Calculations'!G$7/$C$6)-INT('04_Annual_Calculations'!F$7/$C$6)))</f>
        <v>0</v>
      </c>
      <c r="H36" s="248" t="n">
        <f aca="false">IF(ISNUMBER($E$7),0,MAX(0,INT('04_Annual_Calculations'!G$5/$C$7)-INT('04_Annual_Calculations'!F$5/$C$7)))</f>
        <v>0</v>
      </c>
      <c r="I36" s="248" t="n">
        <f aca="false">IF(ISNUMBER($E$8),0,MAX(0,INT('04_Annual_Calculations'!G$7/$C$8)-INT('04_Annual_Calculations'!F$7/$C$8)))</f>
        <v>0</v>
      </c>
      <c r="J36" s="248" t="n">
        <f aca="false">IF(ISNUMBER($E$9),0,MAX(0,INT('04_Annual_Calculations'!G$7/$C$9)-INT('04_Annual_Calculations'!F$7/$C$9)))</f>
        <v>0</v>
      </c>
      <c r="K36" s="248" t="n">
        <f aca="false">IF(ISNUMBER($E$10),0,MAX(0,INT('04_Annual_Calculations'!G$5/$C$10)-INT('04_Annual_Calculations'!F$5/$C$10)))</f>
        <v>0</v>
      </c>
      <c r="L36" s="248" t="n">
        <f aca="false">IF(ISNUMBER($E$11),0,MAX(0,INT('04_Annual_Calculations'!G$5/$C$11)-INT('04_Annual_Calculations'!F$5/$C$11)))</f>
        <v>0</v>
      </c>
      <c r="M36" s="248" t="n">
        <f aca="false">IF(ISNUMBER($E$12),0,MAX(0,INT('04_Annual_Calculations'!G$7/$C$12)-INT('04_Annual_Calculations'!F$7/$C$12)))</f>
        <v>0</v>
      </c>
      <c r="N36" s="248" t="n">
        <f aca="false">IF(ISNUMBER($E$13),0,MAX(0,INT('04_Annual_Calculations'!G$5/$C$13)-INT('04_Annual_Calculations'!F$5/$C$13)))</f>
        <v>0</v>
      </c>
    </row>
    <row r="37" customFormat="false" ht="15" hidden="false" customHeight="true" outlineLevel="0" collapsed="false">
      <c r="A37" s="161" t="s">
        <v>753</v>
      </c>
      <c r="B37" s="245" t="n">
        <f aca="false">(I37*$D$8+J37*$D$9+K37*$D$10+L37*$D$11+M37*$D$12+N37*$D$13)*((1+'00_Inputs_Dashboard'!$B$24)^(7-1))</f>
        <v>0</v>
      </c>
      <c r="C37" s="245" t="n">
        <f aca="false">(E37*$D$4+F37*$D$5+G37*$D$6+H37*$D$7)*((1+'00_Inputs_Dashboard'!$B$24)^(7-1))</f>
        <v>0</v>
      </c>
      <c r="D37" s="161"/>
      <c r="E37" s="248" t="n">
        <f aca="false">IF(ISNUMBER($E$4),0,MAX(0,INT('04_Annual_Calculations'!H$7/$C$4)-INT('04_Annual_Calculations'!G$7/$C$4)))</f>
        <v>0</v>
      </c>
      <c r="F37" s="248" t="n">
        <f aca="false">IF(ISNUMBER($E$5),0,MAX(0,INT('04_Annual_Calculations'!H$7/$C$5)-INT('04_Annual_Calculations'!G$7/$C$5)))</f>
        <v>0</v>
      </c>
      <c r="G37" s="248" t="n">
        <f aca="false">IF(ISNUMBER($E$6),0,MAX(0,INT('04_Annual_Calculations'!H$7/$C$6)-INT('04_Annual_Calculations'!G$7/$C$6)))</f>
        <v>0</v>
      </c>
      <c r="H37" s="248" t="n">
        <f aca="false">IF(ISNUMBER($E$7),0,MAX(0,INT('04_Annual_Calculations'!H$5/$C$7)-INT('04_Annual_Calculations'!G$5/$C$7)))</f>
        <v>0</v>
      </c>
      <c r="I37" s="248" t="n">
        <f aca="false">IF(ISNUMBER($E$8),0,MAX(0,INT('04_Annual_Calculations'!H$7/$C$8)-INT('04_Annual_Calculations'!G$7/$C$8)))</f>
        <v>0</v>
      </c>
      <c r="J37" s="248" t="n">
        <f aca="false">IF(ISNUMBER($E$9),0,MAX(0,INT('04_Annual_Calculations'!H$7/$C$9)-INT('04_Annual_Calculations'!G$7/$C$9)))</f>
        <v>0</v>
      </c>
      <c r="K37" s="248" t="n">
        <f aca="false">IF(ISNUMBER($E$10),0,MAX(0,INT('04_Annual_Calculations'!H$5/$C$10)-INT('04_Annual_Calculations'!G$5/$C$10)))</f>
        <v>0</v>
      </c>
      <c r="L37" s="248" t="n">
        <f aca="false">IF(ISNUMBER($E$11),0,MAX(0,INT('04_Annual_Calculations'!H$5/$C$11)-INT('04_Annual_Calculations'!G$5/$C$11)))</f>
        <v>0</v>
      </c>
      <c r="M37" s="248" t="n">
        <f aca="false">IF(ISNUMBER($E$12),0,MAX(0,INT('04_Annual_Calculations'!H$7/$C$12)-INT('04_Annual_Calculations'!G$7/$C$12)))</f>
        <v>0</v>
      </c>
      <c r="N37" s="248" t="n">
        <f aca="false">IF(ISNUMBER($E$13),0,MAX(0,INT('04_Annual_Calculations'!H$5/$C$13)-INT('04_Annual_Calculations'!G$5/$C$13)))</f>
        <v>0</v>
      </c>
    </row>
    <row r="38" customFormat="false" ht="15" hidden="false" customHeight="true" outlineLevel="0" collapsed="false">
      <c r="A38" s="161" t="s">
        <v>754</v>
      </c>
      <c r="B38" s="245" t="n">
        <f aca="false">(I38*$D$8+J38*$D$9+K38*$D$10+L38*$D$11+M38*$D$12+N38*$D$13)*((1+'00_Inputs_Dashboard'!$B$24)^(8-1))</f>
        <v>0</v>
      </c>
      <c r="C38" s="245" t="n">
        <f aca="false">(E38*$D$4+F38*$D$5+G38*$D$6+H38*$D$7)*((1+'00_Inputs_Dashboard'!$B$24)^(8-1))</f>
        <v>0</v>
      </c>
      <c r="D38" s="161"/>
      <c r="E38" s="248" t="n">
        <f aca="false">IF(ISNUMBER($E$4),0,MAX(0,INT('04_Annual_Calculations'!I$7/$C$4)-INT('04_Annual_Calculations'!H$7/$C$4)))</f>
        <v>0</v>
      </c>
      <c r="F38" s="248" t="n">
        <f aca="false">IF(ISNUMBER($E$5),0,MAX(0,INT('04_Annual_Calculations'!I$7/$C$5)-INT('04_Annual_Calculations'!H$7/$C$5)))</f>
        <v>0</v>
      </c>
      <c r="G38" s="248" t="n">
        <f aca="false">IF(ISNUMBER($E$6),0,MAX(0,INT('04_Annual_Calculations'!I$7/$C$6)-INT('04_Annual_Calculations'!H$7/$C$6)))</f>
        <v>0</v>
      </c>
      <c r="H38" s="248" t="n">
        <f aca="false">IF(ISNUMBER($E$7),0,MAX(0,INT('04_Annual_Calculations'!I$5/$C$7)-INT('04_Annual_Calculations'!H$5/$C$7)))</f>
        <v>0</v>
      </c>
      <c r="I38" s="248" t="n">
        <f aca="false">IF(ISNUMBER($E$8),0,MAX(0,INT('04_Annual_Calculations'!I$7/$C$8)-INT('04_Annual_Calculations'!H$7/$C$8)))</f>
        <v>0</v>
      </c>
      <c r="J38" s="248" t="n">
        <f aca="false">IF(ISNUMBER($E$9),0,MAX(0,INT('04_Annual_Calculations'!I$7/$C$9)-INT('04_Annual_Calculations'!H$7/$C$9)))</f>
        <v>0</v>
      </c>
      <c r="K38" s="248" t="n">
        <f aca="false">IF(ISNUMBER($E$10),0,MAX(0,INT('04_Annual_Calculations'!I$5/$C$10)-INT('04_Annual_Calculations'!H$5/$C$10)))</f>
        <v>0</v>
      </c>
      <c r="L38" s="248" t="n">
        <f aca="false">IF(ISNUMBER($E$11),0,MAX(0,INT('04_Annual_Calculations'!I$5/$C$11)-INT('04_Annual_Calculations'!H$5/$C$11)))</f>
        <v>0</v>
      </c>
      <c r="M38" s="248" t="n">
        <f aca="false">IF(ISNUMBER($E$12),0,MAX(0,INT('04_Annual_Calculations'!I$7/$C$12)-INT('04_Annual_Calculations'!H$7/$C$12)))</f>
        <v>0</v>
      </c>
      <c r="N38" s="248" t="n">
        <f aca="false">IF(ISNUMBER($E$13),0,MAX(0,INT('04_Annual_Calculations'!I$5/$C$13)-INT('04_Annual_Calculations'!H$5/$C$13)))</f>
        <v>0</v>
      </c>
    </row>
    <row r="39" customFormat="false" ht="15" hidden="false" customHeight="true" outlineLevel="0" collapsed="false">
      <c r="A39" s="161" t="s">
        <v>755</v>
      </c>
      <c r="B39" s="245" t="n">
        <f aca="false">(I39*$D$8+J39*$D$9+K39*$D$10+L39*$D$11+M39*$D$12+N39*$D$13)*((1+'00_Inputs_Dashboard'!$B$24)^(9-1))</f>
        <v>0</v>
      </c>
      <c r="C39" s="245" t="n">
        <f aca="false">(E39*$D$4+F39*$D$5+G39*$D$6+H39*$D$7)*((1+'00_Inputs_Dashboard'!$B$24)^(9-1))</f>
        <v>0</v>
      </c>
      <c r="D39" s="161"/>
      <c r="E39" s="248" t="n">
        <f aca="false">IF(ISNUMBER($E$4),0,MAX(0,INT('04_Annual_Calculations'!J$7/$C$4)-INT('04_Annual_Calculations'!I$7/$C$4)))</f>
        <v>0</v>
      </c>
      <c r="F39" s="248" t="n">
        <f aca="false">IF(ISNUMBER($E$5),0,MAX(0,INT('04_Annual_Calculations'!J$7/$C$5)-INT('04_Annual_Calculations'!I$7/$C$5)))</f>
        <v>0</v>
      </c>
      <c r="G39" s="248" t="n">
        <f aca="false">IF(ISNUMBER($E$6),0,MAX(0,INT('04_Annual_Calculations'!J$7/$C$6)-INT('04_Annual_Calculations'!I$7/$C$6)))</f>
        <v>0</v>
      </c>
      <c r="H39" s="248" t="n">
        <f aca="false">IF(ISNUMBER($E$7),0,MAX(0,INT('04_Annual_Calculations'!J$5/$C$7)-INT('04_Annual_Calculations'!I$5/$C$7)))</f>
        <v>0</v>
      </c>
      <c r="I39" s="248" t="n">
        <f aca="false">IF(ISNUMBER($E$8),0,MAX(0,INT('04_Annual_Calculations'!J$7/$C$8)-INT('04_Annual_Calculations'!I$7/$C$8)))</f>
        <v>0</v>
      </c>
      <c r="J39" s="248" t="n">
        <f aca="false">IF(ISNUMBER($E$9),0,MAX(0,INT('04_Annual_Calculations'!J$7/$C$9)-INT('04_Annual_Calculations'!I$7/$C$9)))</f>
        <v>0</v>
      </c>
      <c r="K39" s="248" t="n">
        <f aca="false">IF(ISNUMBER($E$10),0,MAX(0,INT('04_Annual_Calculations'!J$5/$C$10)-INT('04_Annual_Calculations'!I$5/$C$10)))</f>
        <v>0</v>
      </c>
      <c r="L39" s="248" t="n">
        <f aca="false">IF(ISNUMBER($E$11),0,MAX(0,INT('04_Annual_Calculations'!J$5/$C$11)-INT('04_Annual_Calculations'!I$5/$C$11)))</f>
        <v>0</v>
      </c>
      <c r="M39" s="248" t="n">
        <f aca="false">IF(ISNUMBER($E$12),0,MAX(0,INT('04_Annual_Calculations'!J$7/$C$12)-INT('04_Annual_Calculations'!I$7/$C$12)))</f>
        <v>0</v>
      </c>
      <c r="N39" s="248" t="n">
        <f aca="false">IF(ISNUMBER($E$13),0,MAX(0,INT('04_Annual_Calculations'!J$5/$C$13)-INT('04_Annual_Calculations'!I$5/$C$13)))</f>
        <v>0</v>
      </c>
    </row>
    <row r="40" customFormat="false" ht="15" hidden="false" customHeight="true" outlineLevel="0" collapsed="false">
      <c r="A40" s="161" t="s">
        <v>756</v>
      </c>
      <c r="B40" s="245" t="n">
        <f aca="false">(I40*$D$8+J40*$D$9+K40*$D$10+L40*$D$11+M40*$D$12+N40*$D$13)*((1+'00_Inputs_Dashboard'!$B$24)^(10-1))</f>
        <v>0</v>
      </c>
      <c r="C40" s="245" t="n">
        <f aca="false">(E40*$D$4+F40*$D$5+G40*$D$6+H40*$D$7)*((1+'00_Inputs_Dashboard'!$B$24)^(10-1))</f>
        <v>0</v>
      </c>
      <c r="D40" s="161"/>
      <c r="E40" s="248" t="n">
        <f aca="false">IF(ISNUMBER($E$4),0,MAX(0,INT('04_Annual_Calculations'!K$7/$C$4)-INT('04_Annual_Calculations'!J$7/$C$4)))</f>
        <v>0</v>
      </c>
      <c r="F40" s="248" t="n">
        <f aca="false">IF(ISNUMBER($E$5),0,MAX(0,INT('04_Annual_Calculations'!K$7/$C$5)-INT('04_Annual_Calculations'!J$7/$C$5)))</f>
        <v>0</v>
      </c>
      <c r="G40" s="248" t="n">
        <f aca="false">IF(ISNUMBER($E$6),0,MAX(0,INT('04_Annual_Calculations'!K$7/$C$6)-INT('04_Annual_Calculations'!J$7/$C$6)))</f>
        <v>0</v>
      </c>
      <c r="H40" s="248" t="n">
        <f aca="false">IF(ISNUMBER($E$7),0,MAX(0,INT('04_Annual_Calculations'!K$5/$C$7)-INT('04_Annual_Calculations'!J$5/$C$7)))</f>
        <v>0</v>
      </c>
      <c r="I40" s="248" t="n">
        <f aca="false">IF(ISNUMBER($E$8),0,MAX(0,INT('04_Annual_Calculations'!K$7/$C$8)-INT('04_Annual_Calculations'!J$7/$C$8)))</f>
        <v>0</v>
      </c>
      <c r="J40" s="248" t="n">
        <f aca="false">IF(ISNUMBER($E$9),0,MAX(0,INT('04_Annual_Calculations'!K$7/$C$9)-INT('04_Annual_Calculations'!J$7/$C$9)))</f>
        <v>0</v>
      </c>
      <c r="K40" s="248" t="n">
        <f aca="false">IF(ISNUMBER($E$10),0,MAX(0,INT('04_Annual_Calculations'!K$5/$C$10)-INT('04_Annual_Calculations'!J$5/$C$10)))</f>
        <v>0</v>
      </c>
      <c r="L40" s="248" t="n">
        <f aca="false">IF(ISNUMBER($E$11),0,MAX(0,INT('04_Annual_Calculations'!K$5/$C$11)-INT('04_Annual_Calculations'!J$5/$C$11)))</f>
        <v>0</v>
      </c>
      <c r="M40" s="248" t="n">
        <f aca="false">IF(ISNUMBER($E$12),0,MAX(0,INT('04_Annual_Calculations'!K$7/$C$12)-INT('04_Annual_Calculations'!J$7/$C$12)))</f>
        <v>0</v>
      </c>
      <c r="N40" s="248" t="n">
        <f aca="false">IF(ISNUMBER($E$13),0,MAX(0,INT('04_Annual_Calculations'!K$5/$C$13)-INT('04_Annual_Calculations'!J$5/$C$13)))</f>
        <v>0</v>
      </c>
    </row>
    <row r="41" customFormat="false" ht="15" hidden="false" customHeight="true" outlineLevel="0" collapsed="false">
      <c r="A41" s="161" t="s">
        <v>757</v>
      </c>
      <c r="B41" s="245" t="n">
        <f aca="false">(I41*$D$8+J41*$D$9+K41*$D$10+L41*$D$11+M41*$D$12+N41*$D$13)*((1+'00_Inputs_Dashboard'!$B$24)^(11-1))</f>
        <v>0</v>
      </c>
      <c r="C41" s="245" t="n">
        <f aca="false">(E41*$D$4+F41*$D$5+G41*$D$6+H41*$D$7)*((1+'00_Inputs_Dashboard'!$B$24)^(11-1))</f>
        <v>0</v>
      </c>
      <c r="D41" s="161"/>
      <c r="E41" s="248" t="n">
        <f aca="false">IF(ISNUMBER($E$4),0,MAX(0,INT('04_Annual_Calculations'!L$7/$C$4)-INT('04_Annual_Calculations'!K$7/$C$4)))</f>
        <v>0</v>
      </c>
      <c r="F41" s="248" t="n">
        <f aca="false">IF(ISNUMBER($E$5),0,MAX(0,INT('04_Annual_Calculations'!L$7/$C$5)-INT('04_Annual_Calculations'!K$7/$C$5)))</f>
        <v>0</v>
      </c>
      <c r="G41" s="248" t="n">
        <f aca="false">IF(ISNUMBER($E$6),0,MAX(0,INT('04_Annual_Calculations'!L$7/$C$6)-INT('04_Annual_Calculations'!K$7/$C$6)))</f>
        <v>0</v>
      </c>
      <c r="H41" s="248" t="n">
        <f aca="false">IF(ISNUMBER($E$7),0,MAX(0,INT('04_Annual_Calculations'!L$5/$C$7)-INT('04_Annual_Calculations'!K$5/$C$7)))</f>
        <v>0</v>
      </c>
      <c r="I41" s="248" t="n">
        <f aca="false">IF(ISNUMBER($E$8),0,MAX(0,INT('04_Annual_Calculations'!L$7/$C$8)-INT('04_Annual_Calculations'!K$7/$C$8)))</f>
        <v>0</v>
      </c>
      <c r="J41" s="248" t="n">
        <f aca="false">IF(ISNUMBER($E$9),0,MAX(0,INT('04_Annual_Calculations'!L$7/$C$9)-INT('04_Annual_Calculations'!K$7/$C$9)))</f>
        <v>0</v>
      </c>
      <c r="K41" s="248" t="n">
        <f aca="false">IF(ISNUMBER($E$10),0,MAX(0,INT('04_Annual_Calculations'!L$5/$C$10)-INT('04_Annual_Calculations'!K$5/$C$10)))</f>
        <v>0</v>
      </c>
      <c r="L41" s="248" t="n">
        <f aca="false">IF(ISNUMBER($E$11),0,MAX(0,INT('04_Annual_Calculations'!L$5/$C$11)-INT('04_Annual_Calculations'!K$5/$C$11)))</f>
        <v>0</v>
      </c>
      <c r="M41" s="248" t="n">
        <f aca="false">IF(ISNUMBER($E$12),0,MAX(0,INT('04_Annual_Calculations'!L$7/$C$12)-INT('04_Annual_Calculations'!K$7/$C$12)))</f>
        <v>0</v>
      </c>
      <c r="N41" s="248" t="n">
        <f aca="false">IF(ISNUMBER($E$13),0,MAX(0,INT('04_Annual_Calculations'!L$5/$C$13)-INT('04_Annual_Calculations'!K$5/$C$13)))</f>
        <v>0</v>
      </c>
    </row>
    <row r="42" customFormat="false" ht="15" hidden="false" customHeight="true" outlineLevel="0" collapsed="false">
      <c r="A42" s="161" t="s">
        <v>758</v>
      </c>
      <c r="B42" s="245" t="n">
        <f aca="false">(I42*$D$8+J42*$D$9+K42*$D$10+L42*$D$11+M42*$D$12+N42*$D$13)*((1+'00_Inputs_Dashboard'!$B$24)^(12-1))</f>
        <v>0</v>
      </c>
      <c r="C42" s="245" t="n">
        <f aca="false">(E42*$D$4+F42*$D$5+G42*$D$6+H42*$D$7)*((1+'00_Inputs_Dashboard'!$B$24)^(12-1))</f>
        <v>0</v>
      </c>
      <c r="D42" s="161"/>
      <c r="E42" s="248" t="n">
        <f aca="false">IF(ISNUMBER($E$4),0,MAX(0,INT('04_Annual_Calculations'!M$7/$C$4)-INT('04_Annual_Calculations'!L$7/$C$4)))</f>
        <v>0</v>
      </c>
      <c r="F42" s="248" t="n">
        <f aca="false">IF(ISNUMBER($E$5),0,MAX(0,INT('04_Annual_Calculations'!M$7/$C$5)-INT('04_Annual_Calculations'!L$7/$C$5)))</f>
        <v>0</v>
      </c>
      <c r="G42" s="248" t="n">
        <f aca="false">IF(ISNUMBER($E$6),0,MAX(0,INT('04_Annual_Calculations'!M$7/$C$6)-INT('04_Annual_Calculations'!L$7/$C$6)))</f>
        <v>0</v>
      </c>
      <c r="H42" s="248" t="n">
        <f aca="false">IF(ISNUMBER($E$7),0,MAX(0,INT('04_Annual_Calculations'!M$5/$C$7)-INT('04_Annual_Calculations'!L$5/$C$7)))</f>
        <v>0</v>
      </c>
      <c r="I42" s="248" t="n">
        <f aca="false">IF(ISNUMBER($E$8),0,MAX(0,INT('04_Annual_Calculations'!M$7/$C$8)-INT('04_Annual_Calculations'!L$7/$C$8)))</f>
        <v>0</v>
      </c>
      <c r="J42" s="248" t="n">
        <f aca="false">IF(ISNUMBER($E$9),0,MAX(0,INT('04_Annual_Calculations'!M$7/$C$9)-INT('04_Annual_Calculations'!L$7/$C$9)))</f>
        <v>0</v>
      </c>
      <c r="K42" s="248" t="n">
        <f aca="false">IF(ISNUMBER($E$10),0,MAX(0,INT('04_Annual_Calculations'!M$5/$C$10)-INT('04_Annual_Calculations'!L$5/$C$10)))</f>
        <v>0</v>
      </c>
      <c r="L42" s="248" t="n">
        <f aca="false">IF(ISNUMBER($E$11),0,MAX(0,INT('04_Annual_Calculations'!M$5/$C$11)-INT('04_Annual_Calculations'!L$5/$C$11)))</f>
        <v>0</v>
      </c>
      <c r="M42" s="248" t="n">
        <f aca="false">IF(ISNUMBER($E$12),0,MAX(0,INT('04_Annual_Calculations'!M$7/$C$12)-INT('04_Annual_Calculations'!L$7/$C$12)))</f>
        <v>0</v>
      </c>
      <c r="N42" s="248" t="n">
        <f aca="false">IF(ISNUMBER($E$13),0,MAX(0,INT('04_Annual_Calculations'!M$5/$C$13)-INT('04_Annual_Calculations'!L$5/$C$13)))</f>
        <v>0</v>
      </c>
    </row>
    <row r="43" customFormat="false" ht="15" hidden="false" customHeight="true" outlineLevel="0" collapsed="false">
      <c r="A43" s="161" t="s">
        <v>759</v>
      </c>
      <c r="B43" s="245" t="n">
        <f aca="false">(I43*$D$8+J43*$D$9+K43*$D$10+L43*$D$11+M43*$D$12+N43*$D$13)*((1+'00_Inputs_Dashboard'!$B$24)^(13-1))</f>
        <v>0</v>
      </c>
      <c r="C43" s="245" t="n">
        <f aca="false">(E43*$D$4+F43*$D$5+G43*$D$6+H43*$D$7)*((1+'00_Inputs_Dashboard'!$B$24)^(13-1))</f>
        <v>0</v>
      </c>
      <c r="D43" s="161"/>
      <c r="E43" s="248" t="n">
        <f aca="false">IF(ISNUMBER($E$4),0,MAX(0,INT('04_Annual_Calculations'!N$7/$C$4)-INT('04_Annual_Calculations'!M$7/$C$4)))</f>
        <v>0</v>
      </c>
      <c r="F43" s="248" t="n">
        <f aca="false">IF(ISNUMBER($E$5),0,MAX(0,INT('04_Annual_Calculations'!N$7/$C$5)-INT('04_Annual_Calculations'!M$7/$C$5)))</f>
        <v>0</v>
      </c>
      <c r="G43" s="248" t="n">
        <f aca="false">IF(ISNUMBER($E$6),0,MAX(0,INT('04_Annual_Calculations'!N$7/$C$6)-INT('04_Annual_Calculations'!M$7/$C$6)))</f>
        <v>0</v>
      </c>
      <c r="H43" s="248" t="n">
        <f aca="false">IF(ISNUMBER($E$7),0,MAX(0,INT('04_Annual_Calculations'!N$5/$C$7)-INT('04_Annual_Calculations'!M$5/$C$7)))</f>
        <v>0</v>
      </c>
      <c r="I43" s="248" t="n">
        <f aca="false">IF(ISNUMBER($E$8),0,MAX(0,INT('04_Annual_Calculations'!N$7/$C$8)-INT('04_Annual_Calculations'!M$7/$C$8)))</f>
        <v>0</v>
      </c>
      <c r="J43" s="248" t="n">
        <f aca="false">IF(ISNUMBER($E$9),0,MAX(0,INT('04_Annual_Calculations'!N$7/$C$9)-INT('04_Annual_Calculations'!M$7/$C$9)))</f>
        <v>0</v>
      </c>
      <c r="K43" s="248" t="n">
        <f aca="false">IF(ISNUMBER($E$10),0,MAX(0,INT('04_Annual_Calculations'!N$5/$C$10)-INT('04_Annual_Calculations'!M$5/$C$10)))</f>
        <v>0</v>
      </c>
      <c r="L43" s="248" t="n">
        <f aca="false">IF(ISNUMBER($E$11),0,MAX(0,INT('04_Annual_Calculations'!N$5/$C$11)-INT('04_Annual_Calculations'!M$5/$C$11)))</f>
        <v>0</v>
      </c>
      <c r="M43" s="248" t="n">
        <f aca="false">IF(ISNUMBER($E$12),0,MAX(0,INT('04_Annual_Calculations'!N$7/$C$12)-INT('04_Annual_Calculations'!M$7/$C$12)))</f>
        <v>0</v>
      </c>
      <c r="N43" s="248" t="n">
        <f aca="false">IF(ISNUMBER($E$13),0,MAX(0,INT('04_Annual_Calculations'!N$5/$C$13)-INT('04_Annual_Calculations'!M$5/$C$13)))</f>
        <v>0</v>
      </c>
    </row>
    <row r="44" customFormat="false" ht="15" hidden="false" customHeight="true" outlineLevel="0" collapsed="false">
      <c r="A44" s="161" t="s">
        <v>760</v>
      </c>
      <c r="B44" s="245" t="n">
        <f aca="false">(I44*$D$8+J44*$D$9+K44*$D$10+L44*$D$11+M44*$D$12+N44*$D$13)*((1+'00_Inputs_Dashboard'!$B$24)^(14-1))</f>
        <v>0</v>
      </c>
      <c r="C44" s="245" t="n">
        <f aca="false">(E44*$D$4+F44*$D$5+G44*$D$6+H44*$D$7)*((1+'00_Inputs_Dashboard'!$B$24)^(14-1))</f>
        <v>0</v>
      </c>
      <c r="D44" s="161"/>
      <c r="E44" s="248" t="n">
        <f aca="false">IF(ISNUMBER($E$4),0,MAX(0,INT('04_Annual_Calculations'!O$7/$C$4)-INT('04_Annual_Calculations'!N$7/$C$4)))</f>
        <v>0</v>
      </c>
      <c r="F44" s="248" t="n">
        <f aca="false">IF(ISNUMBER($E$5),0,MAX(0,INT('04_Annual_Calculations'!O$7/$C$5)-INT('04_Annual_Calculations'!N$7/$C$5)))</f>
        <v>0</v>
      </c>
      <c r="G44" s="248" t="n">
        <f aca="false">IF(ISNUMBER($E$6),0,MAX(0,INT('04_Annual_Calculations'!O$7/$C$6)-INT('04_Annual_Calculations'!N$7/$C$6)))</f>
        <v>0</v>
      </c>
      <c r="H44" s="248" t="n">
        <f aca="false">IF(ISNUMBER($E$7),0,MAX(0,INT('04_Annual_Calculations'!O$5/$C$7)-INT('04_Annual_Calculations'!N$5/$C$7)))</f>
        <v>0</v>
      </c>
      <c r="I44" s="248" t="n">
        <f aca="false">IF(ISNUMBER($E$8),0,MAX(0,INT('04_Annual_Calculations'!O$7/$C$8)-INT('04_Annual_Calculations'!N$7/$C$8)))</f>
        <v>0</v>
      </c>
      <c r="J44" s="248" t="n">
        <f aca="false">IF(ISNUMBER($E$9),0,MAX(0,INT('04_Annual_Calculations'!O$7/$C$9)-INT('04_Annual_Calculations'!N$7/$C$9)))</f>
        <v>0</v>
      </c>
      <c r="K44" s="248" t="n">
        <f aca="false">IF(ISNUMBER($E$10),0,MAX(0,INT('04_Annual_Calculations'!O$5/$C$10)-INT('04_Annual_Calculations'!N$5/$C$10)))</f>
        <v>0</v>
      </c>
      <c r="L44" s="248" t="n">
        <f aca="false">IF(ISNUMBER($E$11),0,MAX(0,INT('04_Annual_Calculations'!O$5/$C$11)-INT('04_Annual_Calculations'!N$5/$C$11)))</f>
        <v>0</v>
      </c>
      <c r="M44" s="248" t="n">
        <f aca="false">IF(ISNUMBER($E$12),0,MAX(0,INT('04_Annual_Calculations'!O$7/$C$12)-INT('04_Annual_Calculations'!N$7/$C$12)))</f>
        <v>0</v>
      </c>
      <c r="N44" s="248" t="n">
        <f aca="false">IF(ISNUMBER($E$13),0,MAX(0,INT('04_Annual_Calculations'!O$5/$C$13)-INT('04_Annual_Calculations'!N$5/$C$13)))</f>
        <v>0</v>
      </c>
    </row>
    <row r="45" customFormat="false" ht="15" hidden="false" customHeight="true" outlineLevel="0" collapsed="false">
      <c r="A45" s="161" t="s">
        <v>761</v>
      </c>
      <c r="B45" s="245" t="n">
        <f aca="false">(I45*$D$8+J45*$D$9+K45*$D$10+L45*$D$11+M45*$D$12+N45*$D$13)*((1+'00_Inputs_Dashboard'!$B$24)^(15-1))</f>
        <v>0</v>
      </c>
      <c r="C45" s="245" t="n">
        <f aca="false">(E45*$D$4+F45*$D$5+G45*$D$6+H45*$D$7)*((1+'00_Inputs_Dashboard'!$B$24)^(15-1))</f>
        <v>0</v>
      </c>
      <c r="D45" s="161"/>
      <c r="E45" s="248" t="n">
        <f aca="false">IF(ISNUMBER($E$4),0,MAX(0,INT('04_Annual_Calculations'!P$7/$C$4)-INT('04_Annual_Calculations'!O$7/$C$4)))</f>
        <v>0</v>
      </c>
      <c r="F45" s="248" t="n">
        <f aca="false">IF(ISNUMBER($E$5),0,MAX(0,INT('04_Annual_Calculations'!P$7/$C$5)-INT('04_Annual_Calculations'!O$7/$C$5)))</f>
        <v>0</v>
      </c>
      <c r="G45" s="248" t="n">
        <f aca="false">IF(ISNUMBER($E$6),0,MAX(0,INT('04_Annual_Calculations'!P$7/$C$6)-INT('04_Annual_Calculations'!O$7/$C$6)))</f>
        <v>0</v>
      </c>
      <c r="H45" s="248" t="n">
        <f aca="false">IF(ISNUMBER($E$7),0,MAX(0,INT('04_Annual_Calculations'!P$5/$C$7)-INT('04_Annual_Calculations'!O$5/$C$7)))</f>
        <v>0</v>
      </c>
      <c r="I45" s="248" t="n">
        <f aca="false">IF(ISNUMBER($E$8),0,MAX(0,INT('04_Annual_Calculations'!P$7/$C$8)-INT('04_Annual_Calculations'!O$7/$C$8)))</f>
        <v>0</v>
      </c>
      <c r="J45" s="248" t="n">
        <f aca="false">IF(ISNUMBER($E$9),0,MAX(0,INT('04_Annual_Calculations'!P$7/$C$9)-INT('04_Annual_Calculations'!O$7/$C$9)))</f>
        <v>0</v>
      </c>
      <c r="K45" s="248" t="n">
        <f aca="false">IF(ISNUMBER($E$10),0,MAX(0,INT('04_Annual_Calculations'!P$5/$C$10)-INT('04_Annual_Calculations'!O$5/$C$10)))</f>
        <v>0</v>
      </c>
      <c r="L45" s="248" t="n">
        <f aca="false">IF(ISNUMBER($E$11),0,MAX(0,INT('04_Annual_Calculations'!P$5/$C$11)-INT('04_Annual_Calculations'!O$5/$C$11)))</f>
        <v>0</v>
      </c>
      <c r="M45" s="248" t="n">
        <f aca="false">IF(ISNUMBER($E$12),0,MAX(0,INT('04_Annual_Calculations'!P$7/$C$12)-INT('04_Annual_Calculations'!O$7/$C$12)))</f>
        <v>0</v>
      </c>
      <c r="N45" s="248" t="n">
        <f aca="false">IF(ISNUMBER($E$13),0,MAX(0,INT('04_Annual_Calculations'!P$5/$C$13)-INT('04_Annual_Calculations'!O$5/$C$13)))</f>
        <v>0</v>
      </c>
    </row>
    <row r="46" customFormat="false" ht="15" hidden="false" customHeight="true" outlineLevel="0" collapsed="false">
      <c r="A46" s="161" t="s">
        <v>762</v>
      </c>
      <c r="B46" s="245" t="n">
        <f aca="false">(I46*$D$8+J46*$D$9+K46*$D$10+L46*$D$11+M46*$D$12+N46*$D$13)*((1+'00_Inputs_Dashboard'!$B$24)^(16-1))</f>
        <v>0</v>
      </c>
      <c r="C46" s="245" t="n">
        <f aca="false">(E46*$D$4+F46*$D$5+G46*$D$6+H46*$D$7)*((1+'00_Inputs_Dashboard'!$B$24)^(16-1))</f>
        <v>0</v>
      </c>
      <c r="D46" s="161"/>
      <c r="E46" s="248" t="n">
        <f aca="false">IF(ISNUMBER($E$4),0,MAX(0,INT('04_Annual_Calculations'!Q$7/$C$4)-INT('04_Annual_Calculations'!P$7/$C$4)))</f>
        <v>0</v>
      </c>
      <c r="F46" s="248" t="n">
        <f aca="false">IF(ISNUMBER($E$5),0,MAX(0,INT('04_Annual_Calculations'!Q$7/$C$5)-INT('04_Annual_Calculations'!P$7/$C$5)))</f>
        <v>0</v>
      </c>
      <c r="G46" s="248" t="n">
        <f aca="false">IF(ISNUMBER($E$6),0,MAX(0,INT('04_Annual_Calculations'!Q$7/$C$6)-INT('04_Annual_Calculations'!P$7/$C$6)))</f>
        <v>0</v>
      </c>
      <c r="H46" s="248" t="n">
        <f aca="false">IF(ISNUMBER($E$7),0,MAX(0,INT('04_Annual_Calculations'!Q$5/$C$7)-INT('04_Annual_Calculations'!P$5/$C$7)))</f>
        <v>0</v>
      </c>
      <c r="I46" s="248" t="n">
        <f aca="false">IF(ISNUMBER($E$8),0,MAX(0,INT('04_Annual_Calculations'!Q$7/$C$8)-INT('04_Annual_Calculations'!P$7/$C$8)))</f>
        <v>0</v>
      </c>
      <c r="J46" s="248" t="n">
        <f aca="false">IF(ISNUMBER($E$9),0,MAX(0,INT('04_Annual_Calculations'!Q$7/$C$9)-INT('04_Annual_Calculations'!P$7/$C$9)))</f>
        <v>0</v>
      </c>
      <c r="K46" s="248" t="n">
        <f aca="false">IF(ISNUMBER($E$10),0,MAX(0,INT('04_Annual_Calculations'!Q$5/$C$10)-INT('04_Annual_Calculations'!P$5/$C$10)))</f>
        <v>0</v>
      </c>
      <c r="L46" s="248" t="n">
        <f aca="false">IF(ISNUMBER($E$11),0,MAX(0,INT('04_Annual_Calculations'!Q$5/$C$11)-INT('04_Annual_Calculations'!P$5/$C$11)))</f>
        <v>0</v>
      </c>
      <c r="M46" s="248" t="n">
        <f aca="false">IF(ISNUMBER($E$12),0,MAX(0,INT('04_Annual_Calculations'!Q$7/$C$12)-INT('04_Annual_Calculations'!P$7/$C$12)))</f>
        <v>0</v>
      </c>
      <c r="N46" s="248" t="n">
        <f aca="false">IF(ISNUMBER($E$13),0,MAX(0,INT('04_Annual_Calculations'!Q$5/$C$13)-INT('04_Annual_Calculations'!P$5/$C$13)))</f>
        <v>0</v>
      </c>
    </row>
    <row r="47" customFormat="false" ht="15" hidden="false" customHeight="true" outlineLevel="0" collapsed="false">
      <c r="A47" s="161" t="s">
        <v>763</v>
      </c>
      <c r="B47" s="245" t="n">
        <f aca="false">(I47*$D$8+J47*$D$9+K47*$D$10+L47*$D$11+M47*$D$12+N47*$D$13)*((1+'00_Inputs_Dashboard'!$B$24)^(17-1))</f>
        <v>0</v>
      </c>
      <c r="C47" s="245" t="n">
        <f aca="false">(E47*$D$4+F47*$D$5+G47*$D$6+H47*$D$7)*((1+'00_Inputs_Dashboard'!$B$24)^(17-1))</f>
        <v>0</v>
      </c>
      <c r="D47" s="161"/>
      <c r="E47" s="248" t="n">
        <f aca="false">IF(ISNUMBER($E$4),0,MAX(0,INT('04_Annual_Calculations'!R$7/$C$4)-INT('04_Annual_Calculations'!Q$7/$C$4)))</f>
        <v>0</v>
      </c>
      <c r="F47" s="248" t="n">
        <f aca="false">IF(ISNUMBER($E$5),0,MAX(0,INT('04_Annual_Calculations'!R$7/$C$5)-INT('04_Annual_Calculations'!Q$7/$C$5)))</f>
        <v>0</v>
      </c>
      <c r="G47" s="248" t="n">
        <f aca="false">IF(ISNUMBER($E$6),0,MAX(0,INT('04_Annual_Calculations'!R$7/$C$6)-INT('04_Annual_Calculations'!Q$7/$C$6)))</f>
        <v>0</v>
      </c>
      <c r="H47" s="248" t="n">
        <f aca="false">IF(ISNUMBER($E$7),0,MAX(0,INT('04_Annual_Calculations'!R$5/$C$7)-INT('04_Annual_Calculations'!Q$5/$C$7)))</f>
        <v>0</v>
      </c>
      <c r="I47" s="248" t="n">
        <f aca="false">IF(ISNUMBER($E$8),0,MAX(0,INT('04_Annual_Calculations'!R$7/$C$8)-INT('04_Annual_Calculations'!Q$7/$C$8)))</f>
        <v>0</v>
      </c>
      <c r="J47" s="248" t="n">
        <f aca="false">IF(ISNUMBER($E$9),0,MAX(0,INT('04_Annual_Calculations'!R$7/$C$9)-INT('04_Annual_Calculations'!Q$7/$C$9)))</f>
        <v>0</v>
      </c>
      <c r="K47" s="248" t="n">
        <f aca="false">IF(ISNUMBER($E$10),0,MAX(0,INT('04_Annual_Calculations'!R$5/$C$10)-INT('04_Annual_Calculations'!Q$5/$C$10)))</f>
        <v>0</v>
      </c>
      <c r="L47" s="248" t="n">
        <f aca="false">IF(ISNUMBER($E$11),0,MAX(0,INT('04_Annual_Calculations'!R$5/$C$11)-INT('04_Annual_Calculations'!Q$5/$C$11)))</f>
        <v>0</v>
      </c>
      <c r="M47" s="248" t="n">
        <f aca="false">IF(ISNUMBER($E$12),0,MAX(0,INT('04_Annual_Calculations'!R$7/$C$12)-INT('04_Annual_Calculations'!Q$7/$C$12)))</f>
        <v>0</v>
      </c>
      <c r="N47" s="248" t="n">
        <f aca="false">IF(ISNUMBER($E$13),0,MAX(0,INT('04_Annual_Calculations'!R$5/$C$13)-INT('04_Annual_Calculations'!Q$5/$C$13)))</f>
        <v>0</v>
      </c>
    </row>
    <row r="48" customFormat="false" ht="15" hidden="false" customHeight="true" outlineLevel="0" collapsed="false">
      <c r="A48" s="161" t="s">
        <v>764</v>
      </c>
      <c r="B48" s="245" t="n">
        <f aca="false">(I48*$D$8+J48*$D$9+K48*$D$10+L48*$D$11+M48*$D$12+N48*$D$13)*((1+'00_Inputs_Dashboard'!$B$24)^(18-1))</f>
        <v>0</v>
      </c>
      <c r="C48" s="245" t="n">
        <f aca="false">(E48*$D$4+F48*$D$5+G48*$D$6+H48*$D$7)*((1+'00_Inputs_Dashboard'!$B$24)^(18-1))</f>
        <v>0</v>
      </c>
      <c r="D48" s="161"/>
      <c r="E48" s="248" t="n">
        <f aca="false">IF(ISNUMBER($E$4),0,MAX(0,INT('04_Annual_Calculations'!S$7/$C$4)-INT('04_Annual_Calculations'!R$7/$C$4)))</f>
        <v>0</v>
      </c>
      <c r="F48" s="248" t="n">
        <f aca="false">IF(ISNUMBER($E$5),0,MAX(0,INT('04_Annual_Calculations'!S$7/$C$5)-INT('04_Annual_Calculations'!R$7/$C$5)))</f>
        <v>0</v>
      </c>
      <c r="G48" s="248" t="n">
        <f aca="false">IF(ISNUMBER($E$6),0,MAX(0,INT('04_Annual_Calculations'!S$7/$C$6)-INT('04_Annual_Calculations'!R$7/$C$6)))</f>
        <v>0</v>
      </c>
      <c r="H48" s="248" t="n">
        <f aca="false">IF(ISNUMBER($E$7),0,MAX(0,INT('04_Annual_Calculations'!S$5/$C$7)-INT('04_Annual_Calculations'!R$5/$C$7)))</f>
        <v>0</v>
      </c>
      <c r="I48" s="248" t="n">
        <f aca="false">IF(ISNUMBER($E$8),0,MAX(0,INT('04_Annual_Calculations'!S$7/$C$8)-INT('04_Annual_Calculations'!R$7/$C$8)))</f>
        <v>0</v>
      </c>
      <c r="J48" s="248" t="n">
        <f aca="false">IF(ISNUMBER($E$9),0,MAX(0,INT('04_Annual_Calculations'!S$7/$C$9)-INT('04_Annual_Calculations'!R$7/$C$9)))</f>
        <v>0</v>
      </c>
      <c r="K48" s="248" t="n">
        <f aca="false">IF(ISNUMBER($E$10),0,MAX(0,INT('04_Annual_Calculations'!S$5/$C$10)-INT('04_Annual_Calculations'!R$5/$C$10)))</f>
        <v>0</v>
      </c>
      <c r="L48" s="248" t="n">
        <f aca="false">IF(ISNUMBER($E$11),0,MAX(0,INT('04_Annual_Calculations'!S$5/$C$11)-INT('04_Annual_Calculations'!R$5/$C$11)))</f>
        <v>0</v>
      </c>
      <c r="M48" s="248" t="n">
        <f aca="false">IF(ISNUMBER($E$12),0,MAX(0,INT('04_Annual_Calculations'!S$7/$C$12)-INT('04_Annual_Calculations'!R$7/$C$12)))</f>
        <v>0</v>
      </c>
      <c r="N48" s="248" t="n">
        <f aca="false">IF(ISNUMBER($E$13),0,MAX(0,INT('04_Annual_Calculations'!S$5/$C$13)-INT('04_Annual_Calculations'!R$5/$C$13)))</f>
        <v>0</v>
      </c>
    </row>
    <row r="49" customFormat="false" ht="15" hidden="false" customHeight="true" outlineLevel="0" collapsed="false">
      <c r="A49" s="161" t="s">
        <v>765</v>
      </c>
      <c r="B49" s="245" t="n">
        <f aca="false">(I49*$D$8+J49*$D$9+K49*$D$10+L49*$D$11+M49*$D$12+N49*$D$13)*((1+'00_Inputs_Dashboard'!$B$24)^(19-1))</f>
        <v>0</v>
      </c>
      <c r="C49" s="245" t="n">
        <f aca="false">(E49*$D$4+F49*$D$5+G49*$D$6+H49*$D$7)*((1+'00_Inputs_Dashboard'!$B$24)^(19-1))</f>
        <v>0</v>
      </c>
      <c r="D49" s="161"/>
      <c r="E49" s="248" t="n">
        <f aca="false">IF(ISNUMBER($E$4),0,MAX(0,INT('04_Annual_Calculations'!T$7/$C$4)-INT('04_Annual_Calculations'!S$7/$C$4)))</f>
        <v>0</v>
      </c>
      <c r="F49" s="248" t="n">
        <f aca="false">IF(ISNUMBER($E$5),0,MAX(0,INT('04_Annual_Calculations'!T$7/$C$5)-INT('04_Annual_Calculations'!S$7/$C$5)))</f>
        <v>0</v>
      </c>
      <c r="G49" s="248" t="n">
        <f aca="false">IF(ISNUMBER($E$6),0,MAX(0,INT('04_Annual_Calculations'!T$7/$C$6)-INT('04_Annual_Calculations'!S$7/$C$6)))</f>
        <v>0</v>
      </c>
      <c r="H49" s="248" t="n">
        <f aca="false">IF(ISNUMBER($E$7),0,MAX(0,INT('04_Annual_Calculations'!T$5/$C$7)-INT('04_Annual_Calculations'!S$5/$C$7)))</f>
        <v>0</v>
      </c>
      <c r="I49" s="248" t="n">
        <f aca="false">IF(ISNUMBER($E$8),0,MAX(0,INT('04_Annual_Calculations'!T$7/$C$8)-INT('04_Annual_Calculations'!S$7/$C$8)))</f>
        <v>0</v>
      </c>
      <c r="J49" s="248" t="n">
        <f aca="false">IF(ISNUMBER($E$9),0,MAX(0,INT('04_Annual_Calculations'!T$7/$C$9)-INT('04_Annual_Calculations'!S$7/$C$9)))</f>
        <v>0</v>
      </c>
      <c r="K49" s="248" t="n">
        <f aca="false">IF(ISNUMBER($E$10),0,MAX(0,INT('04_Annual_Calculations'!T$5/$C$10)-INT('04_Annual_Calculations'!S$5/$C$10)))</f>
        <v>0</v>
      </c>
      <c r="L49" s="248" t="n">
        <f aca="false">IF(ISNUMBER($E$11),0,MAX(0,INT('04_Annual_Calculations'!T$5/$C$11)-INT('04_Annual_Calculations'!S$5/$C$11)))</f>
        <v>0</v>
      </c>
      <c r="M49" s="248" t="n">
        <f aca="false">IF(ISNUMBER($E$12),0,MAX(0,INT('04_Annual_Calculations'!T$7/$C$12)-INT('04_Annual_Calculations'!S$7/$C$12)))</f>
        <v>0</v>
      </c>
      <c r="N49" s="248" t="n">
        <f aca="false">IF(ISNUMBER($E$13),0,MAX(0,INT('04_Annual_Calculations'!T$5/$C$13)-INT('04_Annual_Calculations'!S$5/$C$13)))</f>
        <v>0</v>
      </c>
    </row>
    <row r="50" customFormat="false" ht="15" hidden="false" customHeight="true" outlineLevel="0" collapsed="false">
      <c r="A50" s="161" t="s">
        <v>766</v>
      </c>
      <c r="B50" s="245" t="n">
        <f aca="false">(I50*$D$8+J50*$D$9+K50*$D$10+L50*$D$11+M50*$D$12+N50*$D$13)*((1+'00_Inputs_Dashboard'!$B$24)^(20-1))</f>
        <v>0</v>
      </c>
      <c r="C50" s="245" t="n">
        <f aca="false">(E50*$D$4+F50*$D$5+G50*$D$6+H50*$D$7)*((1+'00_Inputs_Dashboard'!$B$24)^(20-1))</f>
        <v>0</v>
      </c>
      <c r="D50" s="161"/>
      <c r="E50" s="248" t="n">
        <f aca="false">IF(ISNUMBER($E$4),0,MAX(0,INT('04_Annual_Calculations'!U$7/$C$4)-INT('04_Annual_Calculations'!T$7/$C$4)))</f>
        <v>0</v>
      </c>
      <c r="F50" s="248" t="n">
        <f aca="false">IF(ISNUMBER($E$5),0,MAX(0,INT('04_Annual_Calculations'!U$7/$C$5)-INT('04_Annual_Calculations'!T$7/$C$5)))</f>
        <v>0</v>
      </c>
      <c r="G50" s="248" t="n">
        <f aca="false">IF(ISNUMBER($E$6),0,MAX(0,INT('04_Annual_Calculations'!U$7/$C$6)-INT('04_Annual_Calculations'!T$7/$C$6)))</f>
        <v>0</v>
      </c>
      <c r="H50" s="248" t="n">
        <f aca="false">IF(ISNUMBER($E$7),0,MAX(0,INT('04_Annual_Calculations'!U$5/$C$7)-INT('04_Annual_Calculations'!T$5/$C$7)))</f>
        <v>0</v>
      </c>
      <c r="I50" s="248" t="n">
        <f aca="false">IF(ISNUMBER($E$8),0,MAX(0,INT('04_Annual_Calculations'!U$7/$C$8)-INT('04_Annual_Calculations'!T$7/$C$8)))</f>
        <v>0</v>
      </c>
      <c r="J50" s="248" t="n">
        <f aca="false">IF(ISNUMBER($E$9),0,MAX(0,INT('04_Annual_Calculations'!U$7/$C$9)-INT('04_Annual_Calculations'!T$7/$C$9)))</f>
        <v>0</v>
      </c>
      <c r="K50" s="248" t="n">
        <f aca="false">IF(ISNUMBER($E$10),0,MAX(0,INT('04_Annual_Calculations'!U$5/$C$10)-INT('04_Annual_Calculations'!T$5/$C$10)))</f>
        <v>0</v>
      </c>
      <c r="L50" s="248" t="n">
        <f aca="false">IF(ISNUMBER($E$11),0,MAX(0,INT('04_Annual_Calculations'!U$5/$C$11)-INT('04_Annual_Calculations'!T$5/$C$11)))</f>
        <v>0</v>
      </c>
      <c r="M50" s="248" t="n">
        <f aca="false">IF(ISNUMBER($E$12),0,MAX(0,INT('04_Annual_Calculations'!U$7/$C$12)-INT('04_Annual_Calculations'!T$7/$C$12)))</f>
        <v>0</v>
      </c>
      <c r="N50" s="248" t="n">
        <f aca="false">IF(ISNUMBER($E$13),0,MAX(0,INT('04_Annual_Calculations'!U$5/$C$13)-INT('04_Annual_Calculations'!T$5/$C$13)))</f>
        <v>0</v>
      </c>
    </row>
    <row r="51" customFormat="false" ht="15" hidden="false" customHeight="true" outlineLevel="0" collapsed="false">
      <c r="A51" s="161" t="s">
        <v>767</v>
      </c>
      <c r="B51" s="245" t="n">
        <f aca="false">(I51*$D$8+J51*$D$9+K51*$D$10+L51*$D$11+M51*$D$12+N51*$D$13)*((1+'00_Inputs_Dashboard'!$B$24)^(21-1))</f>
        <v>0</v>
      </c>
      <c r="C51" s="245" t="n">
        <f aca="false">(E51*$D$4+F51*$D$5+G51*$D$6+H51*$D$7)*((1+'00_Inputs_Dashboard'!$B$24)^(21-1))</f>
        <v>0</v>
      </c>
      <c r="D51" s="161"/>
      <c r="E51" s="248" t="n">
        <f aca="false">IF(ISNUMBER($E$4),0,MAX(0,INT('04_Annual_Calculations'!V$7/$C$4)-INT('04_Annual_Calculations'!U$7/$C$4)))</f>
        <v>0</v>
      </c>
      <c r="F51" s="248" t="n">
        <f aca="false">IF(ISNUMBER($E$5),0,MAX(0,INT('04_Annual_Calculations'!V$7/$C$5)-INT('04_Annual_Calculations'!U$7/$C$5)))</f>
        <v>0</v>
      </c>
      <c r="G51" s="248" t="n">
        <f aca="false">IF(ISNUMBER($E$6),0,MAX(0,INT('04_Annual_Calculations'!V$7/$C$6)-INT('04_Annual_Calculations'!U$7/$C$6)))</f>
        <v>0</v>
      </c>
      <c r="H51" s="248" t="n">
        <f aca="false">IF(ISNUMBER($E$7),0,MAX(0,INT('04_Annual_Calculations'!V$5/$C$7)-INT('04_Annual_Calculations'!U$5/$C$7)))</f>
        <v>0</v>
      </c>
      <c r="I51" s="248" t="n">
        <f aca="false">IF(ISNUMBER($E$8),0,MAX(0,INT('04_Annual_Calculations'!V$7/$C$8)-INT('04_Annual_Calculations'!U$7/$C$8)))</f>
        <v>0</v>
      </c>
      <c r="J51" s="248" t="n">
        <f aca="false">IF(ISNUMBER($E$9),0,MAX(0,INT('04_Annual_Calculations'!V$7/$C$9)-INT('04_Annual_Calculations'!U$7/$C$9)))</f>
        <v>0</v>
      </c>
      <c r="K51" s="248" t="n">
        <f aca="false">IF(ISNUMBER($E$10),0,MAX(0,INT('04_Annual_Calculations'!V$5/$C$10)-INT('04_Annual_Calculations'!U$5/$C$10)))</f>
        <v>0</v>
      </c>
      <c r="L51" s="248" t="n">
        <f aca="false">IF(ISNUMBER($E$11),0,MAX(0,INT('04_Annual_Calculations'!V$5/$C$11)-INT('04_Annual_Calculations'!U$5/$C$11)))</f>
        <v>0</v>
      </c>
      <c r="M51" s="248" t="n">
        <f aca="false">IF(ISNUMBER($E$12),0,MAX(0,INT('04_Annual_Calculations'!V$7/$C$12)-INT('04_Annual_Calculations'!U$7/$C$12)))</f>
        <v>0</v>
      </c>
      <c r="N51" s="248" t="n">
        <f aca="false">IF(ISNUMBER($E$13),0,MAX(0,INT('04_Annual_Calculations'!V$5/$C$13)-INT('04_Annual_Calculations'!U$5/$C$13)))</f>
        <v>0</v>
      </c>
    </row>
    <row r="52" customFormat="false" ht="15" hidden="false" customHeight="true" outlineLevel="0" collapsed="false">
      <c r="A52" s="161" t="s">
        <v>768</v>
      </c>
      <c r="B52" s="245" t="n">
        <f aca="false">(I52*$D$8+J52*$D$9+K52*$D$10+L52*$D$11+M52*$D$12+N52*$D$13)*((1+'00_Inputs_Dashboard'!$B$24)^(22-1))</f>
        <v>0</v>
      </c>
      <c r="C52" s="245" t="n">
        <f aca="false">(E52*$D$4+F52*$D$5+G52*$D$6+H52*$D$7)*((1+'00_Inputs_Dashboard'!$B$24)^(22-1))</f>
        <v>0</v>
      </c>
      <c r="D52" s="161"/>
      <c r="E52" s="248" t="n">
        <f aca="false">IF(ISNUMBER($E$4),0,MAX(0,INT('04_Annual_Calculations'!W$7/$C$4)-INT('04_Annual_Calculations'!V$7/$C$4)))</f>
        <v>0</v>
      </c>
      <c r="F52" s="248" t="n">
        <f aca="false">IF(ISNUMBER($E$5),0,MAX(0,INT('04_Annual_Calculations'!W$7/$C$5)-INT('04_Annual_Calculations'!V$7/$C$5)))</f>
        <v>0</v>
      </c>
      <c r="G52" s="248" t="n">
        <f aca="false">IF(ISNUMBER($E$6),0,MAX(0,INT('04_Annual_Calculations'!W$7/$C$6)-INT('04_Annual_Calculations'!V$7/$C$6)))</f>
        <v>0</v>
      </c>
      <c r="H52" s="248" t="n">
        <f aca="false">IF(ISNUMBER($E$7),0,MAX(0,INT('04_Annual_Calculations'!W$5/$C$7)-INT('04_Annual_Calculations'!V$5/$C$7)))</f>
        <v>0</v>
      </c>
      <c r="I52" s="248" t="n">
        <f aca="false">IF(ISNUMBER($E$8),0,MAX(0,INT('04_Annual_Calculations'!W$7/$C$8)-INT('04_Annual_Calculations'!V$7/$C$8)))</f>
        <v>0</v>
      </c>
      <c r="J52" s="248" t="n">
        <f aca="false">IF(ISNUMBER($E$9),0,MAX(0,INT('04_Annual_Calculations'!W$7/$C$9)-INT('04_Annual_Calculations'!V$7/$C$9)))</f>
        <v>0</v>
      </c>
      <c r="K52" s="248" t="n">
        <f aca="false">IF(ISNUMBER($E$10),0,MAX(0,INT('04_Annual_Calculations'!W$5/$C$10)-INT('04_Annual_Calculations'!V$5/$C$10)))</f>
        <v>0</v>
      </c>
      <c r="L52" s="248" t="n">
        <f aca="false">IF(ISNUMBER($E$11),0,MAX(0,INT('04_Annual_Calculations'!W$5/$C$11)-INT('04_Annual_Calculations'!V$5/$C$11)))</f>
        <v>0</v>
      </c>
      <c r="M52" s="248" t="n">
        <f aca="false">IF(ISNUMBER($E$12),0,MAX(0,INT('04_Annual_Calculations'!W$7/$C$12)-INT('04_Annual_Calculations'!V$7/$C$12)))</f>
        <v>0</v>
      </c>
      <c r="N52" s="248" t="n">
        <f aca="false">IF(ISNUMBER($E$13),0,MAX(0,INT('04_Annual_Calculations'!W$5/$C$13)-INT('04_Annual_Calculations'!V$5/$C$13)))</f>
        <v>0</v>
      </c>
    </row>
    <row r="53" customFormat="false" ht="15" hidden="false" customHeight="true" outlineLevel="0" collapsed="false">
      <c r="A53" s="161" t="s">
        <v>769</v>
      </c>
      <c r="B53" s="245" t="n">
        <f aca="false">(I53*$D$8+J53*$D$9+K53*$D$10+L53*$D$11+M53*$D$12+N53*$D$13)*((1+'00_Inputs_Dashboard'!$B$24)^(23-1))</f>
        <v>0</v>
      </c>
      <c r="C53" s="245" t="n">
        <f aca="false">(E53*$D$4+F53*$D$5+G53*$D$6+H53*$D$7)*((1+'00_Inputs_Dashboard'!$B$24)^(23-1))</f>
        <v>0</v>
      </c>
      <c r="D53" s="161"/>
      <c r="E53" s="248" t="n">
        <f aca="false">IF(ISNUMBER($E$4),0,MAX(0,INT('04_Annual_Calculations'!X$7/$C$4)-INT('04_Annual_Calculations'!W$7/$C$4)))</f>
        <v>0</v>
      </c>
      <c r="F53" s="248" t="n">
        <f aca="false">IF(ISNUMBER($E$5),0,MAX(0,INT('04_Annual_Calculations'!X$7/$C$5)-INT('04_Annual_Calculations'!W$7/$C$5)))</f>
        <v>0</v>
      </c>
      <c r="G53" s="248" t="n">
        <f aca="false">IF(ISNUMBER($E$6),0,MAX(0,INT('04_Annual_Calculations'!X$7/$C$6)-INT('04_Annual_Calculations'!W$7/$C$6)))</f>
        <v>0</v>
      </c>
      <c r="H53" s="248" t="n">
        <f aca="false">IF(ISNUMBER($E$7),0,MAX(0,INT('04_Annual_Calculations'!X$5/$C$7)-INT('04_Annual_Calculations'!W$5/$C$7)))</f>
        <v>0</v>
      </c>
      <c r="I53" s="248" t="n">
        <f aca="false">IF(ISNUMBER($E$8),0,MAX(0,INT('04_Annual_Calculations'!X$7/$C$8)-INT('04_Annual_Calculations'!W$7/$C$8)))</f>
        <v>0</v>
      </c>
      <c r="J53" s="248" t="n">
        <f aca="false">IF(ISNUMBER($E$9),0,MAX(0,INT('04_Annual_Calculations'!X$7/$C$9)-INT('04_Annual_Calculations'!W$7/$C$9)))</f>
        <v>0</v>
      </c>
      <c r="K53" s="248" t="n">
        <f aca="false">IF(ISNUMBER($E$10),0,MAX(0,INT('04_Annual_Calculations'!X$5/$C$10)-INT('04_Annual_Calculations'!W$5/$C$10)))</f>
        <v>0</v>
      </c>
      <c r="L53" s="248" t="n">
        <f aca="false">IF(ISNUMBER($E$11),0,MAX(0,INT('04_Annual_Calculations'!X$5/$C$11)-INT('04_Annual_Calculations'!W$5/$C$11)))</f>
        <v>0</v>
      </c>
      <c r="M53" s="248" t="n">
        <f aca="false">IF(ISNUMBER($E$12),0,MAX(0,INT('04_Annual_Calculations'!X$7/$C$12)-INT('04_Annual_Calculations'!W$7/$C$12)))</f>
        <v>0</v>
      </c>
      <c r="N53" s="248" t="n">
        <f aca="false">IF(ISNUMBER($E$13),0,MAX(0,INT('04_Annual_Calculations'!X$5/$C$13)-INT('04_Annual_Calculations'!W$5/$C$13)))</f>
        <v>0</v>
      </c>
    </row>
    <row r="54" customFormat="false" ht="15" hidden="false" customHeight="true" outlineLevel="0" collapsed="false">
      <c r="A54" s="161" t="s">
        <v>770</v>
      </c>
      <c r="B54" s="245" t="n">
        <f aca="false">(I54*$D$8+J54*$D$9+K54*$D$10+L54*$D$11+M54*$D$12+N54*$D$13)*((1+'00_Inputs_Dashboard'!$B$24)^(24-1))</f>
        <v>0</v>
      </c>
      <c r="C54" s="245" t="n">
        <f aca="false">(E54*$D$4+F54*$D$5+G54*$D$6+H54*$D$7)*((1+'00_Inputs_Dashboard'!$B$24)^(24-1))</f>
        <v>0</v>
      </c>
      <c r="D54" s="161"/>
      <c r="E54" s="248" t="n">
        <f aca="false">IF(ISNUMBER($E$4),0,MAX(0,INT('04_Annual_Calculations'!Y$7/$C$4)-INT('04_Annual_Calculations'!X$7/$C$4)))</f>
        <v>0</v>
      </c>
      <c r="F54" s="248" t="n">
        <f aca="false">IF(ISNUMBER($E$5),0,MAX(0,INT('04_Annual_Calculations'!Y$7/$C$5)-INT('04_Annual_Calculations'!X$7/$C$5)))</f>
        <v>0</v>
      </c>
      <c r="G54" s="248" t="n">
        <f aca="false">IF(ISNUMBER($E$6),0,MAX(0,INT('04_Annual_Calculations'!Y$7/$C$6)-INT('04_Annual_Calculations'!X$7/$C$6)))</f>
        <v>0</v>
      </c>
      <c r="H54" s="248" t="n">
        <f aca="false">IF(ISNUMBER($E$7),0,MAX(0,INT('04_Annual_Calculations'!Y$5/$C$7)-INT('04_Annual_Calculations'!X$5/$C$7)))</f>
        <v>0</v>
      </c>
      <c r="I54" s="248" t="n">
        <f aca="false">IF(ISNUMBER($E$8),0,MAX(0,INT('04_Annual_Calculations'!Y$7/$C$8)-INT('04_Annual_Calculations'!X$7/$C$8)))</f>
        <v>0</v>
      </c>
      <c r="J54" s="248" t="n">
        <f aca="false">IF(ISNUMBER($E$9),0,MAX(0,INT('04_Annual_Calculations'!Y$7/$C$9)-INT('04_Annual_Calculations'!X$7/$C$9)))</f>
        <v>0</v>
      </c>
      <c r="K54" s="248" t="n">
        <f aca="false">IF(ISNUMBER($E$10),0,MAX(0,INT('04_Annual_Calculations'!Y$5/$C$10)-INT('04_Annual_Calculations'!X$5/$C$10)))</f>
        <v>0</v>
      </c>
      <c r="L54" s="248" t="n">
        <f aca="false">IF(ISNUMBER($E$11),0,MAX(0,INT('04_Annual_Calculations'!Y$5/$C$11)-INT('04_Annual_Calculations'!X$5/$C$11)))</f>
        <v>0</v>
      </c>
      <c r="M54" s="248" t="n">
        <f aca="false">IF(ISNUMBER($E$12),0,MAX(0,INT('04_Annual_Calculations'!Y$7/$C$12)-INT('04_Annual_Calculations'!X$7/$C$12)))</f>
        <v>0</v>
      </c>
      <c r="N54" s="248" t="n">
        <f aca="false">IF(ISNUMBER($E$13),0,MAX(0,INT('04_Annual_Calculations'!Y$5/$C$13)-INT('04_Annual_Calculations'!X$5/$C$13)))</f>
        <v>0</v>
      </c>
    </row>
    <row r="55" customFormat="false" ht="15" hidden="false" customHeight="true" outlineLevel="0" collapsed="false">
      <c r="A55" s="161" t="s">
        <v>771</v>
      </c>
      <c r="B55" s="245" t="n">
        <f aca="false">(I55*$D$8+J55*$D$9+K55*$D$10+L55*$D$11+M55*$D$12+N55*$D$13)*((1+'00_Inputs_Dashboard'!$B$24)^(25-1))</f>
        <v>0</v>
      </c>
      <c r="C55" s="245" t="n">
        <f aca="false">(E55*$D$4+F55*$D$5+G55*$D$6+H55*$D$7)*((1+'00_Inputs_Dashboard'!$B$24)^(25-1))</f>
        <v>0</v>
      </c>
      <c r="D55" s="161"/>
      <c r="E55" s="248" t="n">
        <f aca="false">IF(ISNUMBER($E$4),0,MAX(0,INT('04_Annual_Calculations'!Z$7/$C$4)-INT('04_Annual_Calculations'!Y$7/$C$4)))</f>
        <v>0</v>
      </c>
      <c r="F55" s="248" t="n">
        <f aca="false">IF(ISNUMBER($E$5),0,MAX(0,INT('04_Annual_Calculations'!Z$7/$C$5)-INT('04_Annual_Calculations'!Y$7/$C$5)))</f>
        <v>0</v>
      </c>
      <c r="G55" s="248" t="n">
        <f aca="false">IF(ISNUMBER($E$6),0,MAX(0,INT('04_Annual_Calculations'!Z$7/$C$6)-INT('04_Annual_Calculations'!Y$7/$C$6)))</f>
        <v>0</v>
      </c>
      <c r="H55" s="248" t="n">
        <f aca="false">IF(ISNUMBER($E$7),0,MAX(0,INT('04_Annual_Calculations'!Z$5/$C$7)-INT('04_Annual_Calculations'!Y$5/$C$7)))</f>
        <v>0</v>
      </c>
      <c r="I55" s="248" t="n">
        <f aca="false">IF(ISNUMBER($E$8),0,MAX(0,INT('04_Annual_Calculations'!Z$7/$C$8)-INT('04_Annual_Calculations'!Y$7/$C$8)))</f>
        <v>0</v>
      </c>
      <c r="J55" s="248" t="n">
        <f aca="false">IF(ISNUMBER($E$9),0,MAX(0,INT('04_Annual_Calculations'!Z$7/$C$9)-INT('04_Annual_Calculations'!Y$7/$C$9)))</f>
        <v>0</v>
      </c>
      <c r="K55" s="248" t="n">
        <f aca="false">IF(ISNUMBER($E$10),0,MAX(0,INT('04_Annual_Calculations'!Z$5/$C$10)-INT('04_Annual_Calculations'!Y$5/$C$10)))</f>
        <v>0</v>
      </c>
      <c r="L55" s="248" t="n">
        <f aca="false">IF(ISNUMBER($E$11),0,MAX(0,INT('04_Annual_Calculations'!Z$5/$C$11)-INT('04_Annual_Calculations'!Y$5/$C$11)))</f>
        <v>0</v>
      </c>
      <c r="M55" s="248" t="n">
        <f aca="false">IF(ISNUMBER($E$12),0,MAX(0,INT('04_Annual_Calculations'!Z$7/$C$12)-INT('04_Annual_Calculations'!Y$7/$C$12)))</f>
        <v>0</v>
      </c>
      <c r="N55" s="248" t="n">
        <f aca="false">IF(ISNUMBER($E$13),0,MAX(0,INT('04_Annual_Calculations'!Z$5/$C$13)-INT('04_Annual_Calculations'!Y$5/$C$13)))</f>
        <v>0</v>
      </c>
    </row>
    <row r="56" customFormat="false" ht="15" hidden="false" customHeight="true" outlineLevel="0" collapsed="false">
      <c r="A56" s="161" t="s">
        <v>772</v>
      </c>
      <c r="B56" s="245" t="n">
        <f aca="false">(I56*$D$8+J56*$D$9+K56*$D$10+L56*$D$11+M56*$D$12+N56*$D$13)*((1+'00_Inputs_Dashboard'!$B$24)^(26-1))</f>
        <v>0</v>
      </c>
      <c r="C56" s="245" t="n">
        <f aca="false">(E56*$D$4+F56*$D$5+G56*$D$6+H56*$D$7)*((1+'00_Inputs_Dashboard'!$B$24)^(26-1))</f>
        <v>0</v>
      </c>
      <c r="D56" s="161"/>
      <c r="E56" s="248" t="n">
        <f aca="false">IF(ISNUMBER($E$4),0,MAX(0,INT('04_Annual_Calculations'!AA$7/$C$4)-INT('04_Annual_Calculations'!Z$7/$C$4)))</f>
        <v>0</v>
      </c>
      <c r="F56" s="248" t="n">
        <f aca="false">IF(ISNUMBER($E$5),0,MAX(0,INT('04_Annual_Calculations'!AA$7/$C$5)-INT('04_Annual_Calculations'!Z$7/$C$5)))</f>
        <v>0</v>
      </c>
      <c r="G56" s="248" t="n">
        <f aca="false">IF(ISNUMBER($E$6),0,MAX(0,INT('04_Annual_Calculations'!AA$7/$C$6)-INT('04_Annual_Calculations'!Z$7/$C$6)))</f>
        <v>0</v>
      </c>
      <c r="H56" s="248" t="n">
        <f aca="false">IF(ISNUMBER($E$7),0,MAX(0,INT('04_Annual_Calculations'!AA$5/$C$7)-INT('04_Annual_Calculations'!Z$5/$C$7)))</f>
        <v>0</v>
      </c>
      <c r="I56" s="248" t="n">
        <f aca="false">IF(ISNUMBER($E$8),0,MAX(0,INT('04_Annual_Calculations'!AA$7/$C$8)-INT('04_Annual_Calculations'!Z$7/$C$8)))</f>
        <v>0</v>
      </c>
      <c r="J56" s="248" t="n">
        <f aca="false">IF(ISNUMBER($E$9),0,MAX(0,INT('04_Annual_Calculations'!AA$7/$C$9)-INT('04_Annual_Calculations'!Z$7/$C$9)))</f>
        <v>0</v>
      </c>
      <c r="K56" s="248" t="n">
        <f aca="false">IF(ISNUMBER($E$10),0,MAX(0,INT('04_Annual_Calculations'!AA$5/$C$10)-INT('04_Annual_Calculations'!Z$5/$C$10)))</f>
        <v>0</v>
      </c>
      <c r="L56" s="248" t="n">
        <f aca="false">IF(ISNUMBER($E$11),0,MAX(0,INT('04_Annual_Calculations'!AA$5/$C$11)-INT('04_Annual_Calculations'!Z$5/$C$11)))</f>
        <v>0</v>
      </c>
      <c r="M56" s="248" t="n">
        <f aca="false">IF(ISNUMBER($E$12),0,MAX(0,INT('04_Annual_Calculations'!AA$7/$C$12)-INT('04_Annual_Calculations'!Z$7/$C$12)))</f>
        <v>0</v>
      </c>
      <c r="N56" s="248" t="n">
        <f aca="false">IF(ISNUMBER($E$13),0,MAX(0,INT('04_Annual_Calculations'!AA$5/$C$13)-INT('04_Annual_Calculations'!Z$5/$C$13)))</f>
        <v>0</v>
      </c>
    </row>
    <row r="57" customFormat="false" ht="15" hidden="false" customHeight="true" outlineLevel="0" collapsed="false">
      <c r="A57" s="161" t="s">
        <v>773</v>
      </c>
      <c r="B57" s="245" t="n">
        <f aca="false">(I57*$D$8+J57*$D$9+K57*$D$10+L57*$D$11+M57*$D$12+N57*$D$13)*((1+'00_Inputs_Dashboard'!$B$24)^(27-1))</f>
        <v>0</v>
      </c>
      <c r="C57" s="245" t="n">
        <f aca="false">(E57*$D$4+F57*$D$5+G57*$D$6+H57*$D$7)*((1+'00_Inputs_Dashboard'!$B$24)^(27-1))</f>
        <v>0</v>
      </c>
      <c r="D57" s="161"/>
      <c r="E57" s="248" t="n">
        <f aca="false">IF(ISNUMBER($E$4),0,MAX(0,INT('04_Annual_Calculations'!AB$7/$C$4)-INT('04_Annual_Calculations'!AA$7/$C$4)))</f>
        <v>0</v>
      </c>
      <c r="F57" s="248" t="n">
        <f aca="false">IF(ISNUMBER($E$5),0,MAX(0,INT('04_Annual_Calculations'!AB$7/$C$5)-INT('04_Annual_Calculations'!AA$7/$C$5)))</f>
        <v>0</v>
      </c>
      <c r="G57" s="248" t="n">
        <f aca="false">IF(ISNUMBER($E$6),0,MAX(0,INT('04_Annual_Calculations'!AB$7/$C$6)-INT('04_Annual_Calculations'!AA$7/$C$6)))</f>
        <v>0</v>
      </c>
      <c r="H57" s="248" t="n">
        <f aca="false">IF(ISNUMBER($E$7),0,MAX(0,INT('04_Annual_Calculations'!AB$5/$C$7)-INT('04_Annual_Calculations'!AA$5/$C$7)))</f>
        <v>0</v>
      </c>
      <c r="I57" s="248" t="n">
        <f aca="false">IF(ISNUMBER($E$8),0,MAX(0,INT('04_Annual_Calculations'!AB$7/$C$8)-INT('04_Annual_Calculations'!AA$7/$C$8)))</f>
        <v>0</v>
      </c>
      <c r="J57" s="248" t="n">
        <f aca="false">IF(ISNUMBER($E$9),0,MAX(0,INT('04_Annual_Calculations'!AB$7/$C$9)-INT('04_Annual_Calculations'!AA$7/$C$9)))</f>
        <v>0</v>
      </c>
      <c r="K57" s="248" t="n">
        <f aca="false">IF(ISNUMBER($E$10),0,MAX(0,INT('04_Annual_Calculations'!AB$5/$C$10)-INT('04_Annual_Calculations'!AA$5/$C$10)))</f>
        <v>0</v>
      </c>
      <c r="L57" s="248" t="n">
        <f aca="false">IF(ISNUMBER($E$11),0,MAX(0,INT('04_Annual_Calculations'!AB$5/$C$11)-INT('04_Annual_Calculations'!AA$5/$C$11)))</f>
        <v>0</v>
      </c>
      <c r="M57" s="248" t="n">
        <f aca="false">IF(ISNUMBER($E$12),0,MAX(0,INT('04_Annual_Calculations'!AB$7/$C$12)-INT('04_Annual_Calculations'!AA$7/$C$12)))</f>
        <v>0</v>
      </c>
      <c r="N57" s="248" t="n">
        <f aca="false">IF(ISNUMBER($E$13),0,MAX(0,INT('04_Annual_Calculations'!AB$5/$C$13)-INT('04_Annual_Calculations'!AA$5/$C$13)))</f>
        <v>0</v>
      </c>
    </row>
    <row r="58" customFormat="false" ht="15" hidden="false" customHeight="true" outlineLevel="0" collapsed="false">
      <c r="A58" s="161" t="s">
        <v>774</v>
      </c>
      <c r="B58" s="245" t="n">
        <f aca="false">(I58*$D$8+J58*$D$9+K58*$D$10+L58*$D$11+M58*$D$12+N58*$D$13)*((1+'00_Inputs_Dashboard'!$B$24)^(28-1))</f>
        <v>0</v>
      </c>
      <c r="C58" s="245" t="n">
        <f aca="false">(E58*$D$4+F58*$D$5+G58*$D$6+H58*$D$7)*((1+'00_Inputs_Dashboard'!$B$24)^(28-1))</f>
        <v>0</v>
      </c>
      <c r="D58" s="161"/>
      <c r="E58" s="248" t="n">
        <f aca="false">IF(ISNUMBER($E$4),0,MAX(0,INT('04_Annual_Calculations'!AC$7/$C$4)-INT('04_Annual_Calculations'!AB$7/$C$4)))</f>
        <v>0</v>
      </c>
      <c r="F58" s="248" t="n">
        <f aca="false">IF(ISNUMBER($E$5),0,MAX(0,INT('04_Annual_Calculations'!AC$7/$C$5)-INT('04_Annual_Calculations'!AB$7/$C$5)))</f>
        <v>0</v>
      </c>
      <c r="G58" s="248" t="n">
        <f aca="false">IF(ISNUMBER($E$6),0,MAX(0,INT('04_Annual_Calculations'!AC$7/$C$6)-INT('04_Annual_Calculations'!AB$7/$C$6)))</f>
        <v>0</v>
      </c>
      <c r="H58" s="248" t="n">
        <f aca="false">IF(ISNUMBER($E$7),0,MAX(0,INT('04_Annual_Calculations'!AC$5/$C$7)-INT('04_Annual_Calculations'!AB$5/$C$7)))</f>
        <v>0</v>
      </c>
      <c r="I58" s="248" t="n">
        <f aca="false">IF(ISNUMBER($E$8),0,MAX(0,INT('04_Annual_Calculations'!AC$7/$C$8)-INT('04_Annual_Calculations'!AB$7/$C$8)))</f>
        <v>0</v>
      </c>
      <c r="J58" s="248" t="n">
        <f aca="false">IF(ISNUMBER($E$9),0,MAX(0,INT('04_Annual_Calculations'!AC$7/$C$9)-INT('04_Annual_Calculations'!AB$7/$C$9)))</f>
        <v>0</v>
      </c>
      <c r="K58" s="248" t="n">
        <f aca="false">IF(ISNUMBER($E$10),0,MAX(0,INT('04_Annual_Calculations'!AC$5/$C$10)-INT('04_Annual_Calculations'!AB$5/$C$10)))</f>
        <v>0</v>
      </c>
      <c r="L58" s="248" t="n">
        <f aca="false">IF(ISNUMBER($E$11),0,MAX(0,INT('04_Annual_Calculations'!AC$5/$C$11)-INT('04_Annual_Calculations'!AB$5/$C$11)))</f>
        <v>0</v>
      </c>
      <c r="M58" s="248" t="n">
        <f aca="false">IF(ISNUMBER($E$12),0,MAX(0,INT('04_Annual_Calculations'!AC$7/$C$12)-INT('04_Annual_Calculations'!AB$7/$C$12)))</f>
        <v>0</v>
      </c>
      <c r="N58" s="248" t="n">
        <f aca="false">IF(ISNUMBER($E$13),0,MAX(0,INT('04_Annual_Calculations'!AC$5/$C$13)-INT('04_Annual_Calculations'!AB$5/$C$13)))</f>
        <v>0</v>
      </c>
    </row>
    <row r="59" customFormat="false" ht="15" hidden="false" customHeight="true" outlineLevel="0" collapsed="false">
      <c r="A59" s="161" t="s">
        <v>775</v>
      </c>
      <c r="B59" s="245" t="n">
        <f aca="false">(I59*$D$8+J59*$D$9+K59*$D$10+L59*$D$11+M59*$D$12+N59*$D$13)*((1+'00_Inputs_Dashboard'!$B$24)^(29-1))</f>
        <v>0</v>
      </c>
      <c r="C59" s="245" t="n">
        <f aca="false">(E59*$D$4+F59*$D$5+G59*$D$6+H59*$D$7)*((1+'00_Inputs_Dashboard'!$B$24)^(29-1))</f>
        <v>0</v>
      </c>
      <c r="D59" s="161"/>
      <c r="E59" s="248" t="n">
        <f aca="false">IF(ISNUMBER($E$4),0,MAX(0,INT('04_Annual_Calculations'!AD$7/$C$4)-INT('04_Annual_Calculations'!AC$7/$C$4)))</f>
        <v>0</v>
      </c>
      <c r="F59" s="248" t="n">
        <f aca="false">IF(ISNUMBER($E$5),0,MAX(0,INT('04_Annual_Calculations'!AD$7/$C$5)-INT('04_Annual_Calculations'!AC$7/$C$5)))</f>
        <v>0</v>
      </c>
      <c r="G59" s="248" t="n">
        <f aca="false">IF(ISNUMBER($E$6),0,MAX(0,INT('04_Annual_Calculations'!AD$7/$C$6)-INT('04_Annual_Calculations'!AC$7/$C$6)))</f>
        <v>0</v>
      </c>
      <c r="H59" s="248" t="n">
        <f aca="false">IF(ISNUMBER($E$7),0,MAX(0,INT('04_Annual_Calculations'!AD$5/$C$7)-INT('04_Annual_Calculations'!AC$5/$C$7)))</f>
        <v>0</v>
      </c>
      <c r="I59" s="248" t="n">
        <f aca="false">IF(ISNUMBER($E$8),0,MAX(0,INT('04_Annual_Calculations'!AD$7/$C$8)-INT('04_Annual_Calculations'!AC$7/$C$8)))</f>
        <v>0</v>
      </c>
      <c r="J59" s="248" t="n">
        <f aca="false">IF(ISNUMBER($E$9),0,MAX(0,INT('04_Annual_Calculations'!AD$7/$C$9)-INT('04_Annual_Calculations'!AC$7/$C$9)))</f>
        <v>0</v>
      </c>
      <c r="K59" s="248" t="n">
        <f aca="false">IF(ISNUMBER($E$10),0,MAX(0,INT('04_Annual_Calculations'!AD$5/$C$10)-INT('04_Annual_Calculations'!AC$5/$C$10)))</f>
        <v>0</v>
      </c>
      <c r="L59" s="248" t="n">
        <f aca="false">IF(ISNUMBER($E$11),0,MAX(0,INT('04_Annual_Calculations'!AD$5/$C$11)-INT('04_Annual_Calculations'!AC$5/$C$11)))</f>
        <v>0</v>
      </c>
      <c r="M59" s="248" t="n">
        <f aca="false">IF(ISNUMBER($E$12),0,MAX(0,INT('04_Annual_Calculations'!AD$7/$C$12)-INT('04_Annual_Calculations'!AC$7/$C$12)))</f>
        <v>0</v>
      </c>
      <c r="N59" s="248" t="n">
        <f aca="false">IF(ISNUMBER($E$13),0,MAX(0,INT('04_Annual_Calculations'!AD$5/$C$13)-INT('04_Annual_Calculations'!AC$5/$C$13)))</f>
        <v>0</v>
      </c>
    </row>
    <row r="60" customFormat="false" ht="15" hidden="false" customHeight="true" outlineLevel="0" collapsed="false">
      <c r="A60" s="161" t="s">
        <v>776</v>
      </c>
      <c r="B60" s="245" t="n">
        <f aca="false">(I60*$D$8+J60*$D$9+K60*$D$10+L60*$D$11+M60*$D$12+N60*$D$13)*((1+'00_Inputs_Dashboard'!$B$24)^(30-1))</f>
        <v>0</v>
      </c>
      <c r="C60" s="245" t="n">
        <f aca="false">(E60*$D$4+F60*$D$5+G60*$D$6+H60*$D$7)*((1+'00_Inputs_Dashboard'!$B$24)^(30-1))</f>
        <v>0</v>
      </c>
      <c r="D60" s="161"/>
      <c r="E60" s="248" t="n">
        <f aca="false">IF(ISNUMBER($E$4),0,MAX(0,INT('04_Annual_Calculations'!AE$7/$C$4)-INT('04_Annual_Calculations'!AD$7/$C$4)))</f>
        <v>0</v>
      </c>
      <c r="F60" s="248" t="n">
        <f aca="false">IF(ISNUMBER($E$5),0,MAX(0,INT('04_Annual_Calculations'!AE$7/$C$5)-INT('04_Annual_Calculations'!AD$7/$C$5)))</f>
        <v>0</v>
      </c>
      <c r="G60" s="248" t="n">
        <f aca="false">IF(ISNUMBER($E$6),0,MAX(0,INT('04_Annual_Calculations'!AE$7/$C$6)-INT('04_Annual_Calculations'!AD$7/$C$6)))</f>
        <v>0</v>
      </c>
      <c r="H60" s="248" t="n">
        <f aca="false">IF(ISNUMBER($E$7),0,MAX(0,INT('04_Annual_Calculations'!AE$5/$C$7)-INT('04_Annual_Calculations'!AD$5/$C$7)))</f>
        <v>0</v>
      </c>
      <c r="I60" s="248" t="n">
        <f aca="false">IF(ISNUMBER($E$8),0,MAX(0,INT('04_Annual_Calculations'!AE$7/$C$8)-INT('04_Annual_Calculations'!AD$7/$C$8)))</f>
        <v>0</v>
      </c>
      <c r="J60" s="248" t="n">
        <f aca="false">IF(ISNUMBER($E$9),0,MAX(0,INT('04_Annual_Calculations'!AE$7/$C$9)-INT('04_Annual_Calculations'!AD$7/$C$9)))</f>
        <v>0</v>
      </c>
      <c r="K60" s="248" t="n">
        <f aca="false">IF(ISNUMBER($E$10),0,MAX(0,INT('04_Annual_Calculations'!AE$5/$C$10)-INT('04_Annual_Calculations'!AD$5/$C$10)))</f>
        <v>0</v>
      </c>
      <c r="L60" s="248" t="n">
        <f aca="false">IF(ISNUMBER($E$11),0,MAX(0,INT('04_Annual_Calculations'!AE$5/$C$11)-INT('04_Annual_Calculations'!AD$5/$C$11)))</f>
        <v>0</v>
      </c>
      <c r="M60" s="248" t="n">
        <f aca="false">IF(ISNUMBER($E$12),0,MAX(0,INT('04_Annual_Calculations'!AE$7/$C$12)-INT('04_Annual_Calculations'!AD$7/$C$12)))</f>
        <v>0</v>
      </c>
      <c r="N60" s="248" t="n">
        <f aca="false">IF(ISNUMBER($E$13),0,MAX(0,INT('04_Annual_Calculations'!AE$5/$C$13)-INT('04_Annual_Calculations'!AD$5/$C$13)))</f>
        <v>0</v>
      </c>
    </row>
  </sheetData>
  <mergeCells count="1">
    <mergeCell ref="A1:J1"/>
  </mergeCell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O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false" zeroHeight="false" outlineLevelRow="0" outlineLevelCol="0"/>
  <cols>
    <col collapsed="false" customWidth="true" hidden="false" outlineLevel="0" max="2" min="1" style="1" width="34"/>
    <col collapsed="false" customWidth="true" hidden="false" outlineLevel="0" max="41" min="3" style="1" width="13"/>
  </cols>
  <sheetData>
    <row r="1" customFormat="false" ht="21.75" hidden="false" customHeight="true" outlineLevel="0" collapsed="false">
      <c r="A1" s="160" t="s">
        <v>851</v>
      </c>
      <c r="B1" s="160"/>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1"/>
      <c r="AI1" s="161"/>
      <c r="AJ1" s="161"/>
      <c r="AK1" s="161"/>
      <c r="AL1" s="161"/>
      <c r="AM1" s="161"/>
      <c r="AN1" s="161"/>
      <c r="AO1" s="161"/>
    </row>
    <row r="2" customFormat="false" ht="15" hidden="false" customHeight="true" outlineLevel="0" collapsed="false">
      <c r="A2" s="178" t="s">
        <v>852</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61"/>
      <c r="AI2" s="161"/>
      <c r="AJ2" s="161"/>
      <c r="AK2" s="161"/>
      <c r="AL2" s="161"/>
      <c r="AM2" s="161"/>
      <c r="AN2" s="161"/>
      <c r="AO2" s="161"/>
    </row>
    <row r="3" customFormat="false" ht="15" hidden="false" customHeight="true" outlineLevel="0" collapsed="false">
      <c r="A3" s="236" t="s">
        <v>853</v>
      </c>
      <c r="B3" s="236" t="s">
        <v>25</v>
      </c>
      <c r="C3" s="236" t="s">
        <v>854</v>
      </c>
      <c r="D3" s="238" t="s">
        <v>747</v>
      </c>
      <c r="E3" s="238" t="s">
        <v>748</v>
      </c>
      <c r="F3" s="238" t="s">
        <v>749</v>
      </c>
      <c r="G3" s="238" t="s">
        <v>750</v>
      </c>
      <c r="H3" s="238" t="s">
        <v>751</v>
      </c>
      <c r="I3" s="238" t="s">
        <v>752</v>
      </c>
      <c r="J3" s="238" t="s">
        <v>753</v>
      </c>
      <c r="K3" s="238" t="s">
        <v>754</v>
      </c>
      <c r="L3" s="238" t="s">
        <v>755</v>
      </c>
      <c r="M3" s="238" t="s">
        <v>756</v>
      </c>
      <c r="N3" s="238" t="s">
        <v>757</v>
      </c>
      <c r="O3" s="238" t="s">
        <v>758</v>
      </c>
      <c r="P3" s="238" t="s">
        <v>759</v>
      </c>
      <c r="Q3" s="238" t="s">
        <v>760</v>
      </c>
      <c r="R3" s="238" t="s">
        <v>761</v>
      </c>
      <c r="S3" s="238" t="s">
        <v>762</v>
      </c>
      <c r="T3" s="238" t="s">
        <v>763</v>
      </c>
      <c r="U3" s="238" t="s">
        <v>764</v>
      </c>
      <c r="V3" s="238" t="s">
        <v>765</v>
      </c>
      <c r="W3" s="238" t="s">
        <v>766</v>
      </c>
      <c r="X3" s="238" t="s">
        <v>767</v>
      </c>
      <c r="Y3" s="238" t="s">
        <v>768</v>
      </c>
      <c r="Z3" s="238" t="s">
        <v>769</v>
      </c>
      <c r="AA3" s="238" t="s">
        <v>770</v>
      </c>
      <c r="AB3" s="238" t="s">
        <v>771</v>
      </c>
      <c r="AC3" s="238" t="s">
        <v>772</v>
      </c>
      <c r="AD3" s="238" t="s">
        <v>773</v>
      </c>
      <c r="AE3" s="238" t="s">
        <v>774</v>
      </c>
      <c r="AF3" s="238" t="s">
        <v>775</v>
      </c>
      <c r="AG3" s="238" t="s">
        <v>776</v>
      </c>
      <c r="AH3" s="249" t="s">
        <v>855</v>
      </c>
      <c r="AI3" s="249" t="s">
        <v>856</v>
      </c>
      <c r="AJ3" s="249" t="s">
        <v>857</v>
      </c>
      <c r="AK3" s="249" t="s">
        <v>858</v>
      </c>
      <c r="AL3" s="249" t="s">
        <v>859</v>
      </c>
      <c r="AM3" s="249" t="s">
        <v>860</v>
      </c>
      <c r="AN3" s="249" t="s">
        <v>861</v>
      </c>
      <c r="AO3" s="249" t="s">
        <v>862</v>
      </c>
    </row>
    <row r="4" customFormat="false" ht="15" hidden="false" customHeight="true" outlineLevel="0" collapsed="false">
      <c r="A4" s="161" t="n">
        <v>1</v>
      </c>
      <c r="B4" s="250" t="b">
        <f aca="false">Scenarios!$C$3</f>
        <v>1</v>
      </c>
      <c r="C4" s="161" t="s">
        <v>863</v>
      </c>
      <c r="D4" s="251" t="n">
        <f aca="false">MAX(0,MIN(1,(1-Scenarios!$J$3+1)/MAX(1,Scenarios!$K$3)))</f>
        <v>0.25</v>
      </c>
      <c r="E4" s="251" t="n">
        <f aca="false">MAX(0,MIN(1,(2-Scenarios!$J$3+1)/MAX(1,Scenarios!$K$3)))</f>
        <v>0.5</v>
      </c>
      <c r="F4" s="251" t="n">
        <f aca="false">MAX(0,MIN(1,(3-Scenarios!$J$3+1)/MAX(1,Scenarios!$K$3)))</f>
        <v>0.75</v>
      </c>
      <c r="G4" s="251" t="n">
        <f aca="false">MAX(0,MIN(1,(4-Scenarios!$J$3+1)/MAX(1,Scenarios!$K$3)))</f>
        <v>1</v>
      </c>
      <c r="H4" s="251" t="n">
        <f aca="false">MAX(0,MIN(1,(5-Scenarios!$J$3+1)/MAX(1,Scenarios!$K$3)))</f>
        <v>1</v>
      </c>
      <c r="I4" s="251" t="n">
        <f aca="false">MAX(0,MIN(1,(6-Scenarios!$J$3+1)/MAX(1,Scenarios!$K$3)))</f>
        <v>1</v>
      </c>
      <c r="J4" s="251" t="n">
        <f aca="false">MAX(0,MIN(1,(7-Scenarios!$J$3+1)/MAX(1,Scenarios!$K$3)))</f>
        <v>1</v>
      </c>
      <c r="K4" s="251" t="n">
        <f aca="false">MAX(0,MIN(1,(8-Scenarios!$J$3+1)/MAX(1,Scenarios!$K$3)))</f>
        <v>1</v>
      </c>
      <c r="L4" s="251" t="n">
        <f aca="false">MAX(0,MIN(1,(9-Scenarios!$J$3+1)/MAX(1,Scenarios!$K$3)))</f>
        <v>1</v>
      </c>
      <c r="M4" s="251" t="n">
        <f aca="false">MAX(0,MIN(1,(10-Scenarios!$J$3+1)/MAX(1,Scenarios!$K$3)))</f>
        <v>1</v>
      </c>
      <c r="N4" s="251" t="n">
        <f aca="false">MAX(0,MIN(1,(11-Scenarios!$J$3+1)/MAX(1,Scenarios!$K$3)))</f>
        <v>1</v>
      </c>
      <c r="O4" s="251" t="n">
        <f aca="false">MAX(0,MIN(1,(12-Scenarios!$J$3+1)/MAX(1,Scenarios!$K$3)))</f>
        <v>1</v>
      </c>
      <c r="P4" s="251" t="n">
        <f aca="false">MAX(0,MIN(1,(13-Scenarios!$J$3+1)/MAX(1,Scenarios!$K$3)))</f>
        <v>1</v>
      </c>
      <c r="Q4" s="251" t="n">
        <f aca="false">MAX(0,MIN(1,(14-Scenarios!$J$3+1)/MAX(1,Scenarios!$K$3)))</f>
        <v>1</v>
      </c>
      <c r="R4" s="251" t="n">
        <f aca="false">MAX(0,MIN(1,(15-Scenarios!$J$3+1)/MAX(1,Scenarios!$K$3)))</f>
        <v>1</v>
      </c>
      <c r="S4" s="251" t="n">
        <f aca="false">MAX(0,MIN(1,(16-Scenarios!$J$3+1)/MAX(1,Scenarios!$K$3)))</f>
        <v>1</v>
      </c>
      <c r="T4" s="251" t="n">
        <f aca="false">MAX(0,MIN(1,(17-Scenarios!$J$3+1)/MAX(1,Scenarios!$K$3)))</f>
        <v>1</v>
      </c>
      <c r="U4" s="251" t="n">
        <f aca="false">MAX(0,MIN(1,(18-Scenarios!$J$3+1)/MAX(1,Scenarios!$K$3)))</f>
        <v>1</v>
      </c>
      <c r="V4" s="251" t="n">
        <f aca="false">MAX(0,MIN(1,(19-Scenarios!$J$3+1)/MAX(1,Scenarios!$K$3)))</f>
        <v>1</v>
      </c>
      <c r="W4" s="251" t="n">
        <f aca="false">MAX(0,MIN(1,(20-Scenarios!$J$3+1)/MAX(1,Scenarios!$K$3)))</f>
        <v>1</v>
      </c>
      <c r="X4" s="251" t="n">
        <f aca="false">MAX(0,MIN(1,(21-Scenarios!$J$3+1)/MAX(1,Scenarios!$K$3)))</f>
        <v>1</v>
      </c>
      <c r="Y4" s="251" t="n">
        <f aca="false">MAX(0,MIN(1,(22-Scenarios!$J$3+1)/MAX(1,Scenarios!$K$3)))</f>
        <v>1</v>
      </c>
      <c r="Z4" s="251" t="n">
        <f aca="false">MAX(0,MIN(1,(23-Scenarios!$J$3+1)/MAX(1,Scenarios!$K$3)))</f>
        <v>1</v>
      </c>
      <c r="AA4" s="251" t="n">
        <f aca="false">MAX(0,MIN(1,(24-Scenarios!$J$3+1)/MAX(1,Scenarios!$K$3)))</f>
        <v>1</v>
      </c>
      <c r="AB4" s="251" t="n">
        <f aca="false">MAX(0,MIN(1,(25-Scenarios!$J$3+1)/MAX(1,Scenarios!$K$3)))</f>
        <v>1</v>
      </c>
      <c r="AC4" s="251" t="n">
        <f aca="false">MAX(0,MIN(1,(26-Scenarios!$J$3+1)/MAX(1,Scenarios!$K$3)))</f>
        <v>1</v>
      </c>
      <c r="AD4" s="251" t="n">
        <f aca="false">MAX(0,MIN(1,(27-Scenarios!$J$3+1)/MAX(1,Scenarios!$K$3)))</f>
        <v>1</v>
      </c>
      <c r="AE4" s="251" t="n">
        <f aca="false">MAX(0,MIN(1,(28-Scenarios!$J$3+1)/MAX(1,Scenarios!$K$3)))</f>
        <v>1</v>
      </c>
      <c r="AF4" s="251" t="n">
        <f aca="false">MAX(0,MIN(1,(29-Scenarios!$J$3+1)/MAX(1,Scenarios!$K$3)))</f>
        <v>1</v>
      </c>
      <c r="AG4" s="251" t="n">
        <f aca="false">MAX(0,MIN(1,(30-Scenarios!$J$3+1)/MAX(1,Scenarios!$K$3)))</f>
        <v>1</v>
      </c>
      <c r="AH4" s="252" t="n">
        <f aca="false">IFERROR(VLOOKUP(Scenarios!$D$3,'02_Type_Assumptions'!$A$4:$Z$25,13,FALSE()),0)</f>
        <v>2400</v>
      </c>
      <c r="AI4" s="252" t="n">
        <f aca="false">IFERROR(VLOOKUP(Scenarios!$D$3,'02_Type_Assumptions'!$A$4:$Z$25,14,FALSE()),0)</f>
        <v>0</v>
      </c>
      <c r="AJ4" s="252" t="n">
        <f aca="false">IFERROR(VLOOKUP(Scenarios!$D$3,'02_Type_Assumptions'!$A$4:$Z$25,15,FALSE()),0)</f>
        <v>0.05</v>
      </c>
      <c r="AK4" s="252" t="n">
        <f aca="false">IFERROR(VLOOKUP(Scenarios!$D$3,'02_Type_Assumptions'!$A$4:$Z$25,16,FALSE()),0)</f>
        <v>0</v>
      </c>
      <c r="AL4" s="252" t="n">
        <f aca="false">IFERROR(VLOOKUP(Scenarios!$D$3,'02_Type_Assumptions'!$A$4:$Z$25,17,FALSE()),0)</f>
        <v>180</v>
      </c>
      <c r="AM4" s="252" t="n">
        <f aca="false">IFERROR(VLOOKUP(Scenarios!$D$3,'02_Type_Assumptions'!$A$4:$Z$25,18,FALSE()),0)</f>
        <v>0</v>
      </c>
      <c r="AN4" s="252" t="n">
        <f aca="false">IFERROR(VLOOKUP(Scenarios!$D$3,'02_Type_Assumptions'!$A$4:$Z$25,19,FALSE()),0)</f>
        <v>0.005</v>
      </c>
      <c r="AO4" s="252" t="n">
        <f aca="false">IFERROR(VLOOKUP(Scenarios!$D$3,'02_Type_Assumptions'!$A$4:$Z$25,20,FALSE()),0)</f>
        <v>0</v>
      </c>
    </row>
    <row r="5" customFormat="false" ht="15" hidden="false" customHeight="true" outlineLevel="0" collapsed="false">
      <c r="A5" s="161" t="n">
        <v>2</v>
      </c>
      <c r="B5" s="250" t="b">
        <f aca="false">Scenarios!$C$4</f>
        <v>0</v>
      </c>
      <c r="C5" s="161" t="s">
        <v>863</v>
      </c>
      <c r="D5" s="251" t="n">
        <f aca="false">MAX(0,MIN(1,(1-Scenarios!$J$4+1)/MAX(1,Scenarios!$K$4)))</f>
        <v>0.5</v>
      </c>
      <c r="E5" s="251" t="n">
        <f aca="false">MAX(0,MIN(1,(2-Scenarios!$J$4+1)/MAX(1,Scenarios!$K$4)))</f>
        <v>1</v>
      </c>
      <c r="F5" s="251" t="n">
        <f aca="false">MAX(0,MIN(1,(3-Scenarios!$J$4+1)/MAX(1,Scenarios!$K$4)))</f>
        <v>1</v>
      </c>
      <c r="G5" s="251" t="n">
        <f aca="false">MAX(0,MIN(1,(4-Scenarios!$J$4+1)/MAX(1,Scenarios!$K$4)))</f>
        <v>1</v>
      </c>
      <c r="H5" s="251" t="n">
        <f aca="false">MAX(0,MIN(1,(5-Scenarios!$J$4+1)/MAX(1,Scenarios!$K$4)))</f>
        <v>1</v>
      </c>
      <c r="I5" s="251" t="n">
        <f aca="false">MAX(0,MIN(1,(6-Scenarios!$J$4+1)/MAX(1,Scenarios!$K$4)))</f>
        <v>1</v>
      </c>
      <c r="J5" s="251" t="n">
        <f aca="false">MAX(0,MIN(1,(7-Scenarios!$J$4+1)/MAX(1,Scenarios!$K$4)))</f>
        <v>1</v>
      </c>
      <c r="K5" s="251" t="n">
        <f aca="false">MAX(0,MIN(1,(8-Scenarios!$J$4+1)/MAX(1,Scenarios!$K$4)))</f>
        <v>1</v>
      </c>
      <c r="L5" s="251" t="n">
        <f aca="false">MAX(0,MIN(1,(9-Scenarios!$J$4+1)/MAX(1,Scenarios!$K$4)))</f>
        <v>1</v>
      </c>
      <c r="M5" s="251" t="n">
        <f aca="false">MAX(0,MIN(1,(10-Scenarios!$J$4+1)/MAX(1,Scenarios!$K$4)))</f>
        <v>1</v>
      </c>
      <c r="N5" s="251" t="n">
        <f aca="false">MAX(0,MIN(1,(11-Scenarios!$J$4+1)/MAX(1,Scenarios!$K$4)))</f>
        <v>1</v>
      </c>
      <c r="O5" s="251" t="n">
        <f aca="false">MAX(0,MIN(1,(12-Scenarios!$J$4+1)/MAX(1,Scenarios!$K$4)))</f>
        <v>1</v>
      </c>
      <c r="P5" s="251" t="n">
        <f aca="false">MAX(0,MIN(1,(13-Scenarios!$J$4+1)/MAX(1,Scenarios!$K$4)))</f>
        <v>1</v>
      </c>
      <c r="Q5" s="251" t="n">
        <f aca="false">MAX(0,MIN(1,(14-Scenarios!$J$4+1)/MAX(1,Scenarios!$K$4)))</f>
        <v>1</v>
      </c>
      <c r="R5" s="251" t="n">
        <f aca="false">MAX(0,MIN(1,(15-Scenarios!$J$4+1)/MAX(1,Scenarios!$K$4)))</f>
        <v>1</v>
      </c>
      <c r="S5" s="251" t="n">
        <f aca="false">MAX(0,MIN(1,(16-Scenarios!$J$4+1)/MAX(1,Scenarios!$K$4)))</f>
        <v>1</v>
      </c>
      <c r="T5" s="251" t="n">
        <f aca="false">MAX(0,MIN(1,(17-Scenarios!$J$4+1)/MAX(1,Scenarios!$K$4)))</f>
        <v>1</v>
      </c>
      <c r="U5" s="251" t="n">
        <f aca="false">MAX(0,MIN(1,(18-Scenarios!$J$4+1)/MAX(1,Scenarios!$K$4)))</f>
        <v>1</v>
      </c>
      <c r="V5" s="251" t="n">
        <f aca="false">MAX(0,MIN(1,(19-Scenarios!$J$4+1)/MAX(1,Scenarios!$K$4)))</f>
        <v>1</v>
      </c>
      <c r="W5" s="251" t="n">
        <f aca="false">MAX(0,MIN(1,(20-Scenarios!$J$4+1)/MAX(1,Scenarios!$K$4)))</f>
        <v>1</v>
      </c>
      <c r="X5" s="251" t="n">
        <f aca="false">MAX(0,MIN(1,(21-Scenarios!$J$4+1)/MAX(1,Scenarios!$K$4)))</f>
        <v>1</v>
      </c>
      <c r="Y5" s="251" t="n">
        <f aca="false">MAX(0,MIN(1,(22-Scenarios!$J$4+1)/MAX(1,Scenarios!$K$4)))</f>
        <v>1</v>
      </c>
      <c r="Z5" s="251" t="n">
        <f aca="false">MAX(0,MIN(1,(23-Scenarios!$J$4+1)/MAX(1,Scenarios!$K$4)))</f>
        <v>1</v>
      </c>
      <c r="AA5" s="251" t="n">
        <f aca="false">MAX(0,MIN(1,(24-Scenarios!$J$4+1)/MAX(1,Scenarios!$K$4)))</f>
        <v>1</v>
      </c>
      <c r="AB5" s="251" t="n">
        <f aca="false">MAX(0,MIN(1,(25-Scenarios!$J$4+1)/MAX(1,Scenarios!$K$4)))</f>
        <v>1</v>
      </c>
      <c r="AC5" s="251" t="n">
        <f aca="false">MAX(0,MIN(1,(26-Scenarios!$J$4+1)/MAX(1,Scenarios!$K$4)))</f>
        <v>1</v>
      </c>
      <c r="AD5" s="251" t="n">
        <f aca="false">MAX(0,MIN(1,(27-Scenarios!$J$4+1)/MAX(1,Scenarios!$K$4)))</f>
        <v>1</v>
      </c>
      <c r="AE5" s="251" t="n">
        <f aca="false">MAX(0,MIN(1,(28-Scenarios!$J$4+1)/MAX(1,Scenarios!$K$4)))</f>
        <v>1</v>
      </c>
      <c r="AF5" s="251" t="n">
        <f aca="false">MAX(0,MIN(1,(29-Scenarios!$J$4+1)/MAX(1,Scenarios!$K$4)))</f>
        <v>1</v>
      </c>
      <c r="AG5" s="251" t="n">
        <f aca="false">MAX(0,MIN(1,(30-Scenarios!$J$4+1)/MAX(1,Scenarios!$K$4)))</f>
        <v>1</v>
      </c>
      <c r="AH5" s="252" t="n">
        <f aca="false">IFERROR(VLOOKUP(Scenarios!$D$4,'02_Type_Assumptions'!$A$4:$Z$25,13,FALSE()),0)</f>
        <v>2400</v>
      </c>
      <c r="AI5" s="252" t="n">
        <f aca="false">IFERROR(VLOOKUP(Scenarios!$D$4,'02_Type_Assumptions'!$A$4:$Z$25,14,FALSE()),0)</f>
        <v>0</v>
      </c>
      <c r="AJ5" s="252" t="n">
        <f aca="false">IFERROR(VLOOKUP(Scenarios!$D$4,'02_Type_Assumptions'!$A$4:$Z$25,15,FALSE()),0)</f>
        <v>0.05</v>
      </c>
      <c r="AK5" s="252" t="n">
        <f aca="false">IFERROR(VLOOKUP(Scenarios!$D$4,'02_Type_Assumptions'!$A$4:$Z$25,16,FALSE()),0)</f>
        <v>0</v>
      </c>
      <c r="AL5" s="252" t="n">
        <f aca="false">IFERROR(VLOOKUP(Scenarios!$D$4,'02_Type_Assumptions'!$A$4:$Z$25,17,FALSE()),0)</f>
        <v>180</v>
      </c>
      <c r="AM5" s="252" t="n">
        <f aca="false">IFERROR(VLOOKUP(Scenarios!$D$4,'02_Type_Assumptions'!$A$4:$Z$25,18,FALSE()),0)</f>
        <v>0</v>
      </c>
      <c r="AN5" s="252" t="n">
        <f aca="false">IFERROR(VLOOKUP(Scenarios!$D$4,'02_Type_Assumptions'!$A$4:$Z$25,19,FALSE()),0)</f>
        <v>0.005</v>
      </c>
      <c r="AO5" s="252" t="n">
        <f aca="false">IFERROR(VLOOKUP(Scenarios!$D$4,'02_Type_Assumptions'!$A$4:$Z$25,20,FALSE()),0)</f>
        <v>0</v>
      </c>
    </row>
    <row r="6" customFormat="false" ht="15" hidden="false" customHeight="true" outlineLevel="0" collapsed="false">
      <c r="A6" s="161" t="n">
        <v>3</v>
      </c>
      <c r="B6" s="250" t="b">
        <f aca="false">Scenarios!$C$5</f>
        <v>0</v>
      </c>
      <c r="C6" s="161" t="s">
        <v>863</v>
      </c>
      <c r="D6" s="251" t="n">
        <f aca="false">MAX(0,MIN(1,(1-Scenarios!$J$5+1)/MAX(1,Scenarios!$K$5)))</f>
        <v>0.333333333333333</v>
      </c>
      <c r="E6" s="251" t="n">
        <f aca="false">MAX(0,MIN(1,(2-Scenarios!$J$5+1)/MAX(1,Scenarios!$K$5)))</f>
        <v>0.666666666666667</v>
      </c>
      <c r="F6" s="251" t="n">
        <f aca="false">MAX(0,MIN(1,(3-Scenarios!$J$5+1)/MAX(1,Scenarios!$K$5)))</f>
        <v>1</v>
      </c>
      <c r="G6" s="251" t="n">
        <f aca="false">MAX(0,MIN(1,(4-Scenarios!$J$5+1)/MAX(1,Scenarios!$K$5)))</f>
        <v>1</v>
      </c>
      <c r="H6" s="251" t="n">
        <f aca="false">MAX(0,MIN(1,(5-Scenarios!$J$5+1)/MAX(1,Scenarios!$K$5)))</f>
        <v>1</v>
      </c>
      <c r="I6" s="251" t="n">
        <f aca="false">MAX(0,MIN(1,(6-Scenarios!$J$5+1)/MAX(1,Scenarios!$K$5)))</f>
        <v>1</v>
      </c>
      <c r="J6" s="251" t="n">
        <f aca="false">MAX(0,MIN(1,(7-Scenarios!$J$5+1)/MAX(1,Scenarios!$K$5)))</f>
        <v>1</v>
      </c>
      <c r="K6" s="251" t="n">
        <f aca="false">MAX(0,MIN(1,(8-Scenarios!$J$5+1)/MAX(1,Scenarios!$K$5)))</f>
        <v>1</v>
      </c>
      <c r="L6" s="251" t="n">
        <f aca="false">MAX(0,MIN(1,(9-Scenarios!$J$5+1)/MAX(1,Scenarios!$K$5)))</f>
        <v>1</v>
      </c>
      <c r="M6" s="251" t="n">
        <f aca="false">MAX(0,MIN(1,(10-Scenarios!$J$5+1)/MAX(1,Scenarios!$K$5)))</f>
        <v>1</v>
      </c>
      <c r="N6" s="251" t="n">
        <f aca="false">MAX(0,MIN(1,(11-Scenarios!$J$5+1)/MAX(1,Scenarios!$K$5)))</f>
        <v>1</v>
      </c>
      <c r="O6" s="251" t="n">
        <f aca="false">MAX(0,MIN(1,(12-Scenarios!$J$5+1)/MAX(1,Scenarios!$K$5)))</f>
        <v>1</v>
      </c>
      <c r="P6" s="251" t="n">
        <f aca="false">MAX(0,MIN(1,(13-Scenarios!$J$5+1)/MAX(1,Scenarios!$K$5)))</f>
        <v>1</v>
      </c>
      <c r="Q6" s="251" t="n">
        <f aca="false">MAX(0,MIN(1,(14-Scenarios!$J$5+1)/MAX(1,Scenarios!$K$5)))</f>
        <v>1</v>
      </c>
      <c r="R6" s="251" t="n">
        <f aca="false">MAX(0,MIN(1,(15-Scenarios!$J$5+1)/MAX(1,Scenarios!$K$5)))</f>
        <v>1</v>
      </c>
      <c r="S6" s="251" t="n">
        <f aca="false">MAX(0,MIN(1,(16-Scenarios!$J$5+1)/MAX(1,Scenarios!$K$5)))</f>
        <v>1</v>
      </c>
      <c r="T6" s="251" t="n">
        <f aca="false">MAX(0,MIN(1,(17-Scenarios!$J$5+1)/MAX(1,Scenarios!$K$5)))</f>
        <v>1</v>
      </c>
      <c r="U6" s="251" t="n">
        <f aca="false">MAX(0,MIN(1,(18-Scenarios!$J$5+1)/MAX(1,Scenarios!$K$5)))</f>
        <v>1</v>
      </c>
      <c r="V6" s="251" t="n">
        <f aca="false">MAX(0,MIN(1,(19-Scenarios!$J$5+1)/MAX(1,Scenarios!$K$5)))</f>
        <v>1</v>
      </c>
      <c r="W6" s="251" t="n">
        <f aca="false">MAX(0,MIN(1,(20-Scenarios!$J$5+1)/MAX(1,Scenarios!$K$5)))</f>
        <v>1</v>
      </c>
      <c r="X6" s="251" t="n">
        <f aca="false">MAX(0,MIN(1,(21-Scenarios!$J$5+1)/MAX(1,Scenarios!$K$5)))</f>
        <v>1</v>
      </c>
      <c r="Y6" s="251" t="n">
        <f aca="false">MAX(0,MIN(1,(22-Scenarios!$J$5+1)/MAX(1,Scenarios!$K$5)))</f>
        <v>1</v>
      </c>
      <c r="Z6" s="251" t="n">
        <f aca="false">MAX(0,MIN(1,(23-Scenarios!$J$5+1)/MAX(1,Scenarios!$K$5)))</f>
        <v>1</v>
      </c>
      <c r="AA6" s="251" t="n">
        <f aca="false">MAX(0,MIN(1,(24-Scenarios!$J$5+1)/MAX(1,Scenarios!$K$5)))</f>
        <v>1</v>
      </c>
      <c r="AB6" s="251" t="n">
        <f aca="false">MAX(0,MIN(1,(25-Scenarios!$J$5+1)/MAX(1,Scenarios!$K$5)))</f>
        <v>1</v>
      </c>
      <c r="AC6" s="251" t="n">
        <f aca="false">MAX(0,MIN(1,(26-Scenarios!$J$5+1)/MAX(1,Scenarios!$K$5)))</f>
        <v>1</v>
      </c>
      <c r="AD6" s="251" t="n">
        <f aca="false">MAX(0,MIN(1,(27-Scenarios!$J$5+1)/MAX(1,Scenarios!$K$5)))</f>
        <v>1</v>
      </c>
      <c r="AE6" s="251" t="n">
        <f aca="false">MAX(0,MIN(1,(28-Scenarios!$J$5+1)/MAX(1,Scenarios!$K$5)))</f>
        <v>1</v>
      </c>
      <c r="AF6" s="251" t="n">
        <f aca="false">MAX(0,MIN(1,(29-Scenarios!$J$5+1)/MAX(1,Scenarios!$K$5)))</f>
        <v>1</v>
      </c>
      <c r="AG6" s="251" t="n">
        <f aca="false">MAX(0,MIN(1,(30-Scenarios!$J$5+1)/MAX(1,Scenarios!$K$5)))</f>
        <v>1</v>
      </c>
      <c r="AH6" s="252" t="n">
        <f aca="false">IFERROR(VLOOKUP(Scenarios!$D$5,'02_Type_Assumptions'!$A$4:$Z$25,13,FALSE()),0)</f>
        <v>1200</v>
      </c>
      <c r="AI6" s="252" t="n">
        <f aca="false">IFERROR(VLOOKUP(Scenarios!$D$5,'02_Type_Assumptions'!$A$4:$Z$25,14,FALSE()),0)</f>
        <v>0</v>
      </c>
      <c r="AJ6" s="252" t="n">
        <f aca="false">IFERROR(VLOOKUP(Scenarios!$D$5,'02_Type_Assumptions'!$A$4:$Z$25,15,FALSE()),0)</f>
        <v>0.04</v>
      </c>
      <c r="AK6" s="252" t="n">
        <f aca="false">IFERROR(VLOOKUP(Scenarios!$D$5,'02_Type_Assumptions'!$A$4:$Z$25,16,FALSE()),0)</f>
        <v>0</v>
      </c>
      <c r="AL6" s="252" t="n">
        <f aca="false">IFERROR(VLOOKUP(Scenarios!$D$5,'02_Type_Assumptions'!$A$4:$Z$25,17,FALSE()),0)</f>
        <v>120</v>
      </c>
      <c r="AM6" s="252" t="n">
        <f aca="false">IFERROR(VLOOKUP(Scenarios!$D$5,'02_Type_Assumptions'!$A$4:$Z$25,18,FALSE()),0)</f>
        <v>0</v>
      </c>
      <c r="AN6" s="252" t="n">
        <f aca="false">IFERROR(VLOOKUP(Scenarios!$D$5,'02_Type_Assumptions'!$A$4:$Z$25,19,FALSE()),0)</f>
        <v>0.004</v>
      </c>
      <c r="AO6" s="252" t="n">
        <f aca="false">IFERROR(VLOOKUP(Scenarios!$D$5,'02_Type_Assumptions'!$A$4:$Z$25,20,FALSE()),0)</f>
        <v>0</v>
      </c>
    </row>
    <row r="7" customFormat="false" ht="15" hidden="false" customHeight="true" outlineLevel="0" collapsed="false">
      <c r="A7" s="161" t="n">
        <v>4</v>
      </c>
      <c r="B7" s="250" t="b">
        <f aca="false">Scenarios!$C$6</f>
        <v>0</v>
      </c>
      <c r="C7" s="161" t="s">
        <v>863</v>
      </c>
      <c r="D7" s="251" t="n">
        <f aca="false">MAX(0,MIN(1,(1-Scenarios!$J$6+1)/MAX(1,Scenarios!$K$6)))</f>
        <v>0.5</v>
      </c>
      <c r="E7" s="251" t="n">
        <f aca="false">MAX(0,MIN(1,(2-Scenarios!$J$6+1)/MAX(1,Scenarios!$K$6)))</f>
        <v>1</v>
      </c>
      <c r="F7" s="251" t="n">
        <f aca="false">MAX(0,MIN(1,(3-Scenarios!$J$6+1)/MAX(1,Scenarios!$K$6)))</f>
        <v>1</v>
      </c>
      <c r="G7" s="251" t="n">
        <f aca="false">MAX(0,MIN(1,(4-Scenarios!$J$6+1)/MAX(1,Scenarios!$K$6)))</f>
        <v>1</v>
      </c>
      <c r="H7" s="251" t="n">
        <f aca="false">MAX(0,MIN(1,(5-Scenarios!$J$6+1)/MAX(1,Scenarios!$K$6)))</f>
        <v>1</v>
      </c>
      <c r="I7" s="251" t="n">
        <f aca="false">MAX(0,MIN(1,(6-Scenarios!$J$6+1)/MAX(1,Scenarios!$K$6)))</f>
        <v>1</v>
      </c>
      <c r="J7" s="251" t="n">
        <f aca="false">MAX(0,MIN(1,(7-Scenarios!$J$6+1)/MAX(1,Scenarios!$K$6)))</f>
        <v>1</v>
      </c>
      <c r="K7" s="251" t="n">
        <f aca="false">MAX(0,MIN(1,(8-Scenarios!$J$6+1)/MAX(1,Scenarios!$K$6)))</f>
        <v>1</v>
      </c>
      <c r="L7" s="251" t="n">
        <f aca="false">MAX(0,MIN(1,(9-Scenarios!$J$6+1)/MAX(1,Scenarios!$K$6)))</f>
        <v>1</v>
      </c>
      <c r="M7" s="251" t="n">
        <f aca="false">MAX(0,MIN(1,(10-Scenarios!$J$6+1)/MAX(1,Scenarios!$K$6)))</f>
        <v>1</v>
      </c>
      <c r="N7" s="251" t="n">
        <f aca="false">MAX(0,MIN(1,(11-Scenarios!$J$6+1)/MAX(1,Scenarios!$K$6)))</f>
        <v>1</v>
      </c>
      <c r="O7" s="251" t="n">
        <f aca="false">MAX(0,MIN(1,(12-Scenarios!$J$6+1)/MAX(1,Scenarios!$K$6)))</f>
        <v>1</v>
      </c>
      <c r="P7" s="251" t="n">
        <f aca="false">MAX(0,MIN(1,(13-Scenarios!$J$6+1)/MAX(1,Scenarios!$K$6)))</f>
        <v>1</v>
      </c>
      <c r="Q7" s="251" t="n">
        <f aca="false">MAX(0,MIN(1,(14-Scenarios!$J$6+1)/MAX(1,Scenarios!$K$6)))</f>
        <v>1</v>
      </c>
      <c r="R7" s="251" t="n">
        <f aca="false">MAX(0,MIN(1,(15-Scenarios!$J$6+1)/MAX(1,Scenarios!$K$6)))</f>
        <v>1</v>
      </c>
      <c r="S7" s="251" t="n">
        <f aca="false">MAX(0,MIN(1,(16-Scenarios!$J$6+1)/MAX(1,Scenarios!$K$6)))</f>
        <v>1</v>
      </c>
      <c r="T7" s="251" t="n">
        <f aca="false">MAX(0,MIN(1,(17-Scenarios!$J$6+1)/MAX(1,Scenarios!$K$6)))</f>
        <v>1</v>
      </c>
      <c r="U7" s="251" t="n">
        <f aca="false">MAX(0,MIN(1,(18-Scenarios!$J$6+1)/MAX(1,Scenarios!$K$6)))</f>
        <v>1</v>
      </c>
      <c r="V7" s="251" t="n">
        <f aca="false">MAX(0,MIN(1,(19-Scenarios!$J$6+1)/MAX(1,Scenarios!$K$6)))</f>
        <v>1</v>
      </c>
      <c r="W7" s="251" t="n">
        <f aca="false">MAX(0,MIN(1,(20-Scenarios!$J$6+1)/MAX(1,Scenarios!$K$6)))</f>
        <v>1</v>
      </c>
      <c r="X7" s="251" t="n">
        <f aca="false">MAX(0,MIN(1,(21-Scenarios!$J$6+1)/MAX(1,Scenarios!$K$6)))</f>
        <v>1</v>
      </c>
      <c r="Y7" s="251" t="n">
        <f aca="false">MAX(0,MIN(1,(22-Scenarios!$J$6+1)/MAX(1,Scenarios!$K$6)))</f>
        <v>1</v>
      </c>
      <c r="Z7" s="251" t="n">
        <f aca="false">MAX(0,MIN(1,(23-Scenarios!$J$6+1)/MAX(1,Scenarios!$K$6)))</f>
        <v>1</v>
      </c>
      <c r="AA7" s="251" t="n">
        <f aca="false">MAX(0,MIN(1,(24-Scenarios!$J$6+1)/MAX(1,Scenarios!$K$6)))</f>
        <v>1</v>
      </c>
      <c r="AB7" s="251" t="n">
        <f aca="false">MAX(0,MIN(1,(25-Scenarios!$J$6+1)/MAX(1,Scenarios!$K$6)))</f>
        <v>1</v>
      </c>
      <c r="AC7" s="251" t="n">
        <f aca="false">MAX(0,MIN(1,(26-Scenarios!$J$6+1)/MAX(1,Scenarios!$K$6)))</f>
        <v>1</v>
      </c>
      <c r="AD7" s="251" t="n">
        <f aca="false">MAX(0,MIN(1,(27-Scenarios!$J$6+1)/MAX(1,Scenarios!$K$6)))</f>
        <v>1</v>
      </c>
      <c r="AE7" s="251" t="n">
        <f aca="false">MAX(0,MIN(1,(28-Scenarios!$J$6+1)/MAX(1,Scenarios!$K$6)))</f>
        <v>1</v>
      </c>
      <c r="AF7" s="251" t="n">
        <f aca="false">MAX(0,MIN(1,(29-Scenarios!$J$6+1)/MAX(1,Scenarios!$K$6)))</f>
        <v>1</v>
      </c>
      <c r="AG7" s="251" t="n">
        <f aca="false">MAX(0,MIN(1,(30-Scenarios!$J$6+1)/MAX(1,Scenarios!$K$6)))</f>
        <v>1</v>
      </c>
      <c r="AH7" s="252" t="n">
        <f aca="false">IFERROR(VLOOKUP(Scenarios!$D$6,'02_Type_Assumptions'!$A$4:$Z$25,13,FALSE()),0)</f>
        <v>1400</v>
      </c>
      <c r="AI7" s="252" t="n">
        <f aca="false">IFERROR(VLOOKUP(Scenarios!$D$6,'02_Type_Assumptions'!$A$4:$Z$25,14,FALSE()),0)</f>
        <v>0</v>
      </c>
      <c r="AJ7" s="252" t="n">
        <f aca="false">IFERROR(VLOOKUP(Scenarios!$D$6,'02_Type_Assumptions'!$A$4:$Z$25,15,FALSE()),0)</f>
        <v>0.02</v>
      </c>
      <c r="AK7" s="252" t="n">
        <f aca="false">IFERROR(VLOOKUP(Scenarios!$D$6,'02_Type_Assumptions'!$A$4:$Z$25,16,FALSE()),0)</f>
        <v>0</v>
      </c>
      <c r="AL7" s="252" t="n">
        <f aca="false">IFERROR(VLOOKUP(Scenarios!$D$6,'02_Type_Assumptions'!$A$4:$Z$25,17,FALSE()),0)</f>
        <v>90</v>
      </c>
      <c r="AM7" s="252" t="n">
        <f aca="false">IFERROR(VLOOKUP(Scenarios!$D$6,'02_Type_Assumptions'!$A$4:$Z$25,18,FALSE()),0)</f>
        <v>0</v>
      </c>
      <c r="AN7" s="252" t="n">
        <f aca="false">IFERROR(VLOOKUP(Scenarios!$D$6,'02_Type_Assumptions'!$A$4:$Z$25,19,FALSE()),0)</f>
        <v>0.002</v>
      </c>
      <c r="AO7" s="252" t="n">
        <f aca="false">IFERROR(VLOOKUP(Scenarios!$D$6,'02_Type_Assumptions'!$A$4:$Z$25,20,FALSE()),0)</f>
        <v>0</v>
      </c>
    </row>
    <row r="8" customFormat="false" ht="15" hidden="false" customHeight="true" outlineLevel="0" collapsed="false">
      <c r="A8" s="161" t="n">
        <v>5</v>
      </c>
      <c r="B8" s="250" t="b">
        <f aca="false">Scenarios!$C$7</f>
        <v>0</v>
      </c>
      <c r="C8" s="161" t="s">
        <v>863</v>
      </c>
      <c r="D8" s="251" t="n">
        <f aca="false">MAX(0,MIN(1,(1-Scenarios!$J$7+1)/MAX(1,Scenarios!$K$7)))</f>
        <v>0.5</v>
      </c>
      <c r="E8" s="251" t="n">
        <f aca="false">MAX(0,MIN(1,(2-Scenarios!$J$7+1)/MAX(1,Scenarios!$K$7)))</f>
        <v>1</v>
      </c>
      <c r="F8" s="251" t="n">
        <f aca="false">MAX(0,MIN(1,(3-Scenarios!$J$7+1)/MAX(1,Scenarios!$K$7)))</f>
        <v>1</v>
      </c>
      <c r="G8" s="251" t="n">
        <f aca="false">MAX(0,MIN(1,(4-Scenarios!$J$7+1)/MAX(1,Scenarios!$K$7)))</f>
        <v>1</v>
      </c>
      <c r="H8" s="251" t="n">
        <f aca="false">MAX(0,MIN(1,(5-Scenarios!$J$7+1)/MAX(1,Scenarios!$K$7)))</f>
        <v>1</v>
      </c>
      <c r="I8" s="251" t="n">
        <f aca="false">MAX(0,MIN(1,(6-Scenarios!$J$7+1)/MAX(1,Scenarios!$K$7)))</f>
        <v>1</v>
      </c>
      <c r="J8" s="251" t="n">
        <f aca="false">MAX(0,MIN(1,(7-Scenarios!$J$7+1)/MAX(1,Scenarios!$K$7)))</f>
        <v>1</v>
      </c>
      <c r="K8" s="251" t="n">
        <f aca="false">MAX(0,MIN(1,(8-Scenarios!$J$7+1)/MAX(1,Scenarios!$K$7)))</f>
        <v>1</v>
      </c>
      <c r="L8" s="251" t="n">
        <f aca="false">MAX(0,MIN(1,(9-Scenarios!$J$7+1)/MAX(1,Scenarios!$K$7)))</f>
        <v>1</v>
      </c>
      <c r="M8" s="251" t="n">
        <f aca="false">MAX(0,MIN(1,(10-Scenarios!$J$7+1)/MAX(1,Scenarios!$K$7)))</f>
        <v>1</v>
      </c>
      <c r="N8" s="251" t="n">
        <f aca="false">MAX(0,MIN(1,(11-Scenarios!$J$7+1)/MAX(1,Scenarios!$K$7)))</f>
        <v>1</v>
      </c>
      <c r="O8" s="251" t="n">
        <f aca="false">MAX(0,MIN(1,(12-Scenarios!$J$7+1)/MAX(1,Scenarios!$K$7)))</f>
        <v>1</v>
      </c>
      <c r="P8" s="251" t="n">
        <f aca="false">MAX(0,MIN(1,(13-Scenarios!$J$7+1)/MAX(1,Scenarios!$K$7)))</f>
        <v>1</v>
      </c>
      <c r="Q8" s="251" t="n">
        <f aca="false">MAX(0,MIN(1,(14-Scenarios!$J$7+1)/MAX(1,Scenarios!$K$7)))</f>
        <v>1</v>
      </c>
      <c r="R8" s="251" t="n">
        <f aca="false">MAX(0,MIN(1,(15-Scenarios!$J$7+1)/MAX(1,Scenarios!$K$7)))</f>
        <v>1</v>
      </c>
      <c r="S8" s="251" t="n">
        <f aca="false">MAX(0,MIN(1,(16-Scenarios!$J$7+1)/MAX(1,Scenarios!$K$7)))</f>
        <v>1</v>
      </c>
      <c r="T8" s="251" t="n">
        <f aca="false">MAX(0,MIN(1,(17-Scenarios!$J$7+1)/MAX(1,Scenarios!$K$7)))</f>
        <v>1</v>
      </c>
      <c r="U8" s="251" t="n">
        <f aca="false">MAX(0,MIN(1,(18-Scenarios!$J$7+1)/MAX(1,Scenarios!$K$7)))</f>
        <v>1</v>
      </c>
      <c r="V8" s="251" t="n">
        <f aca="false">MAX(0,MIN(1,(19-Scenarios!$J$7+1)/MAX(1,Scenarios!$K$7)))</f>
        <v>1</v>
      </c>
      <c r="W8" s="251" t="n">
        <f aca="false">MAX(0,MIN(1,(20-Scenarios!$J$7+1)/MAX(1,Scenarios!$K$7)))</f>
        <v>1</v>
      </c>
      <c r="X8" s="251" t="n">
        <f aca="false">MAX(0,MIN(1,(21-Scenarios!$J$7+1)/MAX(1,Scenarios!$K$7)))</f>
        <v>1</v>
      </c>
      <c r="Y8" s="251" t="n">
        <f aca="false">MAX(0,MIN(1,(22-Scenarios!$J$7+1)/MAX(1,Scenarios!$K$7)))</f>
        <v>1</v>
      </c>
      <c r="Z8" s="251" t="n">
        <f aca="false">MAX(0,MIN(1,(23-Scenarios!$J$7+1)/MAX(1,Scenarios!$K$7)))</f>
        <v>1</v>
      </c>
      <c r="AA8" s="251" t="n">
        <f aca="false">MAX(0,MIN(1,(24-Scenarios!$J$7+1)/MAX(1,Scenarios!$K$7)))</f>
        <v>1</v>
      </c>
      <c r="AB8" s="251" t="n">
        <f aca="false">MAX(0,MIN(1,(25-Scenarios!$J$7+1)/MAX(1,Scenarios!$K$7)))</f>
        <v>1</v>
      </c>
      <c r="AC8" s="251" t="n">
        <f aca="false">MAX(0,MIN(1,(26-Scenarios!$J$7+1)/MAX(1,Scenarios!$K$7)))</f>
        <v>1</v>
      </c>
      <c r="AD8" s="251" t="n">
        <f aca="false">MAX(0,MIN(1,(27-Scenarios!$J$7+1)/MAX(1,Scenarios!$K$7)))</f>
        <v>1</v>
      </c>
      <c r="AE8" s="251" t="n">
        <f aca="false">MAX(0,MIN(1,(28-Scenarios!$J$7+1)/MAX(1,Scenarios!$K$7)))</f>
        <v>1</v>
      </c>
      <c r="AF8" s="251" t="n">
        <f aca="false">MAX(0,MIN(1,(29-Scenarios!$J$7+1)/MAX(1,Scenarios!$K$7)))</f>
        <v>1</v>
      </c>
      <c r="AG8" s="251" t="n">
        <f aca="false">MAX(0,MIN(1,(30-Scenarios!$J$7+1)/MAX(1,Scenarios!$K$7)))</f>
        <v>1</v>
      </c>
      <c r="AH8" s="252" t="n">
        <f aca="false">IFERROR(VLOOKUP(Scenarios!$D$7,'02_Type_Assumptions'!$A$4:$Z$25,13,FALSE()),0)</f>
        <v>2800</v>
      </c>
      <c r="AI8" s="252" t="n">
        <f aca="false">IFERROR(VLOOKUP(Scenarios!$D$7,'02_Type_Assumptions'!$A$4:$Z$25,14,FALSE()),0)</f>
        <v>0</v>
      </c>
      <c r="AJ8" s="252" t="n">
        <f aca="false">IFERROR(VLOOKUP(Scenarios!$D$7,'02_Type_Assumptions'!$A$4:$Z$25,15,FALSE()),0)</f>
        <v>0.05</v>
      </c>
      <c r="AK8" s="252" t="n">
        <f aca="false">IFERROR(VLOOKUP(Scenarios!$D$7,'02_Type_Assumptions'!$A$4:$Z$25,16,FALSE()),0)</f>
        <v>0</v>
      </c>
      <c r="AL8" s="252" t="n">
        <f aca="false">IFERROR(VLOOKUP(Scenarios!$D$7,'02_Type_Assumptions'!$A$4:$Z$25,17,FALSE()),0)</f>
        <v>200</v>
      </c>
      <c r="AM8" s="252" t="n">
        <f aca="false">IFERROR(VLOOKUP(Scenarios!$D$7,'02_Type_Assumptions'!$A$4:$Z$25,18,FALSE()),0)</f>
        <v>0</v>
      </c>
      <c r="AN8" s="252" t="n">
        <f aca="false">IFERROR(VLOOKUP(Scenarios!$D$7,'02_Type_Assumptions'!$A$4:$Z$25,19,FALSE()),0)</f>
        <v>0.005</v>
      </c>
      <c r="AO8" s="252" t="n">
        <f aca="false">IFERROR(VLOOKUP(Scenarios!$D$7,'02_Type_Assumptions'!$A$4:$Z$25,20,FALSE()),0)</f>
        <v>0</v>
      </c>
    </row>
    <row r="9" customFormat="false" ht="15" hidden="false" customHeight="true" outlineLevel="0" collapsed="false">
      <c r="A9" s="161" t="n">
        <v>6</v>
      </c>
      <c r="B9" s="250" t="b">
        <f aca="false">Scenarios!$C$8</f>
        <v>0</v>
      </c>
      <c r="C9" s="161" t="s">
        <v>863</v>
      </c>
      <c r="D9" s="251" t="n">
        <f aca="false">MAX(0,MIN(1,(1-Scenarios!$J$8+1)/MAX(1,Scenarios!$K$8)))</f>
        <v>0.5</v>
      </c>
      <c r="E9" s="251" t="n">
        <f aca="false">MAX(0,MIN(1,(2-Scenarios!$J$8+1)/MAX(1,Scenarios!$K$8)))</f>
        <v>1</v>
      </c>
      <c r="F9" s="251" t="n">
        <f aca="false">MAX(0,MIN(1,(3-Scenarios!$J$8+1)/MAX(1,Scenarios!$K$8)))</f>
        <v>1</v>
      </c>
      <c r="G9" s="251" t="n">
        <f aca="false">MAX(0,MIN(1,(4-Scenarios!$J$8+1)/MAX(1,Scenarios!$K$8)))</f>
        <v>1</v>
      </c>
      <c r="H9" s="251" t="n">
        <f aca="false">MAX(0,MIN(1,(5-Scenarios!$J$8+1)/MAX(1,Scenarios!$K$8)))</f>
        <v>1</v>
      </c>
      <c r="I9" s="251" t="n">
        <f aca="false">MAX(0,MIN(1,(6-Scenarios!$J$8+1)/MAX(1,Scenarios!$K$8)))</f>
        <v>1</v>
      </c>
      <c r="J9" s="251" t="n">
        <f aca="false">MAX(0,MIN(1,(7-Scenarios!$J$8+1)/MAX(1,Scenarios!$K$8)))</f>
        <v>1</v>
      </c>
      <c r="K9" s="251" t="n">
        <f aca="false">MAX(0,MIN(1,(8-Scenarios!$J$8+1)/MAX(1,Scenarios!$K$8)))</f>
        <v>1</v>
      </c>
      <c r="L9" s="251" t="n">
        <f aca="false">MAX(0,MIN(1,(9-Scenarios!$J$8+1)/MAX(1,Scenarios!$K$8)))</f>
        <v>1</v>
      </c>
      <c r="M9" s="251" t="n">
        <f aca="false">MAX(0,MIN(1,(10-Scenarios!$J$8+1)/MAX(1,Scenarios!$K$8)))</f>
        <v>1</v>
      </c>
      <c r="N9" s="251" t="n">
        <f aca="false">MAX(0,MIN(1,(11-Scenarios!$J$8+1)/MAX(1,Scenarios!$K$8)))</f>
        <v>1</v>
      </c>
      <c r="O9" s="251" t="n">
        <f aca="false">MAX(0,MIN(1,(12-Scenarios!$J$8+1)/MAX(1,Scenarios!$K$8)))</f>
        <v>1</v>
      </c>
      <c r="P9" s="251" t="n">
        <f aca="false">MAX(0,MIN(1,(13-Scenarios!$J$8+1)/MAX(1,Scenarios!$K$8)))</f>
        <v>1</v>
      </c>
      <c r="Q9" s="251" t="n">
        <f aca="false">MAX(0,MIN(1,(14-Scenarios!$J$8+1)/MAX(1,Scenarios!$K$8)))</f>
        <v>1</v>
      </c>
      <c r="R9" s="251" t="n">
        <f aca="false">MAX(0,MIN(1,(15-Scenarios!$J$8+1)/MAX(1,Scenarios!$K$8)))</f>
        <v>1</v>
      </c>
      <c r="S9" s="251" t="n">
        <f aca="false">MAX(0,MIN(1,(16-Scenarios!$J$8+1)/MAX(1,Scenarios!$K$8)))</f>
        <v>1</v>
      </c>
      <c r="T9" s="251" t="n">
        <f aca="false">MAX(0,MIN(1,(17-Scenarios!$J$8+1)/MAX(1,Scenarios!$K$8)))</f>
        <v>1</v>
      </c>
      <c r="U9" s="251" t="n">
        <f aca="false">MAX(0,MIN(1,(18-Scenarios!$J$8+1)/MAX(1,Scenarios!$K$8)))</f>
        <v>1</v>
      </c>
      <c r="V9" s="251" t="n">
        <f aca="false">MAX(0,MIN(1,(19-Scenarios!$J$8+1)/MAX(1,Scenarios!$K$8)))</f>
        <v>1</v>
      </c>
      <c r="W9" s="251" t="n">
        <f aca="false">MAX(0,MIN(1,(20-Scenarios!$J$8+1)/MAX(1,Scenarios!$K$8)))</f>
        <v>1</v>
      </c>
      <c r="X9" s="251" t="n">
        <f aca="false">MAX(0,MIN(1,(21-Scenarios!$J$8+1)/MAX(1,Scenarios!$K$8)))</f>
        <v>1</v>
      </c>
      <c r="Y9" s="251" t="n">
        <f aca="false">MAX(0,MIN(1,(22-Scenarios!$J$8+1)/MAX(1,Scenarios!$K$8)))</f>
        <v>1</v>
      </c>
      <c r="Z9" s="251" t="n">
        <f aca="false">MAX(0,MIN(1,(23-Scenarios!$J$8+1)/MAX(1,Scenarios!$K$8)))</f>
        <v>1</v>
      </c>
      <c r="AA9" s="251" t="n">
        <f aca="false">MAX(0,MIN(1,(24-Scenarios!$J$8+1)/MAX(1,Scenarios!$K$8)))</f>
        <v>1</v>
      </c>
      <c r="AB9" s="251" t="n">
        <f aca="false">MAX(0,MIN(1,(25-Scenarios!$J$8+1)/MAX(1,Scenarios!$K$8)))</f>
        <v>1</v>
      </c>
      <c r="AC9" s="251" t="n">
        <f aca="false">MAX(0,MIN(1,(26-Scenarios!$J$8+1)/MAX(1,Scenarios!$K$8)))</f>
        <v>1</v>
      </c>
      <c r="AD9" s="251" t="n">
        <f aca="false">MAX(0,MIN(1,(27-Scenarios!$J$8+1)/MAX(1,Scenarios!$K$8)))</f>
        <v>1</v>
      </c>
      <c r="AE9" s="251" t="n">
        <f aca="false">MAX(0,MIN(1,(28-Scenarios!$J$8+1)/MAX(1,Scenarios!$K$8)))</f>
        <v>1</v>
      </c>
      <c r="AF9" s="251" t="n">
        <f aca="false">MAX(0,MIN(1,(29-Scenarios!$J$8+1)/MAX(1,Scenarios!$K$8)))</f>
        <v>1</v>
      </c>
      <c r="AG9" s="251" t="n">
        <f aca="false">MAX(0,MIN(1,(30-Scenarios!$J$8+1)/MAX(1,Scenarios!$K$8)))</f>
        <v>1</v>
      </c>
      <c r="AH9" s="252" t="n">
        <f aca="false">IFERROR(VLOOKUP(Scenarios!$D$8,'02_Type_Assumptions'!$A$4:$Z$25,13,FALSE()),0)</f>
        <v>2400</v>
      </c>
      <c r="AI9" s="252" t="n">
        <f aca="false">IFERROR(VLOOKUP(Scenarios!$D$8,'02_Type_Assumptions'!$A$4:$Z$25,14,FALSE()),0)</f>
        <v>0</v>
      </c>
      <c r="AJ9" s="252" t="n">
        <f aca="false">IFERROR(VLOOKUP(Scenarios!$D$8,'02_Type_Assumptions'!$A$4:$Z$25,15,FALSE()),0)</f>
        <v>0.05</v>
      </c>
      <c r="AK9" s="252" t="n">
        <f aca="false">IFERROR(VLOOKUP(Scenarios!$D$8,'02_Type_Assumptions'!$A$4:$Z$25,16,FALSE()),0)</f>
        <v>0</v>
      </c>
      <c r="AL9" s="252" t="n">
        <f aca="false">IFERROR(VLOOKUP(Scenarios!$D$8,'02_Type_Assumptions'!$A$4:$Z$25,17,FALSE()),0)</f>
        <v>180</v>
      </c>
      <c r="AM9" s="252" t="n">
        <f aca="false">IFERROR(VLOOKUP(Scenarios!$D$8,'02_Type_Assumptions'!$A$4:$Z$25,18,FALSE()),0)</f>
        <v>0</v>
      </c>
      <c r="AN9" s="252" t="n">
        <f aca="false">IFERROR(VLOOKUP(Scenarios!$D$8,'02_Type_Assumptions'!$A$4:$Z$25,19,FALSE()),0)</f>
        <v>0.005</v>
      </c>
      <c r="AO9" s="252" t="n">
        <f aca="false">IFERROR(VLOOKUP(Scenarios!$D$8,'02_Type_Assumptions'!$A$4:$Z$25,20,FALSE()),0)</f>
        <v>0</v>
      </c>
    </row>
    <row r="10" customFormat="false" ht="15" hidden="false" customHeight="true" outlineLevel="0" collapsed="false">
      <c r="A10" s="161" t="n">
        <v>7</v>
      </c>
      <c r="B10" s="250" t="b">
        <f aca="false">Scenarios!$C$9</f>
        <v>0</v>
      </c>
      <c r="C10" s="161" t="s">
        <v>863</v>
      </c>
      <c r="D10" s="251" t="n">
        <f aca="false">MAX(0,MIN(1,(1-Scenarios!$J$9+1)/MAX(1,Scenarios!$K$9)))</f>
        <v>0.5</v>
      </c>
      <c r="E10" s="251" t="n">
        <f aca="false">MAX(0,MIN(1,(2-Scenarios!$J$9+1)/MAX(1,Scenarios!$K$9)))</f>
        <v>1</v>
      </c>
      <c r="F10" s="251" t="n">
        <f aca="false">MAX(0,MIN(1,(3-Scenarios!$J$9+1)/MAX(1,Scenarios!$K$9)))</f>
        <v>1</v>
      </c>
      <c r="G10" s="251" t="n">
        <f aca="false">MAX(0,MIN(1,(4-Scenarios!$J$9+1)/MAX(1,Scenarios!$K$9)))</f>
        <v>1</v>
      </c>
      <c r="H10" s="251" t="n">
        <f aca="false">MAX(0,MIN(1,(5-Scenarios!$J$9+1)/MAX(1,Scenarios!$K$9)))</f>
        <v>1</v>
      </c>
      <c r="I10" s="251" t="n">
        <f aca="false">MAX(0,MIN(1,(6-Scenarios!$J$9+1)/MAX(1,Scenarios!$K$9)))</f>
        <v>1</v>
      </c>
      <c r="J10" s="251" t="n">
        <f aca="false">MAX(0,MIN(1,(7-Scenarios!$J$9+1)/MAX(1,Scenarios!$K$9)))</f>
        <v>1</v>
      </c>
      <c r="K10" s="251" t="n">
        <f aca="false">MAX(0,MIN(1,(8-Scenarios!$J$9+1)/MAX(1,Scenarios!$K$9)))</f>
        <v>1</v>
      </c>
      <c r="L10" s="251" t="n">
        <f aca="false">MAX(0,MIN(1,(9-Scenarios!$J$9+1)/MAX(1,Scenarios!$K$9)))</f>
        <v>1</v>
      </c>
      <c r="M10" s="251" t="n">
        <f aca="false">MAX(0,MIN(1,(10-Scenarios!$J$9+1)/MAX(1,Scenarios!$K$9)))</f>
        <v>1</v>
      </c>
      <c r="N10" s="251" t="n">
        <f aca="false">MAX(0,MIN(1,(11-Scenarios!$J$9+1)/MAX(1,Scenarios!$K$9)))</f>
        <v>1</v>
      </c>
      <c r="O10" s="251" t="n">
        <f aca="false">MAX(0,MIN(1,(12-Scenarios!$J$9+1)/MAX(1,Scenarios!$K$9)))</f>
        <v>1</v>
      </c>
      <c r="P10" s="251" t="n">
        <f aca="false">MAX(0,MIN(1,(13-Scenarios!$J$9+1)/MAX(1,Scenarios!$K$9)))</f>
        <v>1</v>
      </c>
      <c r="Q10" s="251" t="n">
        <f aca="false">MAX(0,MIN(1,(14-Scenarios!$J$9+1)/MAX(1,Scenarios!$K$9)))</f>
        <v>1</v>
      </c>
      <c r="R10" s="251" t="n">
        <f aca="false">MAX(0,MIN(1,(15-Scenarios!$J$9+1)/MAX(1,Scenarios!$K$9)))</f>
        <v>1</v>
      </c>
      <c r="S10" s="251" t="n">
        <f aca="false">MAX(0,MIN(1,(16-Scenarios!$J$9+1)/MAX(1,Scenarios!$K$9)))</f>
        <v>1</v>
      </c>
      <c r="T10" s="251" t="n">
        <f aca="false">MAX(0,MIN(1,(17-Scenarios!$J$9+1)/MAX(1,Scenarios!$K$9)))</f>
        <v>1</v>
      </c>
      <c r="U10" s="251" t="n">
        <f aca="false">MAX(0,MIN(1,(18-Scenarios!$J$9+1)/MAX(1,Scenarios!$K$9)))</f>
        <v>1</v>
      </c>
      <c r="V10" s="251" t="n">
        <f aca="false">MAX(0,MIN(1,(19-Scenarios!$J$9+1)/MAX(1,Scenarios!$K$9)))</f>
        <v>1</v>
      </c>
      <c r="W10" s="251" t="n">
        <f aca="false">MAX(0,MIN(1,(20-Scenarios!$J$9+1)/MAX(1,Scenarios!$K$9)))</f>
        <v>1</v>
      </c>
      <c r="X10" s="251" t="n">
        <f aca="false">MAX(0,MIN(1,(21-Scenarios!$J$9+1)/MAX(1,Scenarios!$K$9)))</f>
        <v>1</v>
      </c>
      <c r="Y10" s="251" t="n">
        <f aca="false">MAX(0,MIN(1,(22-Scenarios!$J$9+1)/MAX(1,Scenarios!$K$9)))</f>
        <v>1</v>
      </c>
      <c r="Z10" s="251" t="n">
        <f aca="false">MAX(0,MIN(1,(23-Scenarios!$J$9+1)/MAX(1,Scenarios!$K$9)))</f>
        <v>1</v>
      </c>
      <c r="AA10" s="251" t="n">
        <f aca="false">MAX(0,MIN(1,(24-Scenarios!$J$9+1)/MAX(1,Scenarios!$K$9)))</f>
        <v>1</v>
      </c>
      <c r="AB10" s="251" t="n">
        <f aca="false">MAX(0,MIN(1,(25-Scenarios!$J$9+1)/MAX(1,Scenarios!$K$9)))</f>
        <v>1</v>
      </c>
      <c r="AC10" s="251" t="n">
        <f aca="false">MAX(0,MIN(1,(26-Scenarios!$J$9+1)/MAX(1,Scenarios!$K$9)))</f>
        <v>1</v>
      </c>
      <c r="AD10" s="251" t="n">
        <f aca="false">MAX(0,MIN(1,(27-Scenarios!$J$9+1)/MAX(1,Scenarios!$K$9)))</f>
        <v>1</v>
      </c>
      <c r="AE10" s="251" t="n">
        <f aca="false">MAX(0,MIN(1,(28-Scenarios!$J$9+1)/MAX(1,Scenarios!$K$9)))</f>
        <v>1</v>
      </c>
      <c r="AF10" s="251" t="n">
        <f aca="false">MAX(0,MIN(1,(29-Scenarios!$J$9+1)/MAX(1,Scenarios!$K$9)))</f>
        <v>1</v>
      </c>
      <c r="AG10" s="251" t="n">
        <f aca="false">MAX(0,MIN(1,(30-Scenarios!$J$9+1)/MAX(1,Scenarios!$K$9)))</f>
        <v>1</v>
      </c>
      <c r="AH10" s="252" t="n">
        <f aca="false">IFERROR(VLOOKUP(Scenarios!$D$9,'02_Type_Assumptions'!$A$4:$Z$25,13,FALSE()),0)</f>
        <v>2400</v>
      </c>
      <c r="AI10" s="252" t="n">
        <f aca="false">IFERROR(VLOOKUP(Scenarios!$D$9,'02_Type_Assumptions'!$A$4:$Z$25,14,FALSE()),0)</f>
        <v>0</v>
      </c>
      <c r="AJ10" s="252" t="n">
        <f aca="false">IFERROR(VLOOKUP(Scenarios!$D$9,'02_Type_Assumptions'!$A$4:$Z$25,15,FALSE()),0)</f>
        <v>0.05</v>
      </c>
      <c r="AK10" s="252" t="n">
        <f aca="false">IFERROR(VLOOKUP(Scenarios!$D$9,'02_Type_Assumptions'!$A$4:$Z$25,16,FALSE()),0)</f>
        <v>0</v>
      </c>
      <c r="AL10" s="252" t="n">
        <f aca="false">IFERROR(VLOOKUP(Scenarios!$D$9,'02_Type_Assumptions'!$A$4:$Z$25,17,FALSE()),0)</f>
        <v>180</v>
      </c>
      <c r="AM10" s="252" t="n">
        <f aca="false">IFERROR(VLOOKUP(Scenarios!$D$9,'02_Type_Assumptions'!$A$4:$Z$25,18,FALSE()),0)</f>
        <v>0</v>
      </c>
      <c r="AN10" s="252" t="n">
        <f aca="false">IFERROR(VLOOKUP(Scenarios!$D$9,'02_Type_Assumptions'!$A$4:$Z$25,19,FALSE()),0)</f>
        <v>0.005</v>
      </c>
      <c r="AO10" s="252" t="n">
        <f aca="false">IFERROR(VLOOKUP(Scenarios!$D$9,'02_Type_Assumptions'!$A$4:$Z$25,20,FALSE()),0)</f>
        <v>0</v>
      </c>
    </row>
    <row r="11" customFormat="false" ht="15" hidden="false" customHeight="true" outlineLevel="0" collapsed="false">
      <c r="A11" s="161" t="n">
        <v>8</v>
      </c>
      <c r="B11" s="250" t="b">
        <f aca="false">Scenarios!$C$10</f>
        <v>0</v>
      </c>
      <c r="C11" s="161" t="s">
        <v>863</v>
      </c>
      <c r="D11" s="251" t="n">
        <f aca="false">MAX(0,MIN(1,(1-Scenarios!$J$10+1)/MAX(1,Scenarios!$K$10)))</f>
        <v>0.5</v>
      </c>
      <c r="E11" s="251" t="n">
        <f aca="false">MAX(0,MIN(1,(2-Scenarios!$J$10+1)/MAX(1,Scenarios!$K$10)))</f>
        <v>1</v>
      </c>
      <c r="F11" s="251" t="n">
        <f aca="false">MAX(0,MIN(1,(3-Scenarios!$J$10+1)/MAX(1,Scenarios!$K$10)))</f>
        <v>1</v>
      </c>
      <c r="G11" s="251" t="n">
        <f aca="false">MAX(0,MIN(1,(4-Scenarios!$J$10+1)/MAX(1,Scenarios!$K$10)))</f>
        <v>1</v>
      </c>
      <c r="H11" s="251" t="n">
        <f aca="false">MAX(0,MIN(1,(5-Scenarios!$J$10+1)/MAX(1,Scenarios!$K$10)))</f>
        <v>1</v>
      </c>
      <c r="I11" s="251" t="n">
        <f aca="false">MAX(0,MIN(1,(6-Scenarios!$J$10+1)/MAX(1,Scenarios!$K$10)))</f>
        <v>1</v>
      </c>
      <c r="J11" s="251" t="n">
        <f aca="false">MAX(0,MIN(1,(7-Scenarios!$J$10+1)/MAX(1,Scenarios!$K$10)))</f>
        <v>1</v>
      </c>
      <c r="K11" s="251" t="n">
        <f aca="false">MAX(0,MIN(1,(8-Scenarios!$J$10+1)/MAX(1,Scenarios!$K$10)))</f>
        <v>1</v>
      </c>
      <c r="L11" s="251" t="n">
        <f aca="false">MAX(0,MIN(1,(9-Scenarios!$J$10+1)/MAX(1,Scenarios!$K$10)))</f>
        <v>1</v>
      </c>
      <c r="M11" s="251" t="n">
        <f aca="false">MAX(0,MIN(1,(10-Scenarios!$J$10+1)/MAX(1,Scenarios!$K$10)))</f>
        <v>1</v>
      </c>
      <c r="N11" s="251" t="n">
        <f aca="false">MAX(0,MIN(1,(11-Scenarios!$J$10+1)/MAX(1,Scenarios!$K$10)))</f>
        <v>1</v>
      </c>
      <c r="O11" s="251" t="n">
        <f aca="false">MAX(0,MIN(1,(12-Scenarios!$J$10+1)/MAX(1,Scenarios!$K$10)))</f>
        <v>1</v>
      </c>
      <c r="P11" s="251" t="n">
        <f aca="false">MAX(0,MIN(1,(13-Scenarios!$J$10+1)/MAX(1,Scenarios!$K$10)))</f>
        <v>1</v>
      </c>
      <c r="Q11" s="251" t="n">
        <f aca="false">MAX(0,MIN(1,(14-Scenarios!$J$10+1)/MAX(1,Scenarios!$K$10)))</f>
        <v>1</v>
      </c>
      <c r="R11" s="251" t="n">
        <f aca="false">MAX(0,MIN(1,(15-Scenarios!$J$10+1)/MAX(1,Scenarios!$K$10)))</f>
        <v>1</v>
      </c>
      <c r="S11" s="251" t="n">
        <f aca="false">MAX(0,MIN(1,(16-Scenarios!$J$10+1)/MAX(1,Scenarios!$K$10)))</f>
        <v>1</v>
      </c>
      <c r="T11" s="251" t="n">
        <f aca="false">MAX(0,MIN(1,(17-Scenarios!$J$10+1)/MAX(1,Scenarios!$K$10)))</f>
        <v>1</v>
      </c>
      <c r="U11" s="251" t="n">
        <f aca="false">MAX(0,MIN(1,(18-Scenarios!$J$10+1)/MAX(1,Scenarios!$K$10)))</f>
        <v>1</v>
      </c>
      <c r="V11" s="251" t="n">
        <f aca="false">MAX(0,MIN(1,(19-Scenarios!$J$10+1)/MAX(1,Scenarios!$K$10)))</f>
        <v>1</v>
      </c>
      <c r="W11" s="251" t="n">
        <f aca="false">MAX(0,MIN(1,(20-Scenarios!$J$10+1)/MAX(1,Scenarios!$K$10)))</f>
        <v>1</v>
      </c>
      <c r="X11" s="251" t="n">
        <f aca="false">MAX(0,MIN(1,(21-Scenarios!$J$10+1)/MAX(1,Scenarios!$K$10)))</f>
        <v>1</v>
      </c>
      <c r="Y11" s="251" t="n">
        <f aca="false">MAX(0,MIN(1,(22-Scenarios!$J$10+1)/MAX(1,Scenarios!$K$10)))</f>
        <v>1</v>
      </c>
      <c r="Z11" s="251" t="n">
        <f aca="false">MAX(0,MIN(1,(23-Scenarios!$J$10+1)/MAX(1,Scenarios!$K$10)))</f>
        <v>1</v>
      </c>
      <c r="AA11" s="251" t="n">
        <f aca="false">MAX(0,MIN(1,(24-Scenarios!$J$10+1)/MAX(1,Scenarios!$K$10)))</f>
        <v>1</v>
      </c>
      <c r="AB11" s="251" t="n">
        <f aca="false">MAX(0,MIN(1,(25-Scenarios!$J$10+1)/MAX(1,Scenarios!$K$10)))</f>
        <v>1</v>
      </c>
      <c r="AC11" s="251" t="n">
        <f aca="false">MAX(0,MIN(1,(26-Scenarios!$J$10+1)/MAX(1,Scenarios!$K$10)))</f>
        <v>1</v>
      </c>
      <c r="AD11" s="251" t="n">
        <f aca="false">MAX(0,MIN(1,(27-Scenarios!$J$10+1)/MAX(1,Scenarios!$K$10)))</f>
        <v>1</v>
      </c>
      <c r="AE11" s="251" t="n">
        <f aca="false">MAX(0,MIN(1,(28-Scenarios!$J$10+1)/MAX(1,Scenarios!$K$10)))</f>
        <v>1</v>
      </c>
      <c r="AF11" s="251" t="n">
        <f aca="false">MAX(0,MIN(1,(29-Scenarios!$J$10+1)/MAX(1,Scenarios!$K$10)))</f>
        <v>1</v>
      </c>
      <c r="AG11" s="251" t="n">
        <f aca="false">MAX(0,MIN(1,(30-Scenarios!$J$10+1)/MAX(1,Scenarios!$K$10)))</f>
        <v>1</v>
      </c>
      <c r="AH11" s="252" t="n">
        <f aca="false">IFERROR(VLOOKUP(Scenarios!$D$10,'02_Type_Assumptions'!$A$4:$Z$25,13,FALSE()),0)</f>
        <v>2400</v>
      </c>
      <c r="AI11" s="252" t="n">
        <f aca="false">IFERROR(VLOOKUP(Scenarios!$D$10,'02_Type_Assumptions'!$A$4:$Z$25,14,FALSE()),0)</f>
        <v>0</v>
      </c>
      <c r="AJ11" s="252" t="n">
        <f aca="false">IFERROR(VLOOKUP(Scenarios!$D$10,'02_Type_Assumptions'!$A$4:$Z$25,15,FALSE()),0)</f>
        <v>0.05</v>
      </c>
      <c r="AK11" s="252" t="n">
        <f aca="false">IFERROR(VLOOKUP(Scenarios!$D$10,'02_Type_Assumptions'!$A$4:$Z$25,16,FALSE()),0)</f>
        <v>0</v>
      </c>
      <c r="AL11" s="252" t="n">
        <f aca="false">IFERROR(VLOOKUP(Scenarios!$D$10,'02_Type_Assumptions'!$A$4:$Z$25,17,FALSE()),0)</f>
        <v>180</v>
      </c>
      <c r="AM11" s="252" t="n">
        <f aca="false">IFERROR(VLOOKUP(Scenarios!$D$10,'02_Type_Assumptions'!$A$4:$Z$25,18,FALSE()),0)</f>
        <v>0</v>
      </c>
      <c r="AN11" s="252" t="n">
        <f aca="false">IFERROR(VLOOKUP(Scenarios!$D$10,'02_Type_Assumptions'!$A$4:$Z$25,19,FALSE()),0)</f>
        <v>0.005</v>
      </c>
      <c r="AO11" s="252" t="n">
        <f aca="false">IFERROR(VLOOKUP(Scenarios!$D$10,'02_Type_Assumptions'!$A$4:$Z$25,20,FALSE()),0)</f>
        <v>0</v>
      </c>
    </row>
    <row r="12" customFormat="false" ht="15" hidden="false" customHeight="true" outlineLevel="0" collapsed="false">
      <c r="A12" s="161" t="n">
        <v>9</v>
      </c>
      <c r="B12" s="250" t="b">
        <f aca="false">Scenarios!$C$11</f>
        <v>0</v>
      </c>
      <c r="C12" s="161" t="s">
        <v>863</v>
      </c>
      <c r="D12" s="251" t="n">
        <f aca="false">MAX(0,MIN(1,(1-Scenarios!$J$11+1)/MAX(1,Scenarios!$K$11)))</f>
        <v>0.5</v>
      </c>
      <c r="E12" s="251" t="n">
        <f aca="false">MAX(0,MIN(1,(2-Scenarios!$J$11+1)/MAX(1,Scenarios!$K$11)))</f>
        <v>1</v>
      </c>
      <c r="F12" s="251" t="n">
        <f aca="false">MAX(0,MIN(1,(3-Scenarios!$J$11+1)/MAX(1,Scenarios!$K$11)))</f>
        <v>1</v>
      </c>
      <c r="G12" s="251" t="n">
        <f aca="false">MAX(0,MIN(1,(4-Scenarios!$J$11+1)/MAX(1,Scenarios!$K$11)))</f>
        <v>1</v>
      </c>
      <c r="H12" s="251" t="n">
        <f aca="false">MAX(0,MIN(1,(5-Scenarios!$J$11+1)/MAX(1,Scenarios!$K$11)))</f>
        <v>1</v>
      </c>
      <c r="I12" s="251" t="n">
        <f aca="false">MAX(0,MIN(1,(6-Scenarios!$J$11+1)/MAX(1,Scenarios!$K$11)))</f>
        <v>1</v>
      </c>
      <c r="J12" s="251" t="n">
        <f aca="false">MAX(0,MIN(1,(7-Scenarios!$J$11+1)/MAX(1,Scenarios!$K$11)))</f>
        <v>1</v>
      </c>
      <c r="K12" s="251" t="n">
        <f aca="false">MAX(0,MIN(1,(8-Scenarios!$J$11+1)/MAX(1,Scenarios!$K$11)))</f>
        <v>1</v>
      </c>
      <c r="L12" s="251" t="n">
        <f aca="false">MAX(0,MIN(1,(9-Scenarios!$J$11+1)/MAX(1,Scenarios!$K$11)))</f>
        <v>1</v>
      </c>
      <c r="M12" s="251" t="n">
        <f aca="false">MAX(0,MIN(1,(10-Scenarios!$J$11+1)/MAX(1,Scenarios!$K$11)))</f>
        <v>1</v>
      </c>
      <c r="N12" s="251" t="n">
        <f aca="false">MAX(0,MIN(1,(11-Scenarios!$J$11+1)/MAX(1,Scenarios!$K$11)))</f>
        <v>1</v>
      </c>
      <c r="O12" s="251" t="n">
        <f aca="false">MAX(0,MIN(1,(12-Scenarios!$J$11+1)/MAX(1,Scenarios!$K$11)))</f>
        <v>1</v>
      </c>
      <c r="P12" s="251" t="n">
        <f aca="false">MAX(0,MIN(1,(13-Scenarios!$J$11+1)/MAX(1,Scenarios!$K$11)))</f>
        <v>1</v>
      </c>
      <c r="Q12" s="251" t="n">
        <f aca="false">MAX(0,MIN(1,(14-Scenarios!$J$11+1)/MAX(1,Scenarios!$K$11)))</f>
        <v>1</v>
      </c>
      <c r="R12" s="251" t="n">
        <f aca="false">MAX(0,MIN(1,(15-Scenarios!$J$11+1)/MAX(1,Scenarios!$K$11)))</f>
        <v>1</v>
      </c>
      <c r="S12" s="251" t="n">
        <f aca="false">MAX(0,MIN(1,(16-Scenarios!$J$11+1)/MAX(1,Scenarios!$K$11)))</f>
        <v>1</v>
      </c>
      <c r="T12" s="251" t="n">
        <f aca="false">MAX(0,MIN(1,(17-Scenarios!$J$11+1)/MAX(1,Scenarios!$K$11)))</f>
        <v>1</v>
      </c>
      <c r="U12" s="251" t="n">
        <f aca="false">MAX(0,MIN(1,(18-Scenarios!$J$11+1)/MAX(1,Scenarios!$K$11)))</f>
        <v>1</v>
      </c>
      <c r="V12" s="251" t="n">
        <f aca="false">MAX(0,MIN(1,(19-Scenarios!$J$11+1)/MAX(1,Scenarios!$K$11)))</f>
        <v>1</v>
      </c>
      <c r="W12" s="251" t="n">
        <f aca="false">MAX(0,MIN(1,(20-Scenarios!$J$11+1)/MAX(1,Scenarios!$K$11)))</f>
        <v>1</v>
      </c>
      <c r="X12" s="251" t="n">
        <f aca="false">MAX(0,MIN(1,(21-Scenarios!$J$11+1)/MAX(1,Scenarios!$K$11)))</f>
        <v>1</v>
      </c>
      <c r="Y12" s="251" t="n">
        <f aca="false">MAX(0,MIN(1,(22-Scenarios!$J$11+1)/MAX(1,Scenarios!$K$11)))</f>
        <v>1</v>
      </c>
      <c r="Z12" s="251" t="n">
        <f aca="false">MAX(0,MIN(1,(23-Scenarios!$J$11+1)/MAX(1,Scenarios!$K$11)))</f>
        <v>1</v>
      </c>
      <c r="AA12" s="251" t="n">
        <f aca="false">MAX(0,MIN(1,(24-Scenarios!$J$11+1)/MAX(1,Scenarios!$K$11)))</f>
        <v>1</v>
      </c>
      <c r="AB12" s="251" t="n">
        <f aca="false">MAX(0,MIN(1,(25-Scenarios!$J$11+1)/MAX(1,Scenarios!$K$11)))</f>
        <v>1</v>
      </c>
      <c r="AC12" s="251" t="n">
        <f aca="false">MAX(0,MIN(1,(26-Scenarios!$J$11+1)/MAX(1,Scenarios!$K$11)))</f>
        <v>1</v>
      </c>
      <c r="AD12" s="251" t="n">
        <f aca="false">MAX(0,MIN(1,(27-Scenarios!$J$11+1)/MAX(1,Scenarios!$K$11)))</f>
        <v>1</v>
      </c>
      <c r="AE12" s="251" t="n">
        <f aca="false">MAX(0,MIN(1,(28-Scenarios!$J$11+1)/MAX(1,Scenarios!$K$11)))</f>
        <v>1</v>
      </c>
      <c r="AF12" s="251" t="n">
        <f aca="false">MAX(0,MIN(1,(29-Scenarios!$J$11+1)/MAX(1,Scenarios!$K$11)))</f>
        <v>1</v>
      </c>
      <c r="AG12" s="251" t="n">
        <f aca="false">MAX(0,MIN(1,(30-Scenarios!$J$11+1)/MAX(1,Scenarios!$K$11)))</f>
        <v>1</v>
      </c>
      <c r="AH12" s="252" t="n">
        <f aca="false">IFERROR(VLOOKUP(Scenarios!$D$11,'02_Type_Assumptions'!$A$4:$Z$25,13,FALSE()),0)</f>
        <v>2400</v>
      </c>
      <c r="AI12" s="252" t="n">
        <f aca="false">IFERROR(VLOOKUP(Scenarios!$D$11,'02_Type_Assumptions'!$A$4:$Z$25,14,FALSE()),0)</f>
        <v>0</v>
      </c>
      <c r="AJ12" s="252" t="n">
        <f aca="false">IFERROR(VLOOKUP(Scenarios!$D$11,'02_Type_Assumptions'!$A$4:$Z$25,15,FALSE()),0)</f>
        <v>0.05</v>
      </c>
      <c r="AK12" s="252" t="n">
        <f aca="false">IFERROR(VLOOKUP(Scenarios!$D$11,'02_Type_Assumptions'!$A$4:$Z$25,16,FALSE()),0)</f>
        <v>0</v>
      </c>
      <c r="AL12" s="252" t="n">
        <f aca="false">IFERROR(VLOOKUP(Scenarios!$D$11,'02_Type_Assumptions'!$A$4:$Z$25,17,FALSE()),0)</f>
        <v>180</v>
      </c>
      <c r="AM12" s="252" t="n">
        <f aca="false">IFERROR(VLOOKUP(Scenarios!$D$11,'02_Type_Assumptions'!$A$4:$Z$25,18,FALSE()),0)</f>
        <v>0</v>
      </c>
      <c r="AN12" s="252" t="n">
        <f aca="false">IFERROR(VLOOKUP(Scenarios!$D$11,'02_Type_Assumptions'!$A$4:$Z$25,19,FALSE()),0)</f>
        <v>0.005</v>
      </c>
      <c r="AO12" s="252" t="n">
        <f aca="false">IFERROR(VLOOKUP(Scenarios!$D$11,'02_Type_Assumptions'!$A$4:$Z$25,20,FALSE()),0)</f>
        <v>0</v>
      </c>
    </row>
    <row r="13" customFormat="false" ht="15" hidden="false" customHeight="true" outlineLevel="0" collapsed="false">
      <c r="A13" s="161" t="n">
        <v>10</v>
      </c>
      <c r="B13" s="250" t="b">
        <f aca="false">Scenarios!$C$12</f>
        <v>0</v>
      </c>
      <c r="C13" s="161" t="s">
        <v>863</v>
      </c>
      <c r="D13" s="251" t="n">
        <f aca="false">MAX(0,MIN(1,(1-Scenarios!$J$12+1)/MAX(1,Scenarios!$K$12)))</f>
        <v>0.5</v>
      </c>
      <c r="E13" s="251" t="n">
        <f aca="false">MAX(0,MIN(1,(2-Scenarios!$J$12+1)/MAX(1,Scenarios!$K$12)))</f>
        <v>1</v>
      </c>
      <c r="F13" s="251" t="n">
        <f aca="false">MAX(0,MIN(1,(3-Scenarios!$J$12+1)/MAX(1,Scenarios!$K$12)))</f>
        <v>1</v>
      </c>
      <c r="G13" s="251" t="n">
        <f aca="false">MAX(0,MIN(1,(4-Scenarios!$J$12+1)/MAX(1,Scenarios!$K$12)))</f>
        <v>1</v>
      </c>
      <c r="H13" s="251" t="n">
        <f aca="false">MAX(0,MIN(1,(5-Scenarios!$J$12+1)/MAX(1,Scenarios!$K$12)))</f>
        <v>1</v>
      </c>
      <c r="I13" s="251" t="n">
        <f aca="false">MAX(0,MIN(1,(6-Scenarios!$J$12+1)/MAX(1,Scenarios!$K$12)))</f>
        <v>1</v>
      </c>
      <c r="J13" s="251" t="n">
        <f aca="false">MAX(0,MIN(1,(7-Scenarios!$J$12+1)/MAX(1,Scenarios!$K$12)))</f>
        <v>1</v>
      </c>
      <c r="K13" s="251" t="n">
        <f aca="false">MAX(0,MIN(1,(8-Scenarios!$J$12+1)/MAX(1,Scenarios!$K$12)))</f>
        <v>1</v>
      </c>
      <c r="L13" s="251" t="n">
        <f aca="false">MAX(0,MIN(1,(9-Scenarios!$J$12+1)/MAX(1,Scenarios!$K$12)))</f>
        <v>1</v>
      </c>
      <c r="M13" s="251" t="n">
        <f aca="false">MAX(0,MIN(1,(10-Scenarios!$J$12+1)/MAX(1,Scenarios!$K$12)))</f>
        <v>1</v>
      </c>
      <c r="N13" s="251" t="n">
        <f aca="false">MAX(0,MIN(1,(11-Scenarios!$J$12+1)/MAX(1,Scenarios!$K$12)))</f>
        <v>1</v>
      </c>
      <c r="O13" s="251" t="n">
        <f aca="false">MAX(0,MIN(1,(12-Scenarios!$J$12+1)/MAX(1,Scenarios!$K$12)))</f>
        <v>1</v>
      </c>
      <c r="P13" s="251" t="n">
        <f aca="false">MAX(0,MIN(1,(13-Scenarios!$J$12+1)/MAX(1,Scenarios!$K$12)))</f>
        <v>1</v>
      </c>
      <c r="Q13" s="251" t="n">
        <f aca="false">MAX(0,MIN(1,(14-Scenarios!$J$12+1)/MAX(1,Scenarios!$K$12)))</f>
        <v>1</v>
      </c>
      <c r="R13" s="251" t="n">
        <f aca="false">MAX(0,MIN(1,(15-Scenarios!$J$12+1)/MAX(1,Scenarios!$K$12)))</f>
        <v>1</v>
      </c>
      <c r="S13" s="251" t="n">
        <f aca="false">MAX(0,MIN(1,(16-Scenarios!$J$12+1)/MAX(1,Scenarios!$K$12)))</f>
        <v>1</v>
      </c>
      <c r="T13" s="251" t="n">
        <f aca="false">MAX(0,MIN(1,(17-Scenarios!$J$12+1)/MAX(1,Scenarios!$K$12)))</f>
        <v>1</v>
      </c>
      <c r="U13" s="251" t="n">
        <f aca="false">MAX(0,MIN(1,(18-Scenarios!$J$12+1)/MAX(1,Scenarios!$K$12)))</f>
        <v>1</v>
      </c>
      <c r="V13" s="251" t="n">
        <f aca="false">MAX(0,MIN(1,(19-Scenarios!$J$12+1)/MAX(1,Scenarios!$K$12)))</f>
        <v>1</v>
      </c>
      <c r="W13" s="251" t="n">
        <f aca="false">MAX(0,MIN(1,(20-Scenarios!$J$12+1)/MAX(1,Scenarios!$K$12)))</f>
        <v>1</v>
      </c>
      <c r="X13" s="251" t="n">
        <f aca="false">MAX(0,MIN(1,(21-Scenarios!$J$12+1)/MAX(1,Scenarios!$K$12)))</f>
        <v>1</v>
      </c>
      <c r="Y13" s="251" t="n">
        <f aca="false">MAX(0,MIN(1,(22-Scenarios!$J$12+1)/MAX(1,Scenarios!$K$12)))</f>
        <v>1</v>
      </c>
      <c r="Z13" s="251" t="n">
        <f aca="false">MAX(0,MIN(1,(23-Scenarios!$J$12+1)/MAX(1,Scenarios!$K$12)))</f>
        <v>1</v>
      </c>
      <c r="AA13" s="251" t="n">
        <f aca="false">MAX(0,MIN(1,(24-Scenarios!$J$12+1)/MAX(1,Scenarios!$K$12)))</f>
        <v>1</v>
      </c>
      <c r="AB13" s="251" t="n">
        <f aca="false">MAX(0,MIN(1,(25-Scenarios!$J$12+1)/MAX(1,Scenarios!$K$12)))</f>
        <v>1</v>
      </c>
      <c r="AC13" s="251" t="n">
        <f aca="false">MAX(0,MIN(1,(26-Scenarios!$J$12+1)/MAX(1,Scenarios!$K$12)))</f>
        <v>1</v>
      </c>
      <c r="AD13" s="251" t="n">
        <f aca="false">MAX(0,MIN(1,(27-Scenarios!$J$12+1)/MAX(1,Scenarios!$K$12)))</f>
        <v>1</v>
      </c>
      <c r="AE13" s="251" t="n">
        <f aca="false">MAX(0,MIN(1,(28-Scenarios!$J$12+1)/MAX(1,Scenarios!$K$12)))</f>
        <v>1</v>
      </c>
      <c r="AF13" s="251" t="n">
        <f aca="false">MAX(0,MIN(1,(29-Scenarios!$J$12+1)/MAX(1,Scenarios!$K$12)))</f>
        <v>1</v>
      </c>
      <c r="AG13" s="251" t="n">
        <f aca="false">MAX(0,MIN(1,(30-Scenarios!$J$12+1)/MAX(1,Scenarios!$K$12)))</f>
        <v>1</v>
      </c>
      <c r="AH13" s="252" t="n">
        <f aca="false">IFERROR(VLOOKUP(Scenarios!$D$12,'02_Type_Assumptions'!$A$4:$Z$25,13,FALSE()),0)</f>
        <v>2400</v>
      </c>
      <c r="AI13" s="252" t="n">
        <f aca="false">IFERROR(VLOOKUP(Scenarios!$D$12,'02_Type_Assumptions'!$A$4:$Z$25,14,FALSE()),0)</f>
        <v>0</v>
      </c>
      <c r="AJ13" s="252" t="n">
        <f aca="false">IFERROR(VLOOKUP(Scenarios!$D$12,'02_Type_Assumptions'!$A$4:$Z$25,15,FALSE()),0)</f>
        <v>0.05</v>
      </c>
      <c r="AK13" s="252" t="n">
        <f aca="false">IFERROR(VLOOKUP(Scenarios!$D$12,'02_Type_Assumptions'!$A$4:$Z$25,16,FALSE()),0)</f>
        <v>0</v>
      </c>
      <c r="AL13" s="252" t="n">
        <f aca="false">IFERROR(VLOOKUP(Scenarios!$D$12,'02_Type_Assumptions'!$A$4:$Z$25,17,FALSE()),0)</f>
        <v>180</v>
      </c>
      <c r="AM13" s="252" t="n">
        <f aca="false">IFERROR(VLOOKUP(Scenarios!$D$12,'02_Type_Assumptions'!$A$4:$Z$25,18,FALSE()),0)</f>
        <v>0</v>
      </c>
      <c r="AN13" s="252" t="n">
        <f aca="false">IFERROR(VLOOKUP(Scenarios!$D$12,'02_Type_Assumptions'!$A$4:$Z$25,19,FALSE()),0)</f>
        <v>0.005</v>
      </c>
      <c r="AO13" s="252" t="n">
        <f aca="false">IFERROR(VLOOKUP(Scenarios!$D$12,'02_Type_Assumptions'!$A$4:$Z$25,20,FALSE()),0)</f>
        <v>0</v>
      </c>
    </row>
    <row r="14" customFormat="false" ht="15" hidden="false" customHeight="true" outlineLevel="0" collapsed="false">
      <c r="A14" s="161" t="n">
        <v>11</v>
      </c>
      <c r="B14" s="250" t="b">
        <f aca="false">Scenarios!$C$13</f>
        <v>0</v>
      </c>
      <c r="C14" s="161" t="s">
        <v>863</v>
      </c>
      <c r="D14" s="251" t="n">
        <f aca="false">MAX(0,MIN(1,(1-Scenarios!$J$13+1)/MAX(1,Scenarios!$K$13)))</f>
        <v>0.5</v>
      </c>
      <c r="E14" s="251" t="n">
        <f aca="false">MAX(0,MIN(1,(2-Scenarios!$J$13+1)/MAX(1,Scenarios!$K$13)))</f>
        <v>1</v>
      </c>
      <c r="F14" s="251" t="n">
        <f aca="false">MAX(0,MIN(1,(3-Scenarios!$J$13+1)/MAX(1,Scenarios!$K$13)))</f>
        <v>1</v>
      </c>
      <c r="G14" s="251" t="n">
        <f aca="false">MAX(0,MIN(1,(4-Scenarios!$J$13+1)/MAX(1,Scenarios!$K$13)))</f>
        <v>1</v>
      </c>
      <c r="H14" s="251" t="n">
        <f aca="false">MAX(0,MIN(1,(5-Scenarios!$J$13+1)/MAX(1,Scenarios!$K$13)))</f>
        <v>1</v>
      </c>
      <c r="I14" s="251" t="n">
        <f aca="false">MAX(0,MIN(1,(6-Scenarios!$J$13+1)/MAX(1,Scenarios!$K$13)))</f>
        <v>1</v>
      </c>
      <c r="J14" s="251" t="n">
        <f aca="false">MAX(0,MIN(1,(7-Scenarios!$J$13+1)/MAX(1,Scenarios!$K$13)))</f>
        <v>1</v>
      </c>
      <c r="K14" s="251" t="n">
        <f aca="false">MAX(0,MIN(1,(8-Scenarios!$J$13+1)/MAX(1,Scenarios!$K$13)))</f>
        <v>1</v>
      </c>
      <c r="L14" s="251" t="n">
        <f aca="false">MAX(0,MIN(1,(9-Scenarios!$J$13+1)/MAX(1,Scenarios!$K$13)))</f>
        <v>1</v>
      </c>
      <c r="M14" s="251" t="n">
        <f aca="false">MAX(0,MIN(1,(10-Scenarios!$J$13+1)/MAX(1,Scenarios!$K$13)))</f>
        <v>1</v>
      </c>
      <c r="N14" s="251" t="n">
        <f aca="false">MAX(0,MIN(1,(11-Scenarios!$J$13+1)/MAX(1,Scenarios!$K$13)))</f>
        <v>1</v>
      </c>
      <c r="O14" s="251" t="n">
        <f aca="false">MAX(0,MIN(1,(12-Scenarios!$J$13+1)/MAX(1,Scenarios!$K$13)))</f>
        <v>1</v>
      </c>
      <c r="P14" s="251" t="n">
        <f aca="false">MAX(0,MIN(1,(13-Scenarios!$J$13+1)/MAX(1,Scenarios!$K$13)))</f>
        <v>1</v>
      </c>
      <c r="Q14" s="251" t="n">
        <f aca="false">MAX(0,MIN(1,(14-Scenarios!$J$13+1)/MAX(1,Scenarios!$K$13)))</f>
        <v>1</v>
      </c>
      <c r="R14" s="251" t="n">
        <f aca="false">MAX(0,MIN(1,(15-Scenarios!$J$13+1)/MAX(1,Scenarios!$K$13)))</f>
        <v>1</v>
      </c>
      <c r="S14" s="251" t="n">
        <f aca="false">MAX(0,MIN(1,(16-Scenarios!$J$13+1)/MAX(1,Scenarios!$K$13)))</f>
        <v>1</v>
      </c>
      <c r="T14" s="251" t="n">
        <f aca="false">MAX(0,MIN(1,(17-Scenarios!$J$13+1)/MAX(1,Scenarios!$K$13)))</f>
        <v>1</v>
      </c>
      <c r="U14" s="251" t="n">
        <f aca="false">MAX(0,MIN(1,(18-Scenarios!$J$13+1)/MAX(1,Scenarios!$K$13)))</f>
        <v>1</v>
      </c>
      <c r="V14" s="251" t="n">
        <f aca="false">MAX(0,MIN(1,(19-Scenarios!$J$13+1)/MAX(1,Scenarios!$K$13)))</f>
        <v>1</v>
      </c>
      <c r="W14" s="251" t="n">
        <f aca="false">MAX(0,MIN(1,(20-Scenarios!$J$13+1)/MAX(1,Scenarios!$K$13)))</f>
        <v>1</v>
      </c>
      <c r="X14" s="251" t="n">
        <f aca="false">MAX(0,MIN(1,(21-Scenarios!$J$13+1)/MAX(1,Scenarios!$K$13)))</f>
        <v>1</v>
      </c>
      <c r="Y14" s="251" t="n">
        <f aca="false">MAX(0,MIN(1,(22-Scenarios!$J$13+1)/MAX(1,Scenarios!$K$13)))</f>
        <v>1</v>
      </c>
      <c r="Z14" s="251" t="n">
        <f aca="false">MAX(0,MIN(1,(23-Scenarios!$J$13+1)/MAX(1,Scenarios!$K$13)))</f>
        <v>1</v>
      </c>
      <c r="AA14" s="251" t="n">
        <f aca="false">MAX(0,MIN(1,(24-Scenarios!$J$13+1)/MAX(1,Scenarios!$K$13)))</f>
        <v>1</v>
      </c>
      <c r="AB14" s="251" t="n">
        <f aca="false">MAX(0,MIN(1,(25-Scenarios!$J$13+1)/MAX(1,Scenarios!$K$13)))</f>
        <v>1</v>
      </c>
      <c r="AC14" s="251" t="n">
        <f aca="false">MAX(0,MIN(1,(26-Scenarios!$J$13+1)/MAX(1,Scenarios!$K$13)))</f>
        <v>1</v>
      </c>
      <c r="AD14" s="251" t="n">
        <f aca="false">MAX(0,MIN(1,(27-Scenarios!$J$13+1)/MAX(1,Scenarios!$K$13)))</f>
        <v>1</v>
      </c>
      <c r="AE14" s="251" t="n">
        <f aca="false">MAX(0,MIN(1,(28-Scenarios!$J$13+1)/MAX(1,Scenarios!$K$13)))</f>
        <v>1</v>
      </c>
      <c r="AF14" s="251" t="n">
        <f aca="false">MAX(0,MIN(1,(29-Scenarios!$J$13+1)/MAX(1,Scenarios!$K$13)))</f>
        <v>1</v>
      </c>
      <c r="AG14" s="251" t="n">
        <f aca="false">MAX(0,MIN(1,(30-Scenarios!$J$13+1)/MAX(1,Scenarios!$K$13)))</f>
        <v>1</v>
      </c>
      <c r="AH14" s="252" t="n">
        <f aca="false">IFERROR(VLOOKUP(Scenarios!$D$13,'02_Type_Assumptions'!$A$4:$Z$25,13,FALSE()),0)</f>
        <v>2400</v>
      </c>
      <c r="AI14" s="252" t="n">
        <f aca="false">IFERROR(VLOOKUP(Scenarios!$D$13,'02_Type_Assumptions'!$A$4:$Z$25,14,FALSE()),0)</f>
        <v>0</v>
      </c>
      <c r="AJ14" s="252" t="n">
        <f aca="false">IFERROR(VLOOKUP(Scenarios!$D$13,'02_Type_Assumptions'!$A$4:$Z$25,15,FALSE()),0)</f>
        <v>0.05</v>
      </c>
      <c r="AK14" s="252" t="n">
        <f aca="false">IFERROR(VLOOKUP(Scenarios!$D$13,'02_Type_Assumptions'!$A$4:$Z$25,16,FALSE()),0)</f>
        <v>0</v>
      </c>
      <c r="AL14" s="252" t="n">
        <f aca="false">IFERROR(VLOOKUP(Scenarios!$D$13,'02_Type_Assumptions'!$A$4:$Z$25,17,FALSE()),0)</f>
        <v>180</v>
      </c>
      <c r="AM14" s="252" t="n">
        <f aca="false">IFERROR(VLOOKUP(Scenarios!$D$13,'02_Type_Assumptions'!$A$4:$Z$25,18,FALSE()),0)</f>
        <v>0</v>
      </c>
      <c r="AN14" s="252" t="n">
        <f aca="false">IFERROR(VLOOKUP(Scenarios!$D$13,'02_Type_Assumptions'!$A$4:$Z$25,19,FALSE()),0)</f>
        <v>0.005</v>
      </c>
      <c r="AO14" s="252" t="n">
        <f aca="false">IFERROR(VLOOKUP(Scenarios!$D$13,'02_Type_Assumptions'!$A$4:$Z$25,20,FALSE()),0)</f>
        <v>0</v>
      </c>
    </row>
    <row r="15" customFormat="false" ht="15" hidden="false" customHeight="true" outlineLevel="0" collapsed="false">
      <c r="A15" s="161" t="n">
        <v>12</v>
      </c>
      <c r="B15" s="250" t="b">
        <f aca="false">Scenarios!$C$14</f>
        <v>0</v>
      </c>
      <c r="C15" s="161" t="s">
        <v>863</v>
      </c>
      <c r="D15" s="251" t="n">
        <f aca="false">MAX(0,MIN(1,(1-Scenarios!$J$14+1)/MAX(1,Scenarios!$K$14)))</f>
        <v>0.5</v>
      </c>
      <c r="E15" s="251" t="n">
        <f aca="false">MAX(0,MIN(1,(2-Scenarios!$J$14+1)/MAX(1,Scenarios!$K$14)))</f>
        <v>1</v>
      </c>
      <c r="F15" s="251" t="n">
        <f aca="false">MAX(0,MIN(1,(3-Scenarios!$J$14+1)/MAX(1,Scenarios!$K$14)))</f>
        <v>1</v>
      </c>
      <c r="G15" s="251" t="n">
        <f aca="false">MAX(0,MIN(1,(4-Scenarios!$J$14+1)/MAX(1,Scenarios!$K$14)))</f>
        <v>1</v>
      </c>
      <c r="H15" s="251" t="n">
        <f aca="false">MAX(0,MIN(1,(5-Scenarios!$J$14+1)/MAX(1,Scenarios!$K$14)))</f>
        <v>1</v>
      </c>
      <c r="I15" s="251" t="n">
        <f aca="false">MAX(0,MIN(1,(6-Scenarios!$J$14+1)/MAX(1,Scenarios!$K$14)))</f>
        <v>1</v>
      </c>
      <c r="J15" s="251" t="n">
        <f aca="false">MAX(0,MIN(1,(7-Scenarios!$J$14+1)/MAX(1,Scenarios!$K$14)))</f>
        <v>1</v>
      </c>
      <c r="K15" s="251" t="n">
        <f aca="false">MAX(0,MIN(1,(8-Scenarios!$J$14+1)/MAX(1,Scenarios!$K$14)))</f>
        <v>1</v>
      </c>
      <c r="L15" s="251" t="n">
        <f aca="false">MAX(0,MIN(1,(9-Scenarios!$J$14+1)/MAX(1,Scenarios!$K$14)))</f>
        <v>1</v>
      </c>
      <c r="M15" s="251" t="n">
        <f aca="false">MAX(0,MIN(1,(10-Scenarios!$J$14+1)/MAX(1,Scenarios!$K$14)))</f>
        <v>1</v>
      </c>
      <c r="N15" s="251" t="n">
        <f aca="false">MAX(0,MIN(1,(11-Scenarios!$J$14+1)/MAX(1,Scenarios!$K$14)))</f>
        <v>1</v>
      </c>
      <c r="O15" s="251" t="n">
        <f aca="false">MAX(0,MIN(1,(12-Scenarios!$J$14+1)/MAX(1,Scenarios!$K$14)))</f>
        <v>1</v>
      </c>
      <c r="P15" s="251" t="n">
        <f aca="false">MAX(0,MIN(1,(13-Scenarios!$J$14+1)/MAX(1,Scenarios!$K$14)))</f>
        <v>1</v>
      </c>
      <c r="Q15" s="251" t="n">
        <f aca="false">MAX(0,MIN(1,(14-Scenarios!$J$14+1)/MAX(1,Scenarios!$K$14)))</f>
        <v>1</v>
      </c>
      <c r="R15" s="251" t="n">
        <f aca="false">MAX(0,MIN(1,(15-Scenarios!$J$14+1)/MAX(1,Scenarios!$K$14)))</f>
        <v>1</v>
      </c>
      <c r="S15" s="251" t="n">
        <f aca="false">MAX(0,MIN(1,(16-Scenarios!$J$14+1)/MAX(1,Scenarios!$K$14)))</f>
        <v>1</v>
      </c>
      <c r="T15" s="251" t="n">
        <f aca="false">MAX(0,MIN(1,(17-Scenarios!$J$14+1)/MAX(1,Scenarios!$K$14)))</f>
        <v>1</v>
      </c>
      <c r="U15" s="251" t="n">
        <f aca="false">MAX(0,MIN(1,(18-Scenarios!$J$14+1)/MAX(1,Scenarios!$K$14)))</f>
        <v>1</v>
      </c>
      <c r="V15" s="251" t="n">
        <f aca="false">MAX(0,MIN(1,(19-Scenarios!$J$14+1)/MAX(1,Scenarios!$K$14)))</f>
        <v>1</v>
      </c>
      <c r="W15" s="251" t="n">
        <f aca="false">MAX(0,MIN(1,(20-Scenarios!$J$14+1)/MAX(1,Scenarios!$K$14)))</f>
        <v>1</v>
      </c>
      <c r="X15" s="251" t="n">
        <f aca="false">MAX(0,MIN(1,(21-Scenarios!$J$14+1)/MAX(1,Scenarios!$K$14)))</f>
        <v>1</v>
      </c>
      <c r="Y15" s="251" t="n">
        <f aca="false">MAX(0,MIN(1,(22-Scenarios!$J$14+1)/MAX(1,Scenarios!$K$14)))</f>
        <v>1</v>
      </c>
      <c r="Z15" s="251" t="n">
        <f aca="false">MAX(0,MIN(1,(23-Scenarios!$J$14+1)/MAX(1,Scenarios!$K$14)))</f>
        <v>1</v>
      </c>
      <c r="AA15" s="251" t="n">
        <f aca="false">MAX(0,MIN(1,(24-Scenarios!$J$14+1)/MAX(1,Scenarios!$K$14)))</f>
        <v>1</v>
      </c>
      <c r="AB15" s="251" t="n">
        <f aca="false">MAX(0,MIN(1,(25-Scenarios!$J$14+1)/MAX(1,Scenarios!$K$14)))</f>
        <v>1</v>
      </c>
      <c r="AC15" s="251" t="n">
        <f aca="false">MAX(0,MIN(1,(26-Scenarios!$J$14+1)/MAX(1,Scenarios!$K$14)))</f>
        <v>1</v>
      </c>
      <c r="AD15" s="251" t="n">
        <f aca="false">MAX(0,MIN(1,(27-Scenarios!$J$14+1)/MAX(1,Scenarios!$K$14)))</f>
        <v>1</v>
      </c>
      <c r="AE15" s="251" t="n">
        <f aca="false">MAX(0,MIN(1,(28-Scenarios!$J$14+1)/MAX(1,Scenarios!$K$14)))</f>
        <v>1</v>
      </c>
      <c r="AF15" s="251" t="n">
        <f aca="false">MAX(0,MIN(1,(29-Scenarios!$J$14+1)/MAX(1,Scenarios!$K$14)))</f>
        <v>1</v>
      </c>
      <c r="AG15" s="251" t="n">
        <f aca="false">MAX(0,MIN(1,(30-Scenarios!$J$14+1)/MAX(1,Scenarios!$K$14)))</f>
        <v>1</v>
      </c>
      <c r="AH15" s="252" t="n">
        <f aca="false">IFERROR(VLOOKUP(Scenarios!$D$14,'02_Type_Assumptions'!$A$4:$Z$25,13,FALSE()),0)</f>
        <v>2400</v>
      </c>
      <c r="AI15" s="252" t="n">
        <f aca="false">IFERROR(VLOOKUP(Scenarios!$D$14,'02_Type_Assumptions'!$A$4:$Z$25,14,FALSE()),0)</f>
        <v>0</v>
      </c>
      <c r="AJ15" s="252" t="n">
        <f aca="false">IFERROR(VLOOKUP(Scenarios!$D$14,'02_Type_Assumptions'!$A$4:$Z$25,15,FALSE()),0)</f>
        <v>0.05</v>
      </c>
      <c r="AK15" s="252" t="n">
        <f aca="false">IFERROR(VLOOKUP(Scenarios!$D$14,'02_Type_Assumptions'!$A$4:$Z$25,16,FALSE()),0)</f>
        <v>0</v>
      </c>
      <c r="AL15" s="252" t="n">
        <f aca="false">IFERROR(VLOOKUP(Scenarios!$D$14,'02_Type_Assumptions'!$A$4:$Z$25,17,FALSE()),0)</f>
        <v>180</v>
      </c>
      <c r="AM15" s="252" t="n">
        <f aca="false">IFERROR(VLOOKUP(Scenarios!$D$14,'02_Type_Assumptions'!$A$4:$Z$25,18,FALSE()),0)</f>
        <v>0</v>
      </c>
      <c r="AN15" s="252" t="n">
        <f aca="false">IFERROR(VLOOKUP(Scenarios!$D$14,'02_Type_Assumptions'!$A$4:$Z$25,19,FALSE()),0)</f>
        <v>0.005</v>
      </c>
      <c r="AO15" s="252" t="n">
        <f aca="false">IFERROR(VLOOKUP(Scenarios!$D$14,'02_Type_Assumptions'!$A$4:$Z$25,20,FALSE()),0)</f>
        <v>0</v>
      </c>
    </row>
    <row r="16" customFormat="false" ht="15" hidden="false" customHeight="true" outlineLevel="0" collapsed="false">
      <c r="A16" s="161" t="n">
        <v>13</v>
      </c>
      <c r="B16" s="250" t="b">
        <f aca="false">Scenarios!$C$15</f>
        <v>1</v>
      </c>
      <c r="C16" s="161" t="s">
        <v>863</v>
      </c>
      <c r="D16" s="251" t="n">
        <f aca="false">MAX(0,MIN(1,(1-Scenarios!$J$15+1)/MAX(1,Scenarios!$K$15)))</f>
        <v>0.2</v>
      </c>
      <c r="E16" s="251" t="n">
        <f aca="false">MAX(0,MIN(1,(2-Scenarios!$J$15+1)/MAX(1,Scenarios!$K$15)))</f>
        <v>0.4</v>
      </c>
      <c r="F16" s="251" t="n">
        <f aca="false">MAX(0,MIN(1,(3-Scenarios!$J$15+1)/MAX(1,Scenarios!$K$15)))</f>
        <v>0.6</v>
      </c>
      <c r="G16" s="251" t="n">
        <f aca="false">MAX(0,MIN(1,(4-Scenarios!$J$15+1)/MAX(1,Scenarios!$K$15)))</f>
        <v>0.8</v>
      </c>
      <c r="H16" s="251" t="n">
        <f aca="false">MAX(0,MIN(1,(5-Scenarios!$J$15+1)/MAX(1,Scenarios!$K$15)))</f>
        <v>1</v>
      </c>
      <c r="I16" s="251" t="n">
        <f aca="false">MAX(0,MIN(1,(6-Scenarios!$J$15+1)/MAX(1,Scenarios!$K$15)))</f>
        <v>1</v>
      </c>
      <c r="J16" s="251" t="n">
        <f aca="false">MAX(0,MIN(1,(7-Scenarios!$J$15+1)/MAX(1,Scenarios!$K$15)))</f>
        <v>1</v>
      </c>
      <c r="K16" s="251" t="n">
        <f aca="false">MAX(0,MIN(1,(8-Scenarios!$J$15+1)/MAX(1,Scenarios!$K$15)))</f>
        <v>1</v>
      </c>
      <c r="L16" s="251" t="n">
        <f aca="false">MAX(0,MIN(1,(9-Scenarios!$J$15+1)/MAX(1,Scenarios!$K$15)))</f>
        <v>1</v>
      </c>
      <c r="M16" s="251" t="n">
        <f aca="false">MAX(0,MIN(1,(10-Scenarios!$J$15+1)/MAX(1,Scenarios!$K$15)))</f>
        <v>1</v>
      </c>
      <c r="N16" s="251" t="n">
        <f aca="false">MAX(0,MIN(1,(11-Scenarios!$J$15+1)/MAX(1,Scenarios!$K$15)))</f>
        <v>1</v>
      </c>
      <c r="O16" s="251" t="n">
        <f aca="false">MAX(0,MIN(1,(12-Scenarios!$J$15+1)/MAX(1,Scenarios!$K$15)))</f>
        <v>1</v>
      </c>
      <c r="P16" s="251" t="n">
        <f aca="false">MAX(0,MIN(1,(13-Scenarios!$J$15+1)/MAX(1,Scenarios!$K$15)))</f>
        <v>1</v>
      </c>
      <c r="Q16" s="251" t="n">
        <f aca="false">MAX(0,MIN(1,(14-Scenarios!$J$15+1)/MAX(1,Scenarios!$K$15)))</f>
        <v>1</v>
      </c>
      <c r="R16" s="251" t="n">
        <f aca="false">MAX(0,MIN(1,(15-Scenarios!$J$15+1)/MAX(1,Scenarios!$K$15)))</f>
        <v>1</v>
      </c>
      <c r="S16" s="251" t="n">
        <f aca="false">MAX(0,MIN(1,(16-Scenarios!$J$15+1)/MAX(1,Scenarios!$K$15)))</f>
        <v>1</v>
      </c>
      <c r="T16" s="251" t="n">
        <f aca="false">MAX(0,MIN(1,(17-Scenarios!$J$15+1)/MAX(1,Scenarios!$K$15)))</f>
        <v>1</v>
      </c>
      <c r="U16" s="251" t="n">
        <f aca="false">MAX(0,MIN(1,(18-Scenarios!$J$15+1)/MAX(1,Scenarios!$K$15)))</f>
        <v>1</v>
      </c>
      <c r="V16" s="251" t="n">
        <f aca="false">MAX(0,MIN(1,(19-Scenarios!$J$15+1)/MAX(1,Scenarios!$K$15)))</f>
        <v>1</v>
      </c>
      <c r="W16" s="251" t="n">
        <f aca="false">MAX(0,MIN(1,(20-Scenarios!$J$15+1)/MAX(1,Scenarios!$K$15)))</f>
        <v>1</v>
      </c>
      <c r="X16" s="251" t="n">
        <f aca="false">MAX(0,MIN(1,(21-Scenarios!$J$15+1)/MAX(1,Scenarios!$K$15)))</f>
        <v>1</v>
      </c>
      <c r="Y16" s="251" t="n">
        <f aca="false">MAX(0,MIN(1,(22-Scenarios!$J$15+1)/MAX(1,Scenarios!$K$15)))</f>
        <v>1</v>
      </c>
      <c r="Z16" s="251" t="n">
        <f aca="false">MAX(0,MIN(1,(23-Scenarios!$J$15+1)/MAX(1,Scenarios!$K$15)))</f>
        <v>1</v>
      </c>
      <c r="AA16" s="251" t="n">
        <f aca="false">MAX(0,MIN(1,(24-Scenarios!$J$15+1)/MAX(1,Scenarios!$K$15)))</f>
        <v>1</v>
      </c>
      <c r="AB16" s="251" t="n">
        <f aca="false">MAX(0,MIN(1,(25-Scenarios!$J$15+1)/MAX(1,Scenarios!$K$15)))</f>
        <v>1</v>
      </c>
      <c r="AC16" s="251" t="n">
        <f aca="false">MAX(0,MIN(1,(26-Scenarios!$J$15+1)/MAX(1,Scenarios!$K$15)))</f>
        <v>1</v>
      </c>
      <c r="AD16" s="251" t="n">
        <f aca="false">MAX(0,MIN(1,(27-Scenarios!$J$15+1)/MAX(1,Scenarios!$K$15)))</f>
        <v>1</v>
      </c>
      <c r="AE16" s="251" t="n">
        <f aca="false">MAX(0,MIN(1,(28-Scenarios!$J$15+1)/MAX(1,Scenarios!$K$15)))</f>
        <v>1</v>
      </c>
      <c r="AF16" s="251" t="n">
        <f aca="false">MAX(0,MIN(1,(29-Scenarios!$J$15+1)/MAX(1,Scenarios!$K$15)))</f>
        <v>1</v>
      </c>
      <c r="AG16" s="251" t="n">
        <f aca="false">MAX(0,MIN(1,(30-Scenarios!$J$15+1)/MAX(1,Scenarios!$K$15)))</f>
        <v>1</v>
      </c>
      <c r="AH16" s="252" t="n">
        <f aca="false">IFERROR(VLOOKUP(Scenarios!$D$15,'02_Type_Assumptions'!$A$4:$Z$25,13,FALSE()),0)</f>
        <v>1800</v>
      </c>
      <c r="AI16" s="252" t="n">
        <f aca="false">IFERROR(VLOOKUP(Scenarios!$D$15,'02_Type_Assumptions'!$A$4:$Z$25,14,FALSE()),0)</f>
        <v>680</v>
      </c>
      <c r="AJ16" s="252" t="n">
        <f aca="false">IFERROR(VLOOKUP(Scenarios!$D$15,'02_Type_Assumptions'!$A$4:$Z$25,15,FALSE()),0)</f>
        <v>0</v>
      </c>
      <c r="AK16" s="252" t="n">
        <f aca="false">IFERROR(VLOOKUP(Scenarios!$D$15,'02_Type_Assumptions'!$A$4:$Z$25,16,FALSE()),0)</f>
        <v>0</v>
      </c>
      <c r="AL16" s="252" t="n">
        <f aca="false">IFERROR(VLOOKUP(Scenarios!$D$15,'02_Type_Assumptions'!$A$4:$Z$25,17,FALSE()),0)</f>
        <v>250</v>
      </c>
      <c r="AM16" s="252" t="n">
        <f aca="false">IFERROR(VLOOKUP(Scenarios!$D$15,'02_Type_Assumptions'!$A$4:$Z$25,18,FALSE()),0)</f>
        <v>220</v>
      </c>
      <c r="AN16" s="252" t="n">
        <f aca="false">IFERROR(VLOOKUP(Scenarios!$D$15,'02_Type_Assumptions'!$A$4:$Z$25,19,FALSE()),0)</f>
        <v>0</v>
      </c>
      <c r="AO16" s="252" t="n">
        <f aca="false">IFERROR(VLOOKUP(Scenarios!$D$15,'02_Type_Assumptions'!$A$4:$Z$25,20,FALSE()),0)</f>
        <v>0</v>
      </c>
    </row>
    <row r="17" customFormat="false" ht="15" hidden="false" customHeight="true" outlineLevel="0" collapsed="false">
      <c r="A17" s="161" t="n">
        <v>14</v>
      </c>
      <c r="B17" s="250" t="b">
        <f aca="false">Scenarios!$C$16</f>
        <v>0</v>
      </c>
      <c r="C17" s="161" t="s">
        <v>863</v>
      </c>
      <c r="D17" s="251" t="n">
        <f aca="false">MAX(0,MIN(1,(1-Scenarios!$J$16+1)/MAX(1,Scenarios!$K$16)))</f>
        <v>0.125</v>
      </c>
      <c r="E17" s="251" t="n">
        <f aca="false">MAX(0,MIN(1,(2-Scenarios!$J$16+1)/MAX(1,Scenarios!$K$16)))</f>
        <v>0.25</v>
      </c>
      <c r="F17" s="251" t="n">
        <f aca="false">MAX(0,MIN(1,(3-Scenarios!$J$16+1)/MAX(1,Scenarios!$K$16)))</f>
        <v>0.375</v>
      </c>
      <c r="G17" s="251" t="n">
        <f aca="false">MAX(0,MIN(1,(4-Scenarios!$J$16+1)/MAX(1,Scenarios!$K$16)))</f>
        <v>0.5</v>
      </c>
      <c r="H17" s="251" t="n">
        <f aca="false">MAX(0,MIN(1,(5-Scenarios!$J$16+1)/MAX(1,Scenarios!$K$16)))</f>
        <v>0.625</v>
      </c>
      <c r="I17" s="251" t="n">
        <f aca="false">MAX(0,MIN(1,(6-Scenarios!$J$16+1)/MAX(1,Scenarios!$K$16)))</f>
        <v>0.75</v>
      </c>
      <c r="J17" s="251" t="n">
        <f aca="false">MAX(0,MIN(1,(7-Scenarios!$J$16+1)/MAX(1,Scenarios!$K$16)))</f>
        <v>0.875</v>
      </c>
      <c r="K17" s="251" t="n">
        <f aca="false">MAX(0,MIN(1,(8-Scenarios!$J$16+1)/MAX(1,Scenarios!$K$16)))</f>
        <v>1</v>
      </c>
      <c r="L17" s="251" t="n">
        <f aca="false">MAX(0,MIN(1,(9-Scenarios!$J$16+1)/MAX(1,Scenarios!$K$16)))</f>
        <v>1</v>
      </c>
      <c r="M17" s="251" t="n">
        <f aca="false">MAX(0,MIN(1,(10-Scenarios!$J$16+1)/MAX(1,Scenarios!$K$16)))</f>
        <v>1</v>
      </c>
      <c r="N17" s="251" t="n">
        <f aca="false">MAX(0,MIN(1,(11-Scenarios!$J$16+1)/MAX(1,Scenarios!$K$16)))</f>
        <v>1</v>
      </c>
      <c r="O17" s="251" t="n">
        <f aca="false">MAX(0,MIN(1,(12-Scenarios!$J$16+1)/MAX(1,Scenarios!$K$16)))</f>
        <v>1</v>
      </c>
      <c r="P17" s="251" t="n">
        <f aca="false">MAX(0,MIN(1,(13-Scenarios!$J$16+1)/MAX(1,Scenarios!$K$16)))</f>
        <v>1</v>
      </c>
      <c r="Q17" s="251" t="n">
        <f aca="false">MAX(0,MIN(1,(14-Scenarios!$J$16+1)/MAX(1,Scenarios!$K$16)))</f>
        <v>1</v>
      </c>
      <c r="R17" s="251" t="n">
        <f aca="false">MAX(0,MIN(1,(15-Scenarios!$J$16+1)/MAX(1,Scenarios!$K$16)))</f>
        <v>1</v>
      </c>
      <c r="S17" s="251" t="n">
        <f aca="false">MAX(0,MIN(1,(16-Scenarios!$J$16+1)/MAX(1,Scenarios!$K$16)))</f>
        <v>1</v>
      </c>
      <c r="T17" s="251" t="n">
        <f aca="false">MAX(0,MIN(1,(17-Scenarios!$J$16+1)/MAX(1,Scenarios!$K$16)))</f>
        <v>1</v>
      </c>
      <c r="U17" s="251" t="n">
        <f aca="false">MAX(0,MIN(1,(18-Scenarios!$J$16+1)/MAX(1,Scenarios!$K$16)))</f>
        <v>1</v>
      </c>
      <c r="V17" s="251" t="n">
        <f aca="false">MAX(0,MIN(1,(19-Scenarios!$J$16+1)/MAX(1,Scenarios!$K$16)))</f>
        <v>1</v>
      </c>
      <c r="W17" s="251" t="n">
        <f aca="false">MAX(0,MIN(1,(20-Scenarios!$J$16+1)/MAX(1,Scenarios!$K$16)))</f>
        <v>1</v>
      </c>
      <c r="X17" s="251" t="n">
        <f aca="false">MAX(0,MIN(1,(21-Scenarios!$J$16+1)/MAX(1,Scenarios!$K$16)))</f>
        <v>1</v>
      </c>
      <c r="Y17" s="251" t="n">
        <f aca="false">MAX(0,MIN(1,(22-Scenarios!$J$16+1)/MAX(1,Scenarios!$K$16)))</f>
        <v>1</v>
      </c>
      <c r="Z17" s="251" t="n">
        <f aca="false">MAX(0,MIN(1,(23-Scenarios!$J$16+1)/MAX(1,Scenarios!$K$16)))</f>
        <v>1</v>
      </c>
      <c r="AA17" s="251" t="n">
        <f aca="false">MAX(0,MIN(1,(24-Scenarios!$J$16+1)/MAX(1,Scenarios!$K$16)))</f>
        <v>1</v>
      </c>
      <c r="AB17" s="251" t="n">
        <f aca="false">MAX(0,MIN(1,(25-Scenarios!$J$16+1)/MAX(1,Scenarios!$K$16)))</f>
        <v>1</v>
      </c>
      <c r="AC17" s="251" t="n">
        <f aca="false">MAX(0,MIN(1,(26-Scenarios!$J$16+1)/MAX(1,Scenarios!$K$16)))</f>
        <v>1</v>
      </c>
      <c r="AD17" s="251" t="n">
        <f aca="false">MAX(0,MIN(1,(27-Scenarios!$J$16+1)/MAX(1,Scenarios!$K$16)))</f>
        <v>1</v>
      </c>
      <c r="AE17" s="251" t="n">
        <f aca="false">MAX(0,MIN(1,(28-Scenarios!$J$16+1)/MAX(1,Scenarios!$K$16)))</f>
        <v>1</v>
      </c>
      <c r="AF17" s="251" t="n">
        <f aca="false">MAX(0,MIN(1,(29-Scenarios!$J$16+1)/MAX(1,Scenarios!$K$16)))</f>
        <v>1</v>
      </c>
      <c r="AG17" s="251" t="n">
        <f aca="false">MAX(0,MIN(1,(30-Scenarios!$J$16+1)/MAX(1,Scenarios!$K$16)))</f>
        <v>1</v>
      </c>
      <c r="AH17" s="252" t="n">
        <f aca="false">IFERROR(VLOOKUP(Scenarios!$D$16,'02_Type_Assumptions'!$A$4:$Z$25,13,FALSE()),0)</f>
        <v>2000</v>
      </c>
      <c r="AI17" s="252" t="n">
        <f aca="false">IFERROR(VLOOKUP(Scenarios!$D$16,'02_Type_Assumptions'!$A$4:$Z$25,14,FALSE()),0)</f>
        <v>680</v>
      </c>
      <c r="AJ17" s="252" t="n">
        <f aca="false">IFERROR(VLOOKUP(Scenarios!$D$16,'02_Type_Assumptions'!$A$4:$Z$25,15,FALSE()),0)</f>
        <v>0</v>
      </c>
      <c r="AK17" s="252" t="n">
        <f aca="false">IFERROR(VLOOKUP(Scenarios!$D$16,'02_Type_Assumptions'!$A$4:$Z$25,16,FALSE()),0)</f>
        <v>0</v>
      </c>
      <c r="AL17" s="252" t="n">
        <f aca="false">IFERROR(VLOOKUP(Scenarios!$D$16,'02_Type_Assumptions'!$A$4:$Z$25,17,FALSE()),0)</f>
        <v>260</v>
      </c>
      <c r="AM17" s="252" t="n">
        <f aca="false">IFERROR(VLOOKUP(Scenarios!$D$16,'02_Type_Assumptions'!$A$4:$Z$25,18,FALSE()),0)</f>
        <v>220</v>
      </c>
      <c r="AN17" s="252" t="n">
        <f aca="false">IFERROR(VLOOKUP(Scenarios!$D$16,'02_Type_Assumptions'!$A$4:$Z$25,19,FALSE()),0)</f>
        <v>0</v>
      </c>
      <c r="AO17" s="252" t="n">
        <f aca="false">IFERROR(VLOOKUP(Scenarios!$D$16,'02_Type_Assumptions'!$A$4:$Z$25,20,FALSE()),0)</f>
        <v>0</v>
      </c>
    </row>
    <row r="18" customFormat="false" ht="15" hidden="false" customHeight="true" outlineLevel="0" collapsed="false">
      <c r="A18" s="161" t="n">
        <v>15</v>
      </c>
      <c r="B18" s="250" t="b">
        <f aca="false">Scenarios!$C$17</f>
        <v>0</v>
      </c>
      <c r="C18" s="161" t="s">
        <v>863</v>
      </c>
      <c r="D18" s="251" t="n">
        <f aca="false">MAX(0,MIN(1,(1-Scenarios!$J$17+1)/MAX(1,Scenarios!$K$17)))</f>
        <v>0.333333333333333</v>
      </c>
      <c r="E18" s="251" t="n">
        <f aca="false">MAX(0,MIN(1,(2-Scenarios!$J$17+1)/MAX(1,Scenarios!$K$17)))</f>
        <v>0.666666666666667</v>
      </c>
      <c r="F18" s="251" t="n">
        <f aca="false">MAX(0,MIN(1,(3-Scenarios!$J$17+1)/MAX(1,Scenarios!$K$17)))</f>
        <v>1</v>
      </c>
      <c r="G18" s="251" t="n">
        <f aca="false">MAX(0,MIN(1,(4-Scenarios!$J$17+1)/MAX(1,Scenarios!$K$17)))</f>
        <v>1</v>
      </c>
      <c r="H18" s="251" t="n">
        <f aca="false">MAX(0,MIN(1,(5-Scenarios!$J$17+1)/MAX(1,Scenarios!$K$17)))</f>
        <v>1</v>
      </c>
      <c r="I18" s="251" t="n">
        <f aca="false">MAX(0,MIN(1,(6-Scenarios!$J$17+1)/MAX(1,Scenarios!$K$17)))</f>
        <v>1</v>
      </c>
      <c r="J18" s="251" t="n">
        <f aca="false">MAX(0,MIN(1,(7-Scenarios!$J$17+1)/MAX(1,Scenarios!$K$17)))</f>
        <v>1</v>
      </c>
      <c r="K18" s="251" t="n">
        <f aca="false">MAX(0,MIN(1,(8-Scenarios!$J$17+1)/MAX(1,Scenarios!$K$17)))</f>
        <v>1</v>
      </c>
      <c r="L18" s="251" t="n">
        <f aca="false">MAX(0,MIN(1,(9-Scenarios!$J$17+1)/MAX(1,Scenarios!$K$17)))</f>
        <v>1</v>
      </c>
      <c r="M18" s="251" t="n">
        <f aca="false">MAX(0,MIN(1,(10-Scenarios!$J$17+1)/MAX(1,Scenarios!$K$17)))</f>
        <v>1</v>
      </c>
      <c r="N18" s="251" t="n">
        <f aca="false">MAX(0,MIN(1,(11-Scenarios!$J$17+1)/MAX(1,Scenarios!$K$17)))</f>
        <v>1</v>
      </c>
      <c r="O18" s="251" t="n">
        <f aca="false">MAX(0,MIN(1,(12-Scenarios!$J$17+1)/MAX(1,Scenarios!$K$17)))</f>
        <v>1</v>
      </c>
      <c r="P18" s="251" t="n">
        <f aca="false">MAX(0,MIN(1,(13-Scenarios!$J$17+1)/MAX(1,Scenarios!$K$17)))</f>
        <v>1</v>
      </c>
      <c r="Q18" s="251" t="n">
        <f aca="false">MAX(0,MIN(1,(14-Scenarios!$J$17+1)/MAX(1,Scenarios!$K$17)))</f>
        <v>1</v>
      </c>
      <c r="R18" s="251" t="n">
        <f aca="false">MAX(0,MIN(1,(15-Scenarios!$J$17+1)/MAX(1,Scenarios!$K$17)))</f>
        <v>1</v>
      </c>
      <c r="S18" s="251" t="n">
        <f aca="false">MAX(0,MIN(1,(16-Scenarios!$J$17+1)/MAX(1,Scenarios!$K$17)))</f>
        <v>1</v>
      </c>
      <c r="T18" s="251" t="n">
        <f aca="false">MAX(0,MIN(1,(17-Scenarios!$J$17+1)/MAX(1,Scenarios!$K$17)))</f>
        <v>1</v>
      </c>
      <c r="U18" s="251" t="n">
        <f aca="false">MAX(0,MIN(1,(18-Scenarios!$J$17+1)/MAX(1,Scenarios!$K$17)))</f>
        <v>1</v>
      </c>
      <c r="V18" s="251" t="n">
        <f aca="false">MAX(0,MIN(1,(19-Scenarios!$J$17+1)/MAX(1,Scenarios!$K$17)))</f>
        <v>1</v>
      </c>
      <c r="W18" s="251" t="n">
        <f aca="false">MAX(0,MIN(1,(20-Scenarios!$J$17+1)/MAX(1,Scenarios!$K$17)))</f>
        <v>1</v>
      </c>
      <c r="X18" s="251" t="n">
        <f aca="false">MAX(0,MIN(1,(21-Scenarios!$J$17+1)/MAX(1,Scenarios!$K$17)))</f>
        <v>1</v>
      </c>
      <c r="Y18" s="251" t="n">
        <f aca="false">MAX(0,MIN(1,(22-Scenarios!$J$17+1)/MAX(1,Scenarios!$K$17)))</f>
        <v>1</v>
      </c>
      <c r="Z18" s="251" t="n">
        <f aca="false">MAX(0,MIN(1,(23-Scenarios!$J$17+1)/MAX(1,Scenarios!$K$17)))</f>
        <v>1</v>
      </c>
      <c r="AA18" s="251" t="n">
        <f aca="false">MAX(0,MIN(1,(24-Scenarios!$J$17+1)/MAX(1,Scenarios!$K$17)))</f>
        <v>1</v>
      </c>
      <c r="AB18" s="251" t="n">
        <f aca="false">MAX(0,MIN(1,(25-Scenarios!$J$17+1)/MAX(1,Scenarios!$K$17)))</f>
        <v>1</v>
      </c>
      <c r="AC18" s="251" t="n">
        <f aca="false">MAX(0,MIN(1,(26-Scenarios!$J$17+1)/MAX(1,Scenarios!$K$17)))</f>
        <v>1</v>
      </c>
      <c r="AD18" s="251" t="n">
        <f aca="false">MAX(0,MIN(1,(27-Scenarios!$J$17+1)/MAX(1,Scenarios!$K$17)))</f>
        <v>1</v>
      </c>
      <c r="AE18" s="251" t="n">
        <f aca="false">MAX(0,MIN(1,(28-Scenarios!$J$17+1)/MAX(1,Scenarios!$K$17)))</f>
        <v>1</v>
      </c>
      <c r="AF18" s="251" t="n">
        <f aca="false">MAX(0,MIN(1,(29-Scenarios!$J$17+1)/MAX(1,Scenarios!$K$17)))</f>
        <v>1</v>
      </c>
      <c r="AG18" s="251" t="n">
        <f aca="false">MAX(0,MIN(1,(30-Scenarios!$J$17+1)/MAX(1,Scenarios!$K$17)))</f>
        <v>1</v>
      </c>
      <c r="AH18" s="252" t="n">
        <f aca="false">IFERROR(VLOOKUP(Scenarios!$D$17,'02_Type_Assumptions'!$A$4:$Z$25,13,FALSE()),0)</f>
        <v>2500</v>
      </c>
      <c r="AI18" s="252" t="n">
        <f aca="false">IFERROR(VLOOKUP(Scenarios!$D$17,'02_Type_Assumptions'!$A$4:$Z$25,14,FALSE()),0)</f>
        <v>680</v>
      </c>
      <c r="AJ18" s="252" t="n">
        <f aca="false">IFERROR(VLOOKUP(Scenarios!$D$17,'02_Type_Assumptions'!$A$4:$Z$25,15,FALSE()),0)</f>
        <v>0</v>
      </c>
      <c r="AK18" s="252" t="n">
        <f aca="false">IFERROR(VLOOKUP(Scenarios!$D$17,'02_Type_Assumptions'!$A$4:$Z$25,16,FALSE()),0)</f>
        <v>0</v>
      </c>
      <c r="AL18" s="252" t="n">
        <f aca="false">IFERROR(VLOOKUP(Scenarios!$D$17,'02_Type_Assumptions'!$A$4:$Z$25,17,FALSE()),0)</f>
        <v>300</v>
      </c>
      <c r="AM18" s="252" t="n">
        <f aca="false">IFERROR(VLOOKUP(Scenarios!$D$17,'02_Type_Assumptions'!$A$4:$Z$25,18,FALSE()),0)</f>
        <v>220</v>
      </c>
      <c r="AN18" s="252" t="n">
        <f aca="false">IFERROR(VLOOKUP(Scenarios!$D$17,'02_Type_Assumptions'!$A$4:$Z$25,19,FALSE()),0)</f>
        <v>0</v>
      </c>
      <c r="AO18" s="252" t="n">
        <f aca="false">IFERROR(VLOOKUP(Scenarios!$D$17,'02_Type_Assumptions'!$A$4:$Z$25,20,FALSE()),0)</f>
        <v>0</v>
      </c>
    </row>
    <row r="19" customFormat="false" ht="15" hidden="false" customHeight="true" outlineLevel="0" collapsed="false">
      <c r="A19" s="161" t="n">
        <v>16</v>
      </c>
      <c r="B19" s="250" t="b">
        <f aca="false">Scenarios!$C$18</f>
        <v>0</v>
      </c>
      <c r="C19" s="161" t="s">
        <v>863</v>
      </c>
      <c r="D19" s="251" t="n">
        <f aca="false">MAX(0,MIN(1,(1-Scenarios!$J$18+1)/MAX(1,Scenarios!$K$18)))</f>
        <v>0.5</v>
      </c>
      <c r="E19" s="251" t="n">
        <f aca="false">MAX(0,MIN(1,(2-Scenarios!$J$18+1)/MAX(1,Scenarios!$K$18)))</f>
        <v>1</v>
      </c>
      <c r="F19" s="251" t="n">
        <f aca="false">MAX(0,MIN(1,(3-Scenarios!$J$18+1)/MAX(1,Scenarios!$K$18)))</f>
        <v>1</v>
      </c>
      <c r="G19" s="251" t="n">
        <f aca="false">MAX(0,MIN(1,(4-Scenarios!$J$18+1)/MAX(1,Scenarios!$K$18)))</f>
        <v>1</v>
      </c>
      <c r="H19" s="251" t="n">
        <f aca="false">MAX(0,MIN(1,(5-Scenarios!$J$18+1)/MAX(1,Scenarios!$K$18)))</f>
        <v>1</v>
      </c>
      <c r="I19" s="251" t="n">
        <f aca="false">MAX(0,MIN(1,(6-Scenarios!$J$18+1)/MAX(1,Scenarios!$K$18)))</f>
        <v>1</v>
      </c>
      <c r="J19" s="251" t="n">
        <f aca="false">MAX(0,MIN(1,(7-Scenarios!$J$18+1)/MAX(1,Scenarios!$K$18)))</f>
        <v>1</v>
      </c>
      <c r="K19" s="251" t="n">
        <f aca="false">MAX(0,MIN(1,(8-Scenarios!$J$18+1)/MAX(1,Scenarios!$K$18)))</f>
        <v>1</v>
      </c>
      <c r="L19" s="251" t="n">
        <f aca="false">MAX(0,MIN(1,(9-Scenarios!$J$18+1)/MAX(1,Scenarios!$K$18)))</f>
        <v>1</v>
      </c>
      <c r="M19" s="251" t="n">
        <f aca="false">MAX(0,MIN(1,(10-Scenarios!$J$18+1)/MAX(1,Scenarios!$K$18)))</f>
        <v>1</v>
      </c>
      <c r="N19" s="251" t="n">
        <f aca="false">MAX(0,MIN(1,(11-Scenarios!$J$18+1)/MAX(1,Scenarios!$K$18)))</f>
        <v>1</v>
      </c>
      <c r="O19" s="251" t="n">
        <f aca="false">MAX(0,MIN(1,(12-Scenarios!$J$18+1)/MAX(1,Scenarios!$K$18)))</f>
        <v>1</v>
      </c>
      <c r="P19" s="251" t="n">
        <f aca="false">MAX(0,MIN(1,(13-Scenarios!$J$18+1)/MAX(1,Scenarios!$K$18)))</f>
        <v>1</v>
      </c>
      <c r="Q19" s="251" t="n">
        <f aca="false">MAX(0,MIN(1,(14-Scenarios!$J$18+1)/MAX(1,Scenarios!$K$18)))</f>
        <v>1</v>
      </c>
      <c r="R19" s="251" t="n">
        <f aca="false">MAX(0,MIN(1,(15-Scenarios!$J$18+1)/MAX(1,Scenarios!$K$18)))</f>
        <v>1</v>
      </c>
      <c r="S19" s="251" t="n">
        <f aca="false">MAX(0,MIN(1,(16-Scenarios!$J$18+1)/MAX(1,Scenarios!$K$18)))</f>
        <v>1</v>
      </c>
      <c r="T19" s="251" t="n">
        <f aca="false">MAX(0,MIN(1,(17-Scenarios!$J$18+1)/MAX(1,Scenarios!$K$18)))</f>
        <v>1</v>
      </c>
      <c r="U19" s="251" t="n">
        <f aca="false">MAX(0,MIN(1,(18-Scenarios!$J$18+1)/MAX(1,Scenarios!$K$18)))</f>
        <v>1</v>
      </c>
      <c r="V19" s="251" t="n">
        <f aca="false">MAX(0,MIN(1,(19-Scenarios!$J$18+1)/MAX(1,Scenarios!$K$18)))</f>
        <v>1</v>
      </c>
      <c r="W19" s="251" t="n">
        <f aca="false">MAX(0,MIN(1,(20-Scenarios!$J$18+1)/MAX(1,Scenarios!$K$18)))</f>
        <v>1</v>
      </c>
      <c r="X19" s="251" t="n">
        <f aca="false">MAX(0,MIN(1,(21-Scenarios!$J$18+1)/MAX(1,Scenarios!$K$18)))</f>
        <v>1</v>
      </c>
      <c r="Y19" s="251" t="n">
        <f aca="false">MAX(0,MIN(1,(22-Scenarios!$J$18+1)/MAX(1,Scenarios!$K$18)))</f>
        <v>1</v>
      </c>
      <c r="Z19" s="251" t="n">
        <f aca="false">MAX(0,MIN(1,(23-Scenarios!$J$18+1)/MAX(1,Scenarios!$K$18)))</f>
        <v>1</v>
      </c>
      <c r="AA19" s="251" t="n">
        <f aca="false">MAX(0,MIN(1,(24-Scenarios!$J$18+1)/MAX(1,Scenarios!$K$18)))</f>
        <v>1</v>
      </c>
      <c r="AB19" s="251" t="n">
        <f aca="false">MAX(0,MIN(1,(25-Scenarios!$J$18+1)/MAX(1,Scenarios!$K$18)))</f>
        <v>1</v>
      </c>
      <c r="AC19" s="251" t="n">
        <f aca="false">MAX(0,MIN(1,(26-Scenarios!$J$18+1)/MAX(1,Scenarios!$K$18)))</f>
        <v>1</v>
      </c>
      <c r="AD19" s="251" t="n">
        <f aca="false">MAX(0,MIN(1,(27-Scenarios!$J$18+1)/MAX(1,Scenarios!$K$18)))</f>
        <v>1</v>
      </c>
      <c r="AE19" s="251" t="n">
        <f aca="false">MAX(0,MIN(1,(28-Scenarios!$J$18+1)/MAX(1,Scenarios!$K$18)))</f>
        <v>1</v>
      </c>
      <c r="AF19" s="251" t="n">
        <f aca="false">MAX(0,MIN(1,(29-Scenarios!$J$18+1)/MAX(1,Scenarios!$K$18)))</f>
        <v>1</v>
      </c>
      <c r="AG19" s="251" t="n">
        <f aca="false">MAX(0,MIN(1,(30-Scenarios!$J$18+1)/MAX(1,Scenarios!$K$18)))</f>
        <v>1</v>
      </c>
      <c r="AH19" s="252" t="n">
        <f aca="false">IFERROR(VLOOKUP(Scenarios!$D$18,'02_Type_Assumptions'!$A$4:$Z$25,13,FALSE()),0)</f>
        <v>3200</v>
      </c>
      <c r="AI19" s="252" t="n">
        <f aca="false">IFERROR(VLOOKUP(Scenarios!$D$18,'02_Type_Assumptions'!$A$4:$Z$25,14,FALSE()),0)</f>
        <v>680</v>
      </c>
      <c r="AJ19" s="252" t="n">
        <f aca="false">IFERROR(VLOOKUP(Scenarios!$D$18,'02_Type_Assumptions'!$A$4:$Z$25,15,FALSE()),0)</f>
        <v>0</v>
      </c>
      <c r="AK19" s="252" t="n">
        <f aca="false">IFERROR(VLOOKUP(Scenarios!$D$18,'02_Type_Assumptions'!$A$4:$Z$25,16,FALSE()),0)</f>
        <v>0</v>
      </c>
      <c r="AL19" s="252" t="n">
        <f aca="false">IFERROR(VLOOKUP(Scenarios!$D$18,'02_Type_Assumptions'!$A$4:$Z$25,17,FALSE()),0)</f>
        <v>400</v>
      </c>
      <c r="AM19" s="252" t="n">
        <f aca="false">IFERROR(VLOOKUP(Scenarios!$D$18,'02_Type_Assumptions'!$A$4:$Z$25,18,FALSE()),0)</f>
        <v>220</v>
      </c>
      <c r="AN19" s="252" t="n">
        <f aca="false">IFERROR(VLOOKUP(Scenarios!$D$18,'02_Type_Assumptions'!$A$4:$Z$25,19,FALSE()),0)</f>
        <v>0</v>
      </c>
      <c r="AO19" s="252" t="n">
        <f aca="false">IFERROR(VLOOKUP(Scenarios!$D$18,'02_Type_Assumptions'!$A$4:$Z$25,20,FALSE()),0)</f>
        <v>0</v>
      </c>
    </row>
    <row r="20" customFormat="false" ht="15" hidden="false" customHeight="true" outlineLevel="0" collapsed="false">
      <c r="A20" s="161" t="n">
        <v>17</v>
      </c>
      <c r="B20" s="250" t="b">
        <f aca="false">Scenarios!$C$19</f>
        <v>0</v>
      </c>
      <c r="C20" s="161" t="s">
        <v>863</v>
      </c>
      <c r="D20" s="251" t="n">
        <f aca="false">MAX(0,MIN(1,(1-Scenarios!$J$19+1)/MAX(1,Scenarios!$K$19)))</f>
        <v>0.5</v>
      </c>
      <c r="E20" s="251" t="n">
        <f aca="false">MAX(0,MIN(1,(2-Scenarios!$J$19+1)/MAX(1,Scenarios!$K$19)))</f>
        <v>1</v>
      </c>
      <c r="F20" s="251" t="n">
        <f aca="false">MAX(0,MIN(1,(3-Scenarios!$J$19+1)/MAX(1,Scenarios!$K$19)))</f>
        <v>1</v>
      </c>
      <c r="G20" s="251" t="n">
        <f aca="false">MAX(0,MIN(1,(4-Scenarios!$J$19+1)/MAX(1,Scenarios!$K$19)))</f>
        <v>1</v>
      </c>
      <c r="H20" s="251" t="n">
        <f aca="false">MAX(0,MIN(1,(5-Scenarios!$J$19+1)/MAX(1,Scenarios!$K$19)))</f>
        <v>1</v>
      </c>
      <c r="I20" s="251" t="n">
        <f aca="false">MAX(0,MIN(1,(6-Scenarios!$J$19+1)/MAX(1,Scenarios!$K$19)))</f>
        <v>1</v>
      </c>
      <c r="J20" s="251" t="n">
        <f aca="false">MAX(0,MIN(1,(7-Scenarios!$J$19+1)/MAX(1,Scenarios!$K$19)))</f>
        <v>1</v>
      </c>
      <c r="K20" s="251" t="n">
        <f aca="false">MAX(0,MIN(1,(8-Scenarios!$J$19+1)/MAX(1,Scenarios!$K$19)))</f>
        <v>1</v>
      </c>
      <c r="L20" s="251" t="n">
        <f aca="false">MAX(0,MIN(1,(9-Scenarios!$J$19+1)/MAX(1,Scenarios!$K$19)))</f>
        <v>1</v>
      </c>
      <c r="M20" s="251" t="n">
        <f aca="false">MAX(0,MIN(1,(10-Scenarios!$J$19+1)/MAX(1,Scenarios!$K$19)))</f>
        <v>1</v>
      </c>
      <c r="N20" s="251" t="n">
        <f aca="false">MAX(0,MIN(1,(11-Scenarios!$J$19+1)/MAX(1,Scenarios!$K$19)))</f>
        <v>1</v>
      </c>
      <c r="O20" s="251" t="n">
        <f aca="false">MAX(0,MIN(1,(12-Scenarios!$J$19+1)/MAX(1,Scenarios!$K$19)))</f>
        <v>1</v>
      </c>
      <c r="P20" s="251" t="n">
        <f aca="false">MAX(0,MIN(1,(13-Scenarios!$J$19+1)/MAX(1,Scenarios!$K$19)))</f>
        <v>1</v>
      </c>
      <c r="Q20" s="251" t="n">
        <f aca="false">MAX(0,MIN(1,(14-Scenarios!$J$19+1)/MAX(1,Scenarios!$K$19)))</f>
        <v>1</v>
      </c>
      <c r="R20" s="251" t="n">
        <f aca="false">MAX(0,MIN(1,(15-Scenarios!$J$19+1)/MAX(1,Scenarios!$K$19)))</f>
        <v>1</v>
      </c>
      <c r="S20" s="251" t="n">
        <f aca="false">MAX(0,MIN(1,(16-Scenarios!$J$19+1)/MAX(1,Scenarios!$K$19)))</f>
        <v>1</v>
      </c>
      <c r="T20" s="251" t="n">
        <f aca="false">MAX(0,MIN(1,(17-Scenarios!$J$19+1)/MAX(1,Scenarios!$K$19)))</f>
        <v>1</v>
      </c>
      <c r="U20" s="251" t="n">
        <f aca="false">MAX(0,MIN(1,(18-Scenarios!$J$19+1)/MAX(1,Scenarios!$K$19)))</f>
        <v>1</v>
      </c>
      <c r="V20" s="251" t="n">
        <f aca="false">MAX(0,MIN(1,(19-Scenarios!$J$19+1)/MAX(1,Scenarios!$K$19)))</f>
        <v>1</v>
      </c>
      <c r="W20" s="251" t="n">
        <f aca="false">MAX(0,MIN(1,(20-Scenarios!$J$19+1)/MAX(1,Scenarios!$K$19)))</f>
        <v>1</v>
      </c>
      <c r="X20" s="251" t="n">
        <f aca="false">MAX(0,MIN(1,(21-Scenarios!$J$19+1)/MAX(1,Scenarios!$K$19)))</f>
        <v>1</v>
      </c>
      <c r="Y20" s="251" t="n">
        <f aca="false">MAX(0,MIN(1,(22-Scenarios!$J$19+1)/MAX(1,Scenarios!$K$19)))</f>
        <v>1</v>
      </c>
      <c r="Z20" s="251" t="n">
        <f aca="false">MAX(0,MIN(1,(23-Scenarios!$J$19+1)/MAX(1,Scenarios!$K$19)))</f>
        <v>1</v>
      </c>
      <c r="AA20" s="251" t="n">
        <f aca="false">MAX(0,MIN(1,(24-Scenarios!$J$19+1)/MAX(1,Scenarios!$K$19)))</f>
        <v>1</v>
      </c>
      <c r="AB20" s="251" t="n">
        <f aca="false">MAX(0,MIN(1,(25-Scenarios!$J$19+1)/MAX(1,Scenarios!$K$19)))</f>
        <v>1</v>
      </c>
      <c r="AC20" s="251" t="n">
        <f aca="false">MAX(0,MIN(1,(26-Scenarios!$J$19+1)/MAX(1,Scenarios!$K$19)))</f>
        <v>1</v>
      </c>
      <c r="AD20" s="251" t="n">
        <f aca="false">MAX(0,MIN(1,(27-Scenarios!$J$19+1)/MAX(1,Scenarios!$K$19)))</f>
        <v>1</v>
      </c>
      <c r="AE20" s="251" t="n">
        <f aca="false">MAX(0,MIN(1,(28-Scenarios!$J$19+1)/MAX(1,Scenarios!$K$19)))</f>
        <v>1</v>
      </c>
      <c r="AF20" s="251" t="n">
        <f aca="false">MAX(0,MIN(1,(29-Scenarios!$J$19+1)/MAX(1,Scenarios!$K$19)))</f>
        <v>1</v>
      </c>
      <c r="AG20" s="251" t="n">
        <f aca="false">MAX(0,MIN(1,(30-Scenarios!$J$19+1)/MAX(1,Scenarios!$K$19)))</f>
        <v>1</v>
      </c>
      <c r="AH20" s="252" t="n">
        <f aca="false">IFERROR(VLOOKUP(Scenarios!$D$19,'02_Type_Assumptions'!$A$4:$Z$25,13,FALSE()),0)</f>
        <v>2000</v>
      </c>
      <c r="AI20" s="252" t="n">
        <f aca="false">IFERROR(VLOOKUP(Scenarios!$D$19,'02_Type_Assumptions'!$A$4:$Z$25,14,FALSE()),0)</f>
        <v>0</v>
      </c>
      <c r="AJ20" s="252" t="n">
        <f aca="false">IFERROR(VLOOKUP(Scenarios!$D$19,'02_Type_Assumptions'!$A$4:$Z$25,15,FALSE()),0)</f>
        <v>0.05</v>
      </c>
      <c r="AK20" s="252" t="n">
        <f aca="false">IFERROR(VLOOKUP(Scenarios!$D$19,'02_Type_Assumptions'!$A$4:$Z$25,16,FALSE()),0)</f>
        <v>0</v>
      </c>
      <c r="AL20" s="252" t="n">
        <f aca="false">IFERROR(VLOOKUP(Scenarios!$D$19,'02_Type_Assumptions'!$A$4:$Z$25,17,FALSE()),0)</f>
        <v>180</v>
      </c>
      <c r="AM20" s="252" t="n">
        <f aca="false">IFERROR(VLOOKUP(Scenarios!$D$19,'02_Type_Assumptions'!$A$4:$Z$25,18,FALSE()),0)</f>
        <v>0</v>
      </c>
      <c r="AN20" s="252" t="n">
        <f aca="false">IFERROR(VLOOKUP(Scenarios!$D$19,'02_Type_Assumptions'!$A$4:$Z$25,19,FALSE()),0)</f>
        <v>0.005</v>
      </c>
      <c r="AO20" s="252" t="n">
        <f aca="false">IFERROR(VLOOKUP(Scenarios!$D$19,'02_Type_Assumptions'!$A$4:$Z$25,20,FALSE()),0)</f>
        <v>0</v>
      </c>
    </row>
    <row r="21" customFormat="false" ht="15" hidden="false" customHeight="true" outlineLevel="0" collapsed="false">
      <c r="A21" s="161" t="n">
        <v>18</v>
      </c>
      <c r="B21" s="250" t="b">
        <f aca="false">Scenarios!$C$20</f>
        <v>0</v>
      </c>
      <c r="C21" s="161" t="s">
        <v>863</v>
      </c>
      <c r="D21" s="251" t="n">
        <f aca="false">MAX(0,MIN(1,(1-Scenarios!$J$20+1)/MAX(1,Scenarios!$K$20)))</f>
        <v>0.5</v>
      </c>
      <c r="E21" s="251" t="n">
        <f aca="false">MAX(0,MIN(1,(2-Scenarios!$J$20+1)/MAX(1,Scenarios!$K$20)))</f>
        <v>1</v>
      </c>
      <c r="F21" s="251" t="n">
        <f aca="false">MAX(0,MIN(1,(3-Scenarios!$J$20+1)/MAX(1,Scenarios!$K$20)))</f>
        <v>1</v>
      </c>
      <c r="G21" s="251" t="n">
        <f aca="false">MAX(0,MIN(1,(4-Scenarios!$J$20+1)/MAX(1,Scenarios!$K$20)))</f>
        <v>1</v>
      </c>
      <c r="H21" s="251" t="n">
        <f aca="false">MAX(0,MIN(1,(5-Scenarios!$J$20+1)/MAX(1,Scenarios!$K$20)))</f>
        <v>1</v>
      </c>
      <c r="I21" s="251" t="n">
        <f aca="false">MAX(0,MIN(1,(6-Scenarios!$J$20+1)/MAX(1,Scenarios!$K$20)))</f>
        <v>1</v>
      </c>
      <c r="J21" s="251" t="n">
        <f aca="false">MAX(0,MIN(1,(7-Scenarios!$J$20+1)/MAX(1,Scenarios!$K$20)))</f>
        <v>1</v>
      </c>
      <c r="K21" s="251" t="n">
        <f aca="false">MAX(0,MIN(1,(8-Scenarios!$J$20+1)/MAX(1,Scenarios!$K$20)))</f>
        <v>1</v>
      </c>
      <c r="L21" s="251" t="n">
        <f aca="false">MAX(0,MIN(1,(9-Scenarios!$J$20+1)/MAX(1,Scenarios!$K$20)))</f>
        <v>1</v>
      </c>
      <c r="M21" s="251" t="n">
        <f aca="false">MAX(0,MIN(1,(10-Scenarios!$J$20+1)/MAX(1,Scenarios!$K$20)))</f>
        <v>1</v>
      </c>
      <c r="N21" s="251" t="n">
        <f aca="false">MAX(0,MIN(1,(11-Scenarios!$J$20+1)/MAX(1,Scenarios!$K$20)))</f>
        <v>1</v>
      </c>
      <c r="O21" s="251" t="n">
        <f aca="false">MAX(0,MIN(1,(12-Scenarios!$J$20+1)/MAX(1,Scenarios!$K$20)))</f>
        <v>1</v>
      </c>
      <c r="P21" s="251" t="n">
        <f aca="false">MAX(0,MIN(1,(13-Scenarios!$J$20+1)/MAX(1,Scenarios!$K$20)))</f>
        <v>1</v>
      </c>
      <c r="Q21" s="251" t="n">
        <f aca="false">MAX(0,MIN(1,(14-Scenarios!$J$20+1)/MAX(1,Scenarios!$K$20)))</f>
        <v>1</v>
      </c>
      <c r="R21" s="251" t="n">
        <f aca="false">MAX(0,MIN(1,(15-Scenarios!$J$20+1)/MAX(1,Scenarios!$K$20)))</f>
        <v>1</v>
      </c>
      <c r="S21" s="251" t="n">
        <f aca="false">MAX(0,MIN(1,(16-Scenarios!$J$20+1)/MAX(1,Scenarios!$K$20)))</f>
        <v>1</v>
      </c>
      <c r="T21" s="251" t="n">
        <f aca="false">MAX(0,MIN(1,(17-Scenarios!$J$20+1)/MAX(1,Scenarios!$K$20)))</f>
        <v>1</v>
      </c>
      <c r="U21" s="251" t="n">
        <f aca="false">MAX(0,MIN(1,(18-Scenarios!$J$20+1)/MAX(1,Scenarios!$K$20)))</f>
        <v>1</v>
      </c>
      <c r="V21" s="251" t="n">
        <f aca="false">MAX(0,MIN(1,(19-Scenarios!$J$20+1)/MAX(1,Scenarios!$K$20)))</f>
        <v>1</v>
      </c>
      <c r="W21" s="251" t="n">
        <f aca="false">MAX(0,MIN(1,(20-Scenarios!$J$20+1)/MAX(1,Scenarios!$K$20)))</f>
        <v>1</v>
      </c>
      <c r="X21" s="251" t="n">
        <f aca="false">MAX(0,MIN(1,(21-Scenarios!$J$20+1)/MAX(1,Scenarios!$K$20)))</f>
        <v>1</v>
      </c>
      <c r="Y21" s="251" t="n">
        <f aca="false">MAX(0,MIN(1,(22-Scenarios!$J$20+1)/MAX(1,Scenarios!$K$20)))</f>
        <v>1</v>
      </c>
      <c r="Z21" s="251" t="n">
        <f aca="false">MAX(0,MIN(1,(23-Scenarios!$J$20+1)/MAX(1,Scenarios!$K$20)))</f>
        <v>1</v>
      </c>
      <c r="AA21" s="251" t="n">
        <f aca="false">MAX(0,MIN(1,(24-Scenarios!$J$20+1)/MAX(1,Scenarios!$K$20)))</f>
        <v>1</v>
      </c>
      <c r="AB21" s="251" t="n">
        <f aca="false">MAX(0,MIN(1,(25-Scenarios!$J$20+1)/MAX(1,Scenarios!$K$20)))</f>
        <v>1</v>
      </c>
      <c r="AC21" s="251" t="n">
        <f aca="false">MAX(0,MIN(1,(26-Scenarios!$J$20+1)/MAX(1,Scenarios!$K$20)))</f>
        <v>1</v>
      </c>
      <c r="AD21" s="251" t="n">
        <f aca="false">MAX(0,MIN(1,(27-Scenarios!$J$20+1)/MAX(1,Scenarios!$K$20)))</f>
        <v>1</v>
      </c>
      <c r="AE21" s="251" t="n">
        <f aca="false">MAX(0,MIN(1,(28-Scenarios!$J$20+1)/MAX(1,Scenarios!$K$20)))</f>
        <v>1</v>
      </c>
      <c r="AF21" s="251" t="n">
        <f aca="false">MAX(0,MIN(1,(29-Scenarios!$J$20+1)/MAX(1,Scenarios!$K$20)))</f>
        <v>1</v>
      </c>
      <c r="AG21" s="251" t="n">
        <f aca="false">MAX(0,MIN(1,(30-Scenarios!$J$20+1)/MAX(1,Scenarios!$K$20)))</f>
        <v>1</v>
      </c>
      <c r="AH21" s="252" t="n">
        <f aca="false">IFERROR(VLOOKUP(Scenarios!$D$20,'02_Type_Assumptions'!$A$4:$Z$25,13,FALSE()),0)</f>
        <v>1400</v>
      </c>
      <c r="AI21" s="252" t="n">
        <f aca="false">IFERROR(VLOOKUP(Scenarios!$D$20,'02_Type_Assumptions'!$A$4:$Z$25,14,FALSE()),0)</f>
        <v>0</v>
      </c>
      <c r="AJ21" s="252" t="n">
        <f aca="false">IFERROR(VLOOKUP(Scenarios!$D$20,'02_Type_Assumptions'!$A$4:$Z$25,15,FALSE()),0)</f>
        <v>0.02</v>
      </c>
      <c r="AK21" s="252" t="n">
        <f aca="false">IFERROR(VLOOKUP(Scenarios!$D$20,'02_Type_Assumptions'!$A$4:$Z$25,16,FALSE()),0)</f>
        <v>0</v>
      </c>
      <c r="AL21" s="252" t="n">
        <f aca="false">IFERROR(VLOOKUP(Scenarios!$D$20,'02_Type_Assumptions'!$A$4:$Z$25,17,FALSE()),0)</f>
        <v>90</v>
      </c>
      <c r="AM21" s="252" t="n">
        <f aca="false">IFERROR(VLOOKUP(Scenarios!$D$20,'02_Type_Assumptions'!$A$4:$Z$25,18,FALSE()),0)</f>
        <v>0</v>
      </c>
      <c r="AN21" s="252" t="n">
        <f aca="false">IFERROR(VLOOKUP(Scenarios!$D$20,'02_Type_Assumptions'!$A$4:$Z$25,19,FALSE()),0)</f>
        <v>0.002</v>
      </c>
      <c r="AO21" s="252" t="n">
        <f aca="false">IFERROR(VLOOKUP(Scenarios!$D$20,'02_Type_Assumptions'!$A$4:$Z$25,20,FALSE()),0)</f>
        <v>0</v>
      </c>
    </row>
    <row r="22" customFormat="false" ht="15" hidden="false" customHeight="true" outlineLevel="0" collapsed="false">
      <c r="A22" s="161" t="n">
        <v>19</v>
      </c>
      <c r="B22" s="250" t="b">
        <f aca="false">Scenarios!$C$21</f>
        <v>0</v>
      </c>
      <c r="C22" s="161" t="s">
        <v>863</v>
      </c>
      <c r="D22" s="251" t="n">
        <f aca="false">MAX(0,MIN(1,(1-Scenarios!$J$21+1)/MAX(1,Scenarios!$K$21)))</f>
        <v>0.5</v>
      </c>
      <c r="E22" s="251" t="n">
        <f aca="false">MAX(0,MIN(1,(2-Scenarios!$J$21+1)/MAX(1,Scenarios!$K$21)))</f>
        <v>1</v>
      </c>
      <c r="F22" s="251" t="n">
        <f aca="false">MAX(0,MIN(1,(3-Scenarios!$J$21+1)/MAX(1,Scenarios!$K$21)))</f>
        <v>1</v>
      </c>
      <c r="G22" s="251" t="n">
        <f aca="false">MAX(0,MIN(1,(4-Scenarios!$J$21+1)/MAX(1,Scenarios!$K$21)))</f>
        <v>1</v>
      </c>
      <c r="H22" s="251" t="n">
        <f aca="false">MAX(0,MIN(1,(5-Scenarios!$J$21+1)/MAX(1,Scenarios!$K$21)))</f>
        <v>1</v>
      </c>
      <c r="I22" s="251" t="n">
        <f aca="false">MAX(0,MIN(1,(6-Scenarios!$J$21+1)/MAX(1,Scenarios!$K$21)))</f>
        <v>1</v>
      </c>
      <c r="J22" s="251" t="n">
        <f aca="false">MAX(0,MIN(1,(7-Scenarios!$J$21+1)/MAX(1,Scenarios!$K$21)))</f>
        <v>1</v>
      </c>
      <c r="K22" s="251" t="n">
        <f aca="false">MAX(0,MIN(1,(8-Scenarios!$J$21+1)/MAX(1,Scenarios!$K$21)))</f>
        <v>1</v>
      </c>
      <c r="L22" s="251" t="n">
        <f aca="false">MAX(0,MIN(1,(9-Scenarios!$J$21+1)/MAX(1,Scenarios!$K$21)))</f>
        <v>1</v>
      </c>
      <c r="M22" s="251" t="n">
        <f aca="false">MAX(0,MIN(1,(10-Scenarios!$J$21+1)/MAX(1,Scenarios!$K$21)))</f>
        <v>1</v>
      </c>
      <c r="N22" s="251" t="n">
        <f aca="false">MAX(0,MIN(1,(11-Scenarios!$J$21+1)/MAX(1,Scenarios!$K$21)))</f>
        <v>1</v>
      </c>
      <c r="O22" s="251" t="n">
        <f aca="false">MAX(0,MIN(1,(12-Scenarios!$J$21+1)/MAX(1,Scenarios!$K$21)))</f>
        <v>1</v>
      </c>
      <c r="P22" s="251" t="n">
        <f aca="false">MAX(0,MIN(1,(13-Scenarios!$J$21+1)/MAX(1,Scenarios!$K$21)))</f>
        <v>1</v>
      </c>
      <c r="Q22" s="251" t="n">
        <f aca="false">MAX(0,MIN(1,(14-Scenarios!$J$21+1)/MAX(1,Scenarios!$K$21)))</f>
        <v>1</v>
      </c>
      <c r="R22" s="251" t="n">
        <f aca="false">MAX(0,MIN(1,(15-Scenarios!$J$21+1)/MAX(1,Scenarios!$K$21)))</f>
        <v>1</v>
      </c>
      <c r="S22" s="251" t="n">
        <f aca="false">MAX(0,MIN(1,(16-Scenarios!$J$21+1)/MAX(1,Scenarios!$K$21)))</f>
        <v>1</v>
      </c>
      <c r="T22" s="251" t="n">
        <f aca="false">MAX(0,MIN(1,(17-Scenarios!$J$21+1)/MAX(1,Scenarios!$K$21)))</f>
        <v>1</v>
      </c>
      <c r="U22" s="251" t="n">
        <f aca="false">MAX(0,MIN(1,(18-Scenarios!$J$21+1)/MAX(1,Scenarios!$K$21)))</f>
        <v>1</v>
      </c>
      <c r="V22" s="251" t="n">
        <f aca="false">MAX(0,MIN(1,(19-Scenarios!$J$21+1)/MAX(1,Scenarios!$K$21)))</f>
        <v>1</v>
      </c>
      <c r="W22" s="251" t="n">
        <f aca="false">MAX(0,MIN(1,(20-Scenarios!$J$21+1)/MAX(1,Scenarios!$K$21)))</f>
        <v>1</v>
      </c>
      <c r="X22" s="251" t="n">
        <f aca="false">MAX(0,MIN(1,(21-Scenarios!$J$21+1)/MAX(1,Scenarios!$K$21)))</f>
        <v>1</v>
      </c>
      <c r="Y22" s="251" t="n">
        <f aca="false">MAX(0,MIN(1,(22-Scenarios!$J$21+1)/MAX(1,Scenarios!$K$21)))</f>
        <v>1</v>
      </c>
      <c r="Z22" s="251" t="n">
        <f aca="false">MAX(0,MIN(1,(23-Scenarios!$J$21+1)/MAX(1,Scenarios!$K$21)))</f>
        <v>1</v>
      </c>
      <c r="AA22" s="251" t="n">
        <f aca="false">MAX(0,MIN(1,(24-Scenarios!$J$21+1)/MAX(1,Scenarios!$K$21)))</f>
        <v>1</v>
      </c>
      <c r="AB22" s="251" t="n">
        <f aca="false">MAX(0,MIN(1,(25-Scenarios!$J$21+1)/MAX(1,Scenarios!$K$21)))</f>
        <v>1</v>
      </c>
      <c r="AC22" s="251" t="n">
        <f aca="false">MAX(0,MIN(1,(26-Scenarios!$J$21+1)/MAX(1,Scenarios!$K$21)))</f>
        <v>1</v>
      </c>
      <c r="AD22" s="251" t="n">
        <f aca="false">MAX(0,MIN(1,(27-Scenarios!$J$21+1)/MAX(1,Scenarios!$K$21)))</f>
        <v>1</v>
      </c>
      <c r="AE22" s="251" t="n">
        <f aca="false">MAX(0,MIN(1,(28-Scenarios!$J$21+1)/MAX(1,Scenarios!$K$21)))</f>
        <v>1</v>
      </c>
      <c r="AF22" s="251" t="n">
        <f aca="false">MAX(0,MIN(1,(29-Scenarios!$J$21+1)/MAX(1,Scenarios!$K$21)))</f>
        <v>1</v>
      </c>
      <c r="AG22" s="251" t="n">
        <f aca="false">MAX(0,MIN(1,(30-Scenarios!$J$21+1)/MAX(1,Scenarios!$K$21)))</f>
        <v>1</v>
      </c>
      <c r="AH22" s="252" t="n">
        <f aca="false">IFERROR(VLOOKUP(Scenarios!$D$21,'02_Type_Assumptions'!$A$4:$Z$25,13,FALSE()),0)</f>
        <v>1400</v>
      </c>
      <c r="AI22" s="252" t="n">
        <f aca="false">IFERROR(VLOOKUP(Scenarios!$D$21,'02_Type_Assumptions'!$A$4:$Z$25,14,FALSE()),0)</f>
        <v>0</v>
      </c>
      <c r="AJ22" s="252" t="n">
        <f aca="false">IFERROR(VLOOKUP(Scenarios!$D$21,'02_Type_Assumptions'!$A$4:$Z$25,15,FALSE()),0)</f>
        <v>0.02</v>
      </c>
      <c r="AK22" s="252" t="n">
        <f aca="false">IFERROR(VLOOKUP(Scenarios!$D$21,'02_Type_Assumptions'!$A$4:$Z$25,16,FALSE()),0)</f>
        <v>0</v>
      </c>
      <c r="AL22" s="252" t="n">
        <f aca="false">IFERROR(VLOOKUP(Scenarios!$D$21,'02_Type_Assumptions'!$A$4:$Z$25,17,FALSE()),0)</f>
        <v>90</v>
      </c>
      <c r="AM22" s="252" t="n">
        <f aca="false">IFERROR(VLOOKUP(Scenarios!$D$21,'02_Type_Assumptions'!$A$4:$Z$25,18,FALSE()),0)</f>
        <v>0</v>
      </c>
      <c r="AN22" s="252" t="n">
        <f aca="false">IFERROR(VLOOKUP(Scenarios!$D$21,'02_Type_Assumptions'!$A$4:$Z$25,19,FALSE()),0)</f>
        <v>0.002</v>
      </c>
      <c r="AO22" s="252" t="n">
        <f aca="false">IFERROR(VLOOKUP(Scenarios!$D$21,'02_Type_Assumptions'!$A$4:$Z$25,20,FALSE()),0)</f>
        <v>0</v>
      </c>
    </row>
    <row r="23" customFormat="false" ht="15" hidden="false" customHeight="true" outlineLevel="0" collapsed="false">
      <c r="A23" s="161" t="n">
        <v>20</v>
      </c>
      <c r="B23" s="250" t="b">
        <f aca="false">Scenarios!$C$22</f>
        <v>0</v>
      </c>
      <c r="C23" s="161" t="s">
        <v>863</v>
      </c>
      <c r="D23" s="251" t="n">
        <f aca="false">MAX(0,MIN(1,(1-Scenarios!$J$22+1)/MAX(1,Scenarios!$K$22)))</f>
        <v>0.5</v>
      </c>
      <c r="E23" s="251" t="n">
        <f aca="false">MAX(0,MIN(1,(2-Scenarios!$J$22+1)/MAX(1,Scenarios!$K$22)))</f>
        <v>1</v>
      </c>
      <c r="F23" s="251" t="n">
        <f aca="false">MAX(0,MIN(1,(3-Scenarios!$J$22+1)/MAX(1,Scenarios!$K$22)))</f>
        <v>1</v>
      </c>
      <c r="G23" s="251" t="n">
        <f aca="false">MAX(0,MIN(1,(4-Scenarios!$J$22+1)/MAX(1,Scenarios!$K$22)))</f>
        <v>1</v>
      </c>
      <c r="H23" s="251" t="n">
        <f aca="false">MAX(0,MIN(1,(5-Scenarios!$J$22+1)/MAX(1,Scenarios!$K$22)))</f>
        <v>1</v>
      </c>
      <c r="I23" s="251" t="n">
        <f aca="false">MAX(0,MIN(1,(6-Scenarios!$J$22+1)/MAX(1,Scenarios!$K$22)))</f>
        <v>1</v>
      </c>
      <c r="J23" s="251" t="n">
        <f aca="false">MAX(0,MIN(1,(7-Scenarios!$J$22+1)/MAX(1,Scenarios!$K$22)))</f>
        <v>1</v>
      </c>
      <c r="K23" s="251" t="n">
        <f aca="false">MAX(0,MIN(1,(8-Scenarios!$J$22+1)/MAX(1,Scenarios!$K$22)))</f>
        <v>1</v>
      </c>
      <c r="L23" s="251" t="n">
        <f aca="false">MAX(0,MIN(1,(9-Scenarios!$J$22+1)/MAX(1,Scenarios!$K$22)))</f>
        <v>1</v>
      </c>
      <c r="M23" s="251" t="n">
        <f aca="false">MAX(0,MIN(1,(10-Scenarios!$J$22+1)/MAX(1,Scenarios!$K$22)))</f>
        <v>1</v>
      </c>
      <c r="N23" s="251" t="n">
        <f aca="false">MAX(0,MIN(1,(11-Scenarios!$J$22+1)/MAX(1,Scenarios!$K$22)))</f>
        <v>1</v>
      </c>
      <c r="O23" s="251" t="n">
        <f aca="false">MAX(0,MIN(1,(12-Scenarios!$J$22+1)/MAX(1,Scenarios!$K$22)))</f>
        <v>1</v>
      </c>
      <c r="P23" s="251" t="n">
        <f aca="false">MAX(0,MIN(1,(13-Scenarios!$J$22+1)/MAX(1,Scenarios!$K$22)))</f>
        <v>1</v>
      </c>
      <c r="Q23" s="251" t="n">
        <f aca="false">MAX(0,MIN(1,(14-Scenarios!$J$22+1)/MAX(1,Scenarios!$K$22)))</f>
        <v>1</v>
      </c>
      <c r="R23" s="251" t="n">
        <f aca="false">MAX(0,MIN(1,(15-Scenarios!$J$22+1)/MAX(1,Scenarios!$K$22)))</f>
        <v>1</v>
      </c>
      <c r="S23" s="251" t="n">
        <f aca="false">MAX(0,MIN(1,(16-Scenarios!$J$22+1)/MAX(1,Scenarios!$K$22)))</f>
        <v>1</v>
      </c>
      <c r="T23" s="251" t="n">
        <f aca="false">MAX(0,MIN(1,(17-Scenarios!$J$22+1)/MAX(1,Scenarios!$K$22)))</f>
        <v>1</v>
      </c>
      <c r="U23" s="251" t="n">
        <f aca="false">MAX(0,MIN(1,(18-Scenarios!$J$22+1)/MAX(1,Scenarios!$K$22)))</f>
        <v>1</v>
      </c>
      <c r="V23" s="251" t="n">
        <f aca="false">MAX(0,MIN(1,(19-Scenarios!$J$22+1)/MAX(1,Scenarios!$K$22)))</f>
        <v>1</v>
      </c>
      <c r="W23" s="251" t="n">
        <f aca="false">MAX(0,MIN(1,(20-Scenarios!$J$22+1)/MAX(1,Scenarios!$K$22)))</f>
        <v>1</v>
      </c>
      <c r="X23" s="251" t="n">
        <f aca="false">MAX(0,MIN(1,(21-Scenarios!$J$22+1)/MAX(1,Scenarios!$K$22)))</f>
        <v>1</v>
      </c>
      <c r="Y23" s="251" t="n">
        <f aca="false">MAX(0,MIN(1,(22-Scenarios!$J$22+1)/MAX(1,Scenarios!$K$22)))</f>
        <v>1</v>
      </c>
      <c r="Z23" s="251" t="n">
        <f aca="false">MAX(0,MIN(1,(23-Scenarios!$J$22+1)/MAX(1,Scenarios!$K$22)))</f>
        <v>1</v>
      </c>
      <c r="AA23" s="251" t="n">
        <f aca="false">MAX(0,MIN(1,(24-Scenarios!$J$22+1)/MAX(1,Scenarios!$K$22)))</f>
        <v>1</v>
      </c>
      <c r="AB23" s="251" t="n">
        <f aca="false">MAX(0,MIN(1,(25-Scenarios!$J$22+1)/MAX(1,Scenarios!$K$22)))</f>
        <v>1</v>
      </c>
      <c r="AC23" s="251" t="n">
        <f aca="false">MAX(0,MIN(1,(26-Scenarios!$J$22+1)/MAX(1,Scenarios!$K$22)))</f>
        <v>1</v>
      </c>
      <c r="AD23" s="251" t="n">
        <f aca="false">MAX(0,MIN(1,(27-Scenarios!$J$22+1)/MAX(1,Scenarios!$K$22)))</f>
        <v>1</v>
      </c>
      <c r="AE23" s="251" t="n">
        <f aca="false">MAX(0,MIN(1,(28-Scenarios!$J$22+1)/MAX(1,Scenarios!$K$22)))</f>
        <v>1</v>
      </c>
      <c r="AF23" s="251" t="n">
        <f aca="false">MAX(0,MIN(1,(29-Scenarios!$J$22+1)/MAX(1,Scenarios!$K$22)))</f>
        <v>1</v>
      </c>
      <c r="AG23" s="251" t="n">
        <f aca="false">MAX(0,MIN(1,(30-Scenarios!$J$22+1)/MAX(1,Scenarios!$K$22)))</f>
        <v>1</v>
      </c>
      <c r="AH23" s="252" t="n">
        <f aca="false">IFERROR(VLOOKUP(Scenarios!$D$22,'02_Type_Assumptions'!$A$4:$Z$25,13,FALSE()),0)</f>
        <v>800</v>
      </c>
      <c r="AI23" s="252" t="n">
        <f aca="false">IFERROR(VLOOKUP(Scenarios!$D$22,'02_Type_Assumptions'!$A$4:$Z$25,14,FALSE()),0)</f>
        <v>0</v>
      </c>
      <c r="AJ23" s="252" t="n">
        <f aca="false">IFERROR(VLOOKUP(Scenarios!$D$22,'02_Type_Assumptions'!$A$4:$Z$25,15,FALSE()),0)</f>
        <v>0.01</v>
      </c>
      <c r="AK23" s="252" t="n">
        <f aca="false">IFERROR(VLOOKUP(Scenarios!$D$22,'02_Type_Assumptions'!$A$4:$Z$25,16,FALSE()),0)</f>
        <v>0</v>
      </c>
      <c r="AL23" s="252" t="n">
        <f aca="false">IFERROR(VLOOKUP(Scenarios!$D$22,'02_Type_Assumptions'!$A$4:$Z$25,17,FALSE()),0)</f>
        <v>60</v>
      </c>
      <c r="AM23" s="252" t="n">
        <f aca="false">IFERROR(VLOOKUP(Scenarios!$D$22,'02_Type_Assumptions'!$A$4:$Z$25,18,FALSE()),0)</f>
        <v>0</v>
      </c>
      <c r="AN23" s="252" t="n">
        <f aca="false">IFERROR(VLOOKUP(Scenarios!$D$22,'02_Type_Assumptions'!$A$4:$Z$25,19,FALSE()),0)</f>
        <v>0.001</v>
      </c>
      <c r="AO23" s="252" t="n">
        <f aca="false">IFERROR(VLOOKUP(Scenarios!$D$22,'02_Type_Assumptions'!$A$4:$Z$25,20,FALSE()),0)</f>
        <v>0</v>
      </c>
    </row>
    <row r="24" customFormat="false" ht="15" hidden="false" customHeight="true" outlineLevel="0" collapsed="false">
      <c r="A24" s="161" t="n">
        <v>21</v>
      </c>
      <c r="B24" s="250" t="b">
        <f aca="false">Scenarios!$C$23</f>
        <v>0</v>
      </c>
      <c r="C24" s="161" t="s">
        <v>863</v>
      </c>
      <c r="D24" s="251" t="n">
        <f aca="false">MAX(0,MIN(1,(1-Scenarios!$J$23+1)/MAX(1,Scenarios!$K$23)))</f>
        <v>0.5</v>
      </c>
      <c r="E24" s="251" t="n">
        <f aca="false">MAX(0,MIN(1,(2-Scenarios!$J$23+1)/MAX(1,Scenarios!$K$23)))</f>
        <v>1</v>
      </c>
      <c r="F24" s="251" t="n">
        <f aca="false">MAX(0,MIN(1,(3-Scenarios!$J$23+1)/MAX(1,Scenarios!$K$23)))</f>
        <v>1</v>
      </c>
      <c r="G24" s="251" t="n">
        <f aca="false">MAX(0,MIN(1,(4-Scenarios!$J$23+1)/MAX(1,Scenarios!$K$23)))</f>
        <v>1</v>
      </c>
      <c r="H24" s="251" t="n">
        <f aca="false">MAX(0,MIN(1,(5-Scenarios!$J$23+1)/MAX(1,Scenarios!$K$23)))</f>
        <v>1</v>
      </c>
      <c r="I24" s="251" t="n">
        <f aca="false">MAX(0,MIN(1,(6-Scenarios!$J$23+1)/MAX(1,Scenarios!$K$23)))</f>
        <v>1</v>
      </c>
      <c r="J24" s="251" t="n">
        <f aca="false">MAX(0,MIN(1,(7-Scenarios!$J$23+1)/MAX(1,Scenarios!$K$23)))</f>
        <v>1</v>
      </c>
      <c r="K24" s="251" t="n">
        <f aca="false">MAX(0,MIN(1,(8-Scenarios!$J$23+1)/MAX(1,Scenarios!$K$23)))</f>
        <v>1</v>
      </c>
      <c r="L24" s="251" t="n">
        <f aca="false">MAX(0,MIN(1,(9-Scenarios!$J$23+1)/MAX(1,Scenarios!$K$23)))</f>
        <v>1</v>
      </c>
      <c r="M24" s="251" t="n">
        <f aca="false">MAX(0,MIN(1,(10-Scenarios!$J$23+1)/MAX(1,Scenarios!$K$23)))</f>
        <v>1</v>
      </c>
      <c r="N24" s="251" t="n">
        <f aca="false">MAX(0,MIN(1,(11-Scenarios!$J$23+1)/MAX(1,Scenarios!$K$23)))</f>
        <v>1</v>
      </c>
      <c r="O24" s="251" t="n">
        <f aca="false">MAX(0,MIN(1,(12-Scenarios!$J$23+1)/MAX(1,Scenarios!$K$23)))</f>
        <v>1</v>
      </c>
      <c r="P24" s="251" t="n">
        <f aca="false">MAX(0,MIN(1,(13-Scenarios!$J$23+1)/MAX(1,Scenarios!$K$23)))</f>
        <v>1</v>
      </c>
      <c r="Q24" s="251" t="n">
        <f aca="false">MAX(0,MIN(1,(14-Scenarios!$J$23+1)/MAX(1,Scenarios!$K$23)))</f>
        <v>1</v>
      </c>
      <c r="R24" s="251" t="n">
        <f aca="false">MAX(0,MIN(1,(15-Scenarios!$J$23+1)/MAX(1,Scenarios!$K$23)))</f>
        <v>1</v>
      </c>
      <c r="S24" s="251" t="n">
        <f aca="false">MAX(0,MIN(1,(16-Scenarios!$J$23+1)/MAX(1,Scenarios!$K$23)))</f>
        <v>1</v>
      </c>
      <c r="T24" s="251" t="n">
        <f aca="false">MAX(0,MIN(1,(17-Scenarios!$J$23+1)/MAX(1,Scenarios!$K$23)))</f>
        <v>1</v>
      </c>
      <c r="U24" s="251" t="n">
        <f aca="false">MAX(0,MIN(1,(18-Scenarios!$J$23+1)/MAX(1,Scenarios!$K$23)))</f>
        <v>1</v>
      </c>
      <c r="V24" s="251" t="n">
        <f aca="false">MAX(0,MIN(1,(19-Scenarios!$J$23+1)/MAX(1,Scenarios!$K$23)))</f>
        <v>1</v>
      </c>
      <c r="W24" s="251" t="n">
        <f aca="false">MAX(0,MIN(1,(20-Scenarios!$J$23+1)/MAX(1,Scenarios!$K$23)))</f>
        <v>1</v>
      </c>
      <c r="X24" s="251" t="n">
        <f aca="false">MAX(0,MIN(1,(21-Scenarios!$J$23+1)/MAX(1,Scenarios!$K$23)))</f>
        <v>1</v>
      </c>
      <c r="Y24" s="251" t="n">
        <f aca="false">MAX(0,MIN(1,(22-Scenarios!$J$23+1)/MAX(1,Scenarios!$K$23)))</f>
        <v>1</v>
      </c>
      <c r="Z24" s="251" t="n">
        <f aca="false">MAX(0,MIN(1,(23-Scenarios!$J$23+1)/MAX(1,Scenarios!$K$23)))</f>
        <v>1</v>
      </c>
      <c r="AA24" s="251" t="n">
        <f aca="false">MAX(0,MIN(1,(24-Scenarios!$J$23+1)/MAX(1,Scenarios!$K$23)))</f>
        <v>1</v>
      </c>
      <c r="AB24" s="251" t="n">
        <f aca="false">MAX(0,MIN(1,(25-Scenarios!$J$23+1)/MAX(1,Scenarios!$K$23)))</f>
        <v>1</v>
      </c>
      <c r="AC24" s="251" t="n">
        <f aca="false">MAX(0,MIN(1,(26-Scenarios!$J$23+1)/MAX(1,Scenarios!$K$23)))</f>
        <v>1</v>
      </c>
      <c r="AD24" s="251" t="n">
        <f aca="false">MAX(0,MIN(1,(27-Scenarios!$J$23+1)/MAX(1,Scenarios!$K$23)))</f>
        <v>1</v>
      </c>
      <c r="AE24" s="251" t="n">
        <f aca="false">MAX(0,MIN(1,(28-Scenarios!$J$23+1)/MAX(1,Scenarios!$K$23)))</f>
        <v>1</v>
      </c>
      <c r="AF24" s="251" t="n">
        <f aca="false">MAX(0,MIN(1,(29-Scenarios!$J$23+1)/MAX(1,Scenarios!$K$23)))</f>
        <v>1</v>
      </c>
      <c r="AG24" s="251" t="n">
        <f aca="false">MAX(0,MIN(1,(30-Scenarios!$J$23+1)/MAX(1,Scenarios!$K$23)))</f>
        <v>1</v>
      </c>
      <c r="AH24" s="252" t="n">
        <f aca="false">IFERROR(VLOOKUP(Scenarios!$D$23,'02_Type_Assumptions'!$A$4:$Z$25,13,FALSE()),0)</f>
        <v>400</v>
      </c>
      <c r="AI24" s="252" t="n">
        <f aca="false">IFERROR(VLOOKUP(Scenarios!$D$23,'02_Type_Assumptions'!$A$4:$Z$25,14,FALSE()),0)</f>
        <v>0</v>
      </c>
      <c r="AJ24" s="252" t="n">
        <f aca="false">IFERROR(VLOOKUP(Scenarios!$D$23,'02_Type_Assumptions'!$A$4:$Z$25,15,FALSE()),0)</f>
        <v>0</v>
      </c>
      <c r="AK24" s="252" t="n">
        <f aca="false">IFERROR(VLOOKUP(Scenarios!$D$23,'02_Type_Assumptions'!$A$4:$Z$25,16,FALSE()),0)</f>
        <v>0</v>
      </c>
      <c r="AL24" s="252" t="n">
        <f aca="false">IFERROR(VLOOKUP(Scenarios!$D$23,'02_Type_Assumptions'!$A$4:$Z$25,17,FALSE()),0)</f>
        <v>30</v>
      </c>
      <c r="AM24" s="252" t="n">
        <f aca="false">IFERROR(VLOOKUP(Scenarios!$D$23,'02_Type_Assumptions'!$A$4:$Z$25,18,FALSE()),0)</f>
        <v>0</v>
      </c>
      <c r="AN24" s="252" t="n">
        <f aca="false">IFERROR(VLOOKUP(Scenarios!$D$23,'02_Type_Assumptions'!$A$4:$Z$25,19,FALSE()),0)</f>
        <v>0</v>
      </c>
      <c r="AO24" s="252" t="n">
        <f aca="false">IFERROR(VLOOKUP(Scenarios!$D$23,'02_Type_Assumptions'!$A$4:$Z$25,20,FALSE()),0)</f>
        <v>0</v>
      </c>
    </row>
    <row r="25" customFormat="false" ht="15" hidden="false" customHeight="true" outlineLevel="0" collapsed="false">
      <c r="A25" s="161" t="n">
        <v>22</v>
      </c>
      <c r="B25" s="250" t="b">
        <f aca="false">Scenarios!$C$24</f>
        <v>0</v>
      </c>
      <c r="C25" s="161" t="s">
        <v>863</v>
      </c>
      <c r="D25" s="251" t="n">
        <f aca="false">MAX(0,MIN(1,(1-Scenarios!$J$24+1)/MAX(1,Scenarios!$K$24)))</f>
        <v>0.5</v>
      </c>
      <c r="E25" s="251" t="n">
        <f aca="false">MAX(0,MIN(1,(2-Scenarios!$J$24+1)/MAX(1,Scenarios!$K$24)))</f>
        <v>1</v>
      </c>
      <c r="F25" s="251" t="n">
        <f aca="false">MAX(0,MIN(1,(3-Scenarios!$J$24+1)/MAX(1,Scenarios!$K$24)))</f>
        <v>1</v>
      </c>
      <c r="G25" s="251" t="n">
        <f aca="false">MAX(0,MIN(1,(4-Scenarios!$J$24+1)/MAX(1,Scenarios!$K$24)))</f>
        <v>1</v>
      </c>
      <c r="H25" s="251" t="n">
        <f aca="false">MAX(0,MIN(1,(5-Scenarios!$J$24+1)/MAX(1,Scenarios!$K$24)))</f>
        <v>1</v>
      </c>
      <c r="I25" s="251" t="n">
        <f aca="false">MAX(0,MIN(1,(6-Scenarios!$J$24+1)/MAX(1,Scenarios!$K$24)))</f>
        <v>1</v>
      </c>
      <c r="J25" s="251" t="n">
        <f aca="false">MAX(0,MIN(1,(7-Scenarios!$J$24+1)/MAX(1,Scenarios!$K$24)))</f>
        <v>1</v>
      </c>
      <c r="K25" s="251" t="n">
        <f aca="false">MAX(0,MIN(1,(8-Scenarios!$J$24+1)/MAX(1,Scenarios!$K$24)))</f>
        <v>1</v>
      </c>
      <c r="L25" s="251" t="n">
        <f aca="false">MAX(0,MIN(1,(9-Scenarios!$J$24+1)/MAX(1,Scenarios!$K$24)))</f>
        <v>1</v>
      </c>
      <c r="M25" s="251" t="n">
        <f aca="false">MAX(0,MIN(1,(10-Scenarios!$J$24+1)/MAX(1,Scenarios!$K$24)))</f>
        <v>1</v>
      </c>
      <c r="N25" s="251" t="n">
        <f aca="false">MAX(0,MIN(1,(11-Scenarios!$J$24+1)/MAX(1,Scenarios!$K$24)))</f>
        <v>1</v>
      </c>
      <c r="O25" s="251" t="n">
        <f aca="false">MAX(0,MIN(1,(12-Scenarios!$J$24+1)/MAX(1,Scenarios!$K$24)))</f>
        <v>1</v>
      </c>
      <c r="P25" s="251" t="n">
        <f aca="false">MAX(0,MIN(1,(13-Scenarios!$J$24+1)/MAX(1,Scenarios!$K$24)))</f>
        <v>1</v>
      </c>
      <c r="Q25" s="251" t="n">
        <f aca="false">MAX(0,MIN(1,(14-Scenarios!$J$24+1)/MAX(1,Scenarios!$K$24)))</f>
        <v>1</v>
      </c>
      <c r="R25" s="251" t="n">
        <f aca="false">MAX(0,MIN(1,(15-Scenarios!$J$24+1)/MAX(1,Scenarios!$K$24)))</f>
        <v>1</v>
      </c>
      <c r="S25" s="251" t="n">
        <f aca="false">MAX(0,MIN(1,(16-Scenarios!$J$24+1)/MAX(1,Scenarios!$K$24)))</f>
        <v>1</v>
      </c>
      <c r="T25" s="251" t="n">
        <f aca="false">MAX(0,MIN(1,(17-Scenarios!$J$24+1)/MAX(1,Scenarios!$K$24)))</f>
        <v>1</v>
      </c>
      <c r="U25" s="251" t="n">
        <f aca="false">MAX(0,MIN(1,(18-Scenarios!$J$24+1)/MAX(1,Scenarios!$K$24)))</f>
        <v>1</v>
      </c>
      <c r="V25" s="251" t="n">
        <f aca="false">MAX(0,MIN(1,(19-Scenarios!$J$24+1)/MAX(1,Scenarios!$K$24)))</f>
        <v>1</v>
      </c>
      <c r="W25" s="251" t="n">
        <f aca="false">MAX(0,MIN(1,(20-Scenarios!$J$24+1)/MAX(1,Scenarios!$K$24)))</f>
        <v>1</v>
      </c>
      <c r="X25" s="251" t="n">
        <f aca="false">MAX(0,MIN(1,(21-Scenarios!$J$24+1)/MAX(1,Scenarios!$K$24)))</f>
        <v>1</v>
      </c>
      <c r="Y25" s="251" t="n">
        <f aca="false">MAX(0,MIN(1,(22-Scenarios!$J$24+1)/MAX(1,Scenarios!$K$24)))</f>
        <v>1</v>
      </c>
      <c r="Z25" s="251" t="n">
        <f aca="false">MAX(0,MIN(1,(23-Scenarios!$J$24+1)/MAX(1,Scenarios!$K$24)))</f>
        <v>1</v>
      </c>
      <c r="AA25" s="251" t="n">
        <f aca="false">MAX(0,MIN(1,(24-Scenarios!$J$24+1)/MAX(1,Scenarios!$K$24)))</f>
        <v>1</v>
      </c>
      <c r="AB25" s="251" t="n">
        <f aca="false">MAX(0,MIN(1,(25-Scenarios!$J$24+1)/MAX(1,Scenarios!$K$24)))</f>
        <v>1</v>
      </c>
      <c r="AC25" s="251" t="n">
        <f aca="false">MAX(0,MIN(1,(26-Scenarios!$J$24+1)/MAX(1,Scenarios!$K$24)))</f>
        <v>1</v>
      </c>
      <c r="AD25" s="251" t="n">
        <f aca="false">MAX(0,MIN(1,(27-Scenarios!$J$24+1)/MAX(1,Scenarios!$K$24)))</f>
        <v>1</v>
      </c>
      <c r="AE25" s="251" t="n">
        <f aca="false">MAX(0,MIN(1,(28-Scenarios!$J$24+1)/MAX(1,Scenarios!$K$24)))</f>
        <v>1</v>
      </c>
      <c r="AF25" s="251" t="n">
        <f aca="false">MAX(0,MIN(1,(29-Scenarios!$J$24+1)/MAX(1,Scenarios!$K$24)))</f>
        <v>1</v>
      </c>
      <c r="AG25" s="251" t="n">
        <f aca="false">MAX(0,MIN(1,(30-Scenarios!$J$24+1)/MAX(1,Scenarios!$K$24)))</f>
        <v>1</v>
      </c>
      <c r="AH25" s="252" t="n">
        <f aca="false">IFERROR(VLOOKUP(Scenarios!$D$24,'02_Type_Assumptions'!$A$4:$Z$25,13,FALSE()),0)</f>
        <v>150</v>
      </c>
      <c r="AI25" s="252" t="n">
        <f aca="false">IFERROR(VLOOKUP(Scenarios!$D$24,'02_Type_Assumptions'!$A$4:$Z$25,14,FALSE()),0)</f>
        <v>0</v>
      </c>
      <c r="AJ25" s="252" t="n">
        <f aca="false">IFERROR(VLOOKUP(Scenarios!$D$24,'02_Type_Assumptions'!$A$4:$Z$25,15,FALSE()),0)</f>
        <v>0</v>
      </c>
      <c r="AK25" s="252" t="n">
        <f aca="false">IFERROR(VLOOKUP(Scenarios!$D$24,'02_Type_Assumptions'!$A$4:$Z$25,16,FALSE()),0)</f>
        <v>0</v>
      </c>
      <c r="AL25" s="252" t="n">
        <f aca="false">IFERROR(VLOOKUP(Scenarios!$D$24,'02_Type_Assumptions'!$A$4:$Z$25,17,FALSE()),0)</f>
        <v>30</v>
      </c>
      <c r="AM25" s="252" t="n">
        <f aca="false">IFERROR(VLOOKUP(Scenarios!$D$24,'02_Type_Assumptions'!$A$4:$Z$25,18,FALSE()),0)</f>
        <v>0</v>
      </c>
      <c r="AN25" s="252" t="n">
        <f aca="false">IFERROR(VLOOKUP(Scenarios!$D$24,'02_Type_Assumptions'!$A$4:$Z$25,19,FALSE()),0)</f>
        <v>0</v>
      </c>
      <c r="AO25" s="252" t="n">
        <f aca="false">IFERROR(VLOOKUP(Scenarios!$D$24,'02_Type_Assumptions'!$A$4:$Z$25,20,FALSE()),0)</f>
        <v>0</v>
      </c>
    </row>
    <row r="26" customFormat="false" ht="15" hidden="false" customHeight="true" outlineLevel="0" collapsed="false">
      <c r="A26" s="161" t="n">
        <v>23</v>
      </c>
      <c r="B26" s="250" t="b">
        <f aca="false">Scenarios!$C$25</f>
        <v>0</v>
      </c>
      <c r="C26" s="161" t="s">
        <v>863</v>
      </c>
      <c r="D26" s="251" t="n">
        <f aca="false">MAX(0,MIN(1,(1-Scenarios!$J$25+1)/MAX(1,Scenarios!$K$25)))</f>
        <v>1</v>
      </c>
      <c r="E26" s="251" t="n">
        <f aca="false">MAX(0,MIN(1,(2-Scenarios!$J$25+1)/MAX(1,Scenarios!$K$25)))</f>
        <v>1</v>
      </c>
      <c r="F26" s="251" t="n">
        <f aca="false">MAX(0,MIN(1,(3-Scenarios!$J$25+1)/MAX(1,Scenarios!$K$25)))</f>
        <v>1</v>
      </c>
      <c r="G26" s="251" t="n">
        <f aca="false">MAX(0,MIN(1,(4-Scenarios!$J$25+1)/MAX(1,Scenarios!$K$25)))</f>
        <v>1</v>
      </c>
      <c r="H26" s="251" t="n">
        <f aca="false">MAX(0,MIN(1,(5-Scenarios!$J$25+1)/MAX(1,Scenarios!$K$25)))</f>
        <v>1</v>
      </c>
      <c r="I26" s="251" t="n">
        <f aca="false">MAX(0,MIN(1,(6-Scenarios!$J$25+1)/MAX(1,Scenarios!$K$25)))</f>
        <v>1</v>
      </c>
      <c r="J26" s="251" t="n">
        <f aca="false">MAX(0,MIN(1,(7-Scenarios!$J$25+1)/MAX(1,Scenarios!$K$25)))</f>
        <v>1</v>
      </c>
      <c r="K26" s="251" t="n">
        <f aca="false">MAX(0,MIN(1,(8-Scenarios!$J$25+1)/MAX(1,Scenarios!$K$25)))</f>
        <v>1</v>
      </c>
      <c r="L26" s="251" t="n">
        <f aca="false">MAX(0,MIN(1,(9-Scenarios!$J$25+1)/MAX(1,Scenarios!$K$25)))</f>
        <v>1</v>
      </c>
      <c r="M26" s="251" t="n">
        <f aca="false">MAX(0,MIN(1,(10-Scenarios!$J$25+1)/MAX(1,Scenarios!$K$25)))</f>
        <v>1</v>
      </c>
      <c r="N26" s="251" t="n">
        <f aca="false">MAX(0,MIN(1,(11-Scenarios!$J$25+1)/MAX(1,Scenarios!$K$25)))</f>
        <v>1</v>
      </c>
      <c r="O26" s="251" t="n">
        <f aca="false">MAX(0,MIN(1,(12-Scenarios!$J$25+1)/MAX(1,Scenarios!$K$25)))</f>
        <v>1</v>
      </c>
      <c r="P26" s="251" t="n">
        <f aca="false">MAX(0,MIN(1,(13-Scenarios!$J$25+1)/MAX(1,Scenarios!$K$25)))</f>
        <v>1</v>
      </c>
      <c r="Q26" s="251" t="n">
        <f aca="false">MAX(0,MIN(1,(14-Scenarios!$J$25+1)/MAX(1,Scenarios!$K$25)))</f>
        <v>1</v>
      </c>
      <c r="R26" s="251" t="n">
        <f aca="false">MAX(0,MIN(1,(15-Scenarios!$J$25+1)/MAX(1,Scenarios!$K$25)))</f>
        <v>1</v>
      </c>
      <c r="S26" s="251" t="n">
        <f aca="false">MAX(0,MIN(1,(16-Scenarios!$J$25+1)/MAX(1,Scenarios!$K$25)))</f>
        <v>1</v>
      </c>
      <c r="T26" s="251" t="n">
        <f aca="false">MAX(0,MIN(1,(17-Scenarios!$J$25+1)/MAX(1,Scenarios!$K$25)))</f>
        <v>1</v>
      </c>
      <c r="U26" s="251" t="n">
        <f aca="false">MAX(0,MIN(1,(18-Scenarios!$J$25+1)/MAX(1,Scenarios!$K$25)))</f>
        <v>1</v>
      </c>
      <c r="V26" s="251" t="n">
        <f aca="false">MAX(0,MIN(1,(19-Scenarios!$J$25+1)/MAX(1,Scenarios!$K$25)))</f>
        <v>1</v>
      </c>
      <c r="W26" s="251" t="n">
        <f aca="false">MAX(0,MIN(1,(20-Scenarios!$J$25+1)/MAX(1,Scenarios!$K$25)))</f>
        <v>1</v>
      </c>
      <c r="X26" s="251" t="n">
        <f aca="false">MAX(0,MIN(1,(21-Scenarios!$J$25+1)/MAX(1,Scenarios!$K$25)))</f>
        <v>1</v>
      </c>
      <c r="Y26" s="251" t="n">
        <f aca="false">MAX(0,MIN(1,(22-Scenarios!$J$25+1)/MAX(1,Scenarios!$K$25)))</f>
        <v>1</v>
      </c>
      <c r="Z26" s="251" t="n">
        <f aca="false">MAX(0,MIN(1,(23-Scenarios!$J$25+1)/MAX(1,Scenarios!$K$25)))</f>
        <v>1</v>
      </c>
      <c r="AA26" s="251" t="n">
        <f aca="false">MAX(0,MIN(1,(24-Scenarios!$J$25+1)/MAX(1,Scenarios!$K$25)))</f>
        <v>1</v>
      </c>
      <c r="AB26" s="251" t="n">
        <f aca="false">MAX(0,MIN(1,(25-Scenarios!$J$25+1)/MAX(1,Scenarios!$K$25)))</f>
        <v>1</v>
      </c>
      <c r="AC26" s="251" t="n">
        <f aca="false">MAX(0,MIN(1,(26-Scenarios!$J$25+1)/MAX(1,Scenarios!$K$25)))</f>
        <v>1</v>
      </c>
      <c r="AD26" s="251" t="n">
        <f aca="false">MAX(0,MIN(1,(27-Scenarios!$J$25+1)/MAX(1,Scenarios!$K$25)))</f>
        <v>1</v>
      </c>
      <c r="AE26" s="251" t="n">
        <f aca="false">MAX(0,MIN(1,(28-Scenarios!$J$25+1)/MAX(1,Scenarios!$K$25)))</f>
        <v>1</v>
      </c>
      <c r="AF26" s="251" t="n">
        <f aca="false">MAX(0,MIN(1,(29-Scenarios!$J$25+1)/MAX(1,Scenarios!$K$25)))</f>
        <v>1</v>
      </c>
      <c r="AG26" s="251" t="n">
        <f aca="false">MAX(0,MIN(1,(30-Scenarios!$J$25+1)/MAX(1,Scenarios!$K$25)))</f>
        <v>1</v>
      </c>
      <c r="AH26" s="252" t="n">
        <f aca="false">IFERROR(VLOOKUP(Scenarios!$D$25,'02_Type_Assumptions'!$A$4:$Z$25,13,FALSE()),0)</f>
        <v>0</v>
      </c>
      <c r="AI26" s="252" t="n">
        <f aca="false">IFERROR(VLOOKUP(Scenarios!$D$25,'02_Type_Assumptions'!$A$4:$Z$25,14,FALSE()),0)</f>
        <v>0</v>
      </c>
      <c r="AJ26" s="252" t="n">
        <f aca="false">IFERROR(VLOOKUP(Scenarios!$D$25,'02_Type_Assumptions'!$A$4:$Z$25,15,FALSE()),0)</f>
        <v>0</v>
      </c>
      <c r="AK26" s="252" t="n">
        <f aca="false">IFERROR(VLOOKUP(Scenarios!$D$25,'02_Type_Assumptions'!$A$4:$Z$25,16,FALSE()),0)</f>
        <v>0</v>
      </c>
      <c r="AL26" s="252" t="n">
        <f aca="false">IFERROR(VLOOKUP(Scenarios!$D$25,'02_Type_Assumptions'!$A$4:$Z$25,17,FALSE()),0)</f>
        <v>0</v>
      </c>
      <c r="AM26" s="252" t="n">
        <f aca="false">IFERROR(VLOOKUP(Scenarios!$D$25,'02_Type_Assumptions'!$A$4:$Z$25,18,FALSE()),0)</f>
        <v>0</v>
      </c>
      <c r="AN26" s="252" t="n">
        <f aca="false">IFERROR(VLOOKUP(Scenarios!$D$25,'02_Type_Assumptions'!$A$4:$Z$25,19,FALSE()),0)</f>
        <v>0</v>
      </c>
      <c r="AO26" s="252" t="n">
        <f aca="false">IFERROR(VLOOKUP(Scenarios!$D$25,'02_Type_Assumptions'!$A$4:$Z$25,20,FALSE()),0)</f>
        <v>0</v>
      </c>
    </row>
    <row r="27" customFormat="false" ht="15" hidden="false" customHeight="true" outlineLevel="0" collapsed="false">
      <c r="A27" s="161" t="n">
        <v>24</v>
      </c>
      <c r="B27" s="250" t="b">
        <f aca="false">Scenarios!$C$26</f>
        <v>0</v>
      </c>
      <c r="C27" s="161" t="s">
        <v>863</v>
      </c>
      <c r="D27" s="251" t="n">
        <f aca="false">MAX(0,MIN(1,(1-Scenarios!$J$26+1)/MAX(1,Scenarios!$K$26)))</f>
        <v>1</v>
      </c>
      <c r="E27" s="251" t="n">
        <f aca="false">MAX(0,MIN(1,(2-Scenarios!$J$26+1)/MAX(1,Scenarios!$K$26)))</f>
        <v>1</v>
      </c>
      <c r="F27" s="251" t="n">
        <f aca="false">MAX(0,MIN(1,(3-Scenarios!$J$26+1)/MAX(1,Scenarios!$K$26)))</f>
        <v>1</v>
      </c>
      <c r="G27" s="251" t="n">
        <f aca="false">MAX(0,MIN(1,(4-Scenarios!$J$26+1)/MAX(1,Scenarios!$K$26)))</f>
        <v>1</v>
      </c>
      <c r="H27" s="251" t="n">
        <f aca="false">MAX(0,MIN(1,(5-Scenarios!$J$26+1)/MAX(1,Scenarios!$K$26)))</f>
        <v>1</v>
      </c>
      <c r="I27" s="251" t="n">
        <f aca="false">MAX(0,MIN(1,(6-Scenarios!$J$26+1)/MAX(1,Scenarios!$K$26)))</f>
        <v>1</v>
      </c>
      <c r="J27" s="251" t="n">
        <f aca="false">MAX(0,MIN(1,(7-Scenarios!$J$26+1)/MAX(1,Scenarios!$K$26)))</f>
        <v>1</v>
      </c>
      <c r="K27" s="251" t="n">
        <f aca="false">MAX(0,MIN(1,(8-Scenarios!$J$26+1)/MAX(1,Scenarios!$K$26)))</f>
        <v>1</v>
      </c>
      <c r="L27" s="251" t="n">
        <f aca="false">MAX(0,MIN(1,(9-Scenarios!$J$26+1)/MAX(1,Scenarios!$K$26)))</f>
        <v>1</v>
      </c>
      <c r="M27" s="251" t="n">
        <f aca="false">MAX(0,MIN(1,(10-Scenarios!$J$26+1)/MAX(1,Scenarios!$K$26)))</f>
        <v>1</v>
      </c>
      <c r="N27" s="251" t="n">
        <f aca="false">MAX(0,MIN(1,(11-Scenarios!$J$26+1)/MAX(1,Scenarios!$K$26)))</f>
        <v>1</v>
      </c>
      <c r="O27" s="251" t="n">
        <f aca="false">MAX(0,MIN(1,(12-Scenarios!$J$26+1)/MAX(1,Scenarios!$K$26)))</f>
        <v>1</v>
      </c>
      <c r="P27" s="251" t="n">
        <f aca="false">MAX(0,MIN(1,(13-Scenarios!$J$26+1)/MAX(1,Scenarios!$K$26)))</f>
        <v>1</v>
      </c>
      <c r="Q27" s="251" t="n">
        <f aca="false">MAX(0,MIN(1,(14-Scenarios!$J$26+1)/MAX(1,Scenarios!$K$26)))</f>
        <v>1</v>
      </c>
      <c r="R27" s="251" t="n">
        <f aca="false">MAX(0,MIN(1,(15-Scenarios!$J$26+1)/MAX(1,Scenarios!$K$26)))</f>
        <v>1</v>
      </c>
      <c r="S27" s="251" t="n">
        <f aca="false">MAX(0,MIN(1,(16-Scenarios!$J$26+1)/MAX(1,Scenarios!$K$26)))</f>
        <v>1</v>
      </c>
      <c r="T27" s="251" t="n">
        <f aca="false">MAX(0,MIN(1,(17-Scenarios!$J$26+1)/MAX(1,Scenarios!$K$26)))</f>
        <v>1</v>
      </c>
      <c r="U27" s="251" t="n">
        <f aca="false">MAX(0,MIN(1,(18-Scenarios!$J$26+1)/MAX(1,Scenarios!$K$26)))</f>
        <v>1</v>
      </c>
      <c r="V27" s="251" t="n">
        <f aca="false">MAX(0,MIN(1,(19-Scenarios!$J$26+1)/MAX(1,Scenarios!$K$26)))</f>
        <v>1</v>
      </c>
      <c r="W27" s="251" t="n">
        <f aca="false">MAX(0,MIN(1,(20-Scenarios!$J$26+1)/MAX(1,Scenarios!$K$26)))</f>
        <v>1</v>
      </c>
      <c r="X27" s="251" t="n">
        <f aca="false">MAX(0,MIN(1,(21-Scenarios!$J$26+1)/MAX(1,Scenarios!$K$26)))</f>
        <v>1</v>
      </c>
      <c r="Y27" s="251" t="n">
        <f aca="false">MAX(0,MIN(1,(22-Scenarios!$J$26+1)/MAX(1,Scenarios!$K$26)))</f>
        <v>1</v>
      </c>
      <c r="Z27" s="251" t="n">
        <f aca="false">MAX(0,MIN(1,(23-Scenarios!$J$26+1)/MAX(1,Scenarios!$K$26)))</f>
        <v>1</v>
      </c>
      <c r="AA27" s="251" t="n">
        <f aca="false">MAX(0,MIN(1,(24-Scenarios!$J$26+1)/MAX(1,Scenarios!$K$26)))</f>
        <v>1</v>
      </c>
      <c r="AB27" s="251" t="n">
        <f aca="false">MAX(0,MIN(1,(25-Scenarios!$J$26+1)/MAX(1,Scenarios!$K$26)))</f>
        <v>1</v>
      </c>
      <c r="AC27" s="251" t="n">
        <f aca="false">MAX(0,MIN(1,(26-Scenarios!$J$26+1)/MAX(1,Scenarios!$K$26)))</f>
        <v>1</v>
      </c>
      <c r="AD27" s="251" t="n">
        <f aca="false">MAX(0,MIN(1,(27-Scenarios!$J$26+1)/MAX(1,Scenarios!$K$26)))</f>
        <v>1</v>
      </c>
      <c r="AE27" s="251" t="n">
        <f aca="false">MAX(0,MIN(1,(28-Scenarios!$J$26+1)/MAX(1,Scenarios!$K$26)))</f>
        <v>1</v>
      </c>
      <c r="AF27" s="251" t="n">
        <f aca="false">MAX(0,MIN(1,(29-Scenarios!$J$26+1)/MAX(1,Scenarios!$K$26)))</f>
        <v>1</v>
      </c>
      <c r="AG27" s="251" t="n">
        <f aca="false">MAX(0,MIN(1,(30-Scenarios!$J$26+1)/MAX(1,Scenarios!$K$26)))</f>
        <v>1</v>
      </c>
      <c r="AH27" s="252" t="n">
        <f aca="false">IFERROR(VLOOKUP(Scenarios!$D$26,'02_Type_Assumptions'!$A$4:$Z$25,13,FALSE()),0)</f>
        <v>0</v>
      </c>
      <c r="AI27" s="252" t="n">
        <f aca="false">IFERROR(VLOOKUP(Scenarios!$D$26,'02_Type_Assumptions'!$A$4:$Z$25,14,FALSE()),0)</f>
        <v>0</v>
      </c>
      <c r="AJ27" s="252" t="n">
        <f aca="false">IFERROR(VLOOKUP(Scenarios!$D$26,'02_Type_Assumptions'!$A$4:$Z$25,15,FALSE()),0)</f>
        <v>0</v>
      </c>
      <c r="AK27" s="252" t="n">
        <f aca="false">IFERROR(VLOOKUP(Scenarios!$D$26,'02_Type_Assumptions'!$A$4:$Z$25,16,FALSE()),0)</f>
        <v>0</v>
      </c>
      <c r="AL27" s="252" t="n">
        <f aca="false">IFERROR(VLOOKUP(Scenarios!$D$26,'02_Type_Assumptions'!$A$4:$Z$25,17,FALSE()),0)</f>
        <v>0</v>
      </c>
      <c r="AM27" s="252" t="n">
        <f aca="false">IFERROR(VLOOKUP(Scenarios!$D$26,'02_Type_Assumptions'!$A$4:$Z$25,18,FALSE()),0)</f>
        <v>0</v>
      </c>
      <c r="AN27" s="252" t="n">
        <f aca="false">IFERROR(VLOOKUP(Scenarios!$D$26,'02_Type_Assumptions'!$A$4:$Z$25,19,FALSE()),0)</f>
        <v>0</v>
      </c>
      <c r="AO27" s="252" t="n">
        <f aca="false">IFERROR(VLOOKUP(Scenarios!$D$26,'02_Type_Assumptions'!$A$4:$Z$25,20,FALSE()),0)</f>
        <v>0</v>
      </c>
    </row>
    <row r="28" customFormat="false" ht="15" hidden="false" customHeight="true" outlineLevel="0" collapsed="false">
      <c r="A28" s="161" t="n">
        <v>25</v>
      </c>
      <c r="B28" s="250" t="b">
        <f aca="false">Scenarios!$C$27</f>
        <v>0</v>
      </c>
      <c r="C28" s="161" t="s">
        <v>863</v>
      </c>
      <c r="D28" s="251" t="n">
        <f aca="false">MAX(0,MIN(1,(1-Scenarios!$J$27+1)/MAX(1,Scenarios!$K$27)))</f>
        <v>1</v>
      </c>
      <c r="E28" s="251" t="n">
        <f aca="false">MAX(0,MIN(1,(2-Scenarios!$J$27+1)/MAX(1,Scenarios!$K$27)))</f>
        <v>1</v>
      </c>
      <c r="F28" s="251" t="n">
        <f aca="false">MAX(0,MIN(1,(3-Scenarios!$J$27+1)/MAX(1,Scenarios!$K$27)))</f>
        <v>1</v>
      </c>
      <c r="G28" s="251" t="n">
        <f aca="false">MAX(0,MIN(1,(4-Scenarios!$J$27+1)/MAX(1,Scenarios!$K$27)))</f>
        <v>1</v>
      </c>
      <c r="H28" s="251" t="n">
        <f aca="false">MAX(0,MIN(1,(5-Scenarios!$J$27+1)/MAX(1,Scenarios!$K$27)))</f>
        <v>1</v>
      </c>
      <c r="I28" s="251" t="n">
        <f aca="false">MAX(0,MIN(1,(6-Scenarios!$J$27+1)/MAX(1,Scenarios!$K$27)))</f>
        <v>1</v>
      </c>
      <c r="J28" s="251" t="n">
        <f aca="false">MAX(0,MIN(1,(7-Scenarios!$J$27+1)/MAX(1,Scenarios!$K$27)))</f>
        <v>1</v>
      </c>
      <c r="K28" s="251" t="n">
        <f aca="false">MAX(0,MIN(1,(8-Scenarios!$J$27+1)/MAX(1,Scenarios!$K$27)))</f>
        <v>1</v>
      </c>
      <c r="L28" s="251" t="n">
        <f aca="false">MAX(0,MIN(1,(9-Scenarios!$J$27+1)/MAX(1,Scenarios!$K$27)))</f>
        <v>1</v>
      </c>
      <c r="M28" s="251" t="n">
        <f aca="false">MAX(0,MIN(1,(10-Scenarios!$J$27+1)/MAX(1,Scenarios!$K$27)))</f>
        <v>1</v>
      </c>
      <c r="N28" s="251" t="n">
        <f aca="false">MAX(0,MIN(1,(11-Scenarios!$J$27+1)/MAX(1,Scenarios!$K$27)))</f>
        <v>1</v>
      </c>
      <c r="O28" s="251" t="n">
        <f aca="false">MAX(0,MIN(1,(12-Scenarios!$J$27+1)/MAX(1,Scenarios!$K$27)))</f>
        <v>1</v>
      </c>
      <c r="P28" s="251" t="n">
        <f aca="false">MAX(0,MIN(1,(13-Scenarios!$J$27+1)/MAX(1,Scenarios!$K$27)))</f>
        <v>1</v>
      </c>
      <c r="Q28" s="251" t="n">
        <f aca="false">MAX(0,MIN(1,(14-Scenarios!$J$27+1)/MAX(1,Scenarios!$K$27)))</f>
        <v>1</v>
      </c>
      <c r="R28" s="251" t="n">
        <f aca="false">MAX(0,MIN(1,(15-Scenarios!$J$27+1)/MAX(1,Scenarios!$K$27)))</f>
        <v>1</v>
      </c>
      <c r="S28" s="251" t="n">
        <f aca="false">MAX(0,MIN(1,(16-Scenarios!$J$27+1)/MAX(1,Scenarios!$K$27)))</f>
        <v>1</v>
      </c>
      <c r="T28" s="251" t="n">
        <f aca="false">MAX(0,MIN(1,(17-Scenarios!$J$27+1)/MAX(1,Scenarios!$K$27)))</f>
        <v>1</v>
      </c>
      <c r="U28" s="251" t="n">
        <f aca="false">MAX(0,MIN(1,(18-Scenarios!$J$27+1)/MAX(1,Scenarios!$K$27)))</f>
        <v>1</v>
      </c>
      <c r="V28" s="251" t="n">
        <f aca="false">MAX(0,MIN(1,(19-Scenarios!$J$27+1)/MAX(1,Scenarios!$K$27)))</f>
        <v>1</v>
      </c>
      <c r="W28" s="251" t="n">
        <f aca="false">MAX(0,MIN(1,(20-Scenarios!$J$27+1)/MAX(1,Scenarios!$K$27)))</f>
        <v>1</v>
      </c>
      <c r="X28" s="251" t="n">
        <f aca="false">MAX(0,MIN(1,(21-Scenarios!$J$27+1)/MAX(1,Scenarios!$K$27)))</f>
        <v>1</v>
      </c>
      <c r="Y28" s="251" t="n">
        <f aca="false">MAX(0,MIN(1,(22-Scenarios!$J$27+1)/MAX(1,Scenarios!$K$27)))</f>
        <v>1</v>
      </c>
      <c r="Z28" s="251" t="n">
        <f aca="false">MAX(0,MIN(1,(23-Scenarios!$J$27+1)/MAX(1,Scenarios!$K$27)))</f>
        <v>1</v>
      </c>
      <c r="AA28" s="251" t="n">
        <f aca="false">MAX(0,MIN(1,(24-Scenarios!$J$27+1)/MAX(1,Scenarios!$K$27)))</f>
        <v>1</v>
      </c>
      <c r="AB28" s="251" t="n">
        <f aca="false">MAX(0,MIN(1,(25-Scenarios!$J$27+1)/MAX(1,Scenarios!$K$27)))</f>
        <v>1</v>
      </c>
      <c r="AC28" s="251" t="n">
        <f aca="false">MAX(0,MIN(1,(26-Scenarios!$J$27+1)/MAX(1,Scenarios!$K$27)))</f>
        <v>1</v>
      </c>
      <c r="AD28" s="251" t="n">
        <f aca="false">MAX(0,MIN(1,(27-Scenarios!$J$27+1)/MAX(1,Scenarios!$K$27)))</f>
        <v>1</v>
      </c>
      <c r="AE28" s="251" t="n">
        <f aca="false">MAX(0,MIN(1,(28-Scenarios!$J$27+1)/MAX(1,Scenarios!$K$27)))</f>
        <v>1</v>
      </c>
      <c r="AF28" s="251" t="n">
        <f aca="false">MAX(0,MIN(1,(29-Scenarios!$J$27+1)/MAX(1,Scenarios!$K$27)))</f>
        <v>1</v>
      </c>
      <c r="AG28" s="251" t="n">
        <f aca="false">MAX(0,MIN(1,(30-Scenarios!$J$27+1)/MAX(1,Scenarios!$K$27)))</f>
        <v>1</v>
      </c>
      <c r="AH28" s="252" t="n">
        <f aca="false">IFERROR(VLOOKUP(Scenarios!$D$27,'02_Type_Assumptions'!$A$4:$Z$25,13,FALSE()),0)</f>
        <v>0</v>
      </c>
      <c r="AI28" s="252" t="n">
        <f aca="false">IFERROR(VLOOKUP(Scenarios!$D$27,'02_Type_Assumptions'!$A$4:$Z$25,14,FALSE()),0)</f>
        <v>0</v>
      </c>
      <c r="AJ28" s="252" t="n">
        <f aca="false">IFERROR(VLOOKUP(Scenarios!$D$27,'02_Type_Assumptions'!$A$4:$Z$25,15,FALSE()),0)</f>
        <v>0</v>
      </c>
      <c r="AK28" s="252" t="n">
        <f aca="false">IFERROR(VLOOKUP(Scenarios!$D$27,'02_Type_Assumptions'!$A$4:$Z$25,16,FALSE()),0)</f>
        <v>0</v>
      </c>
      <c r="AL28" s="252" t="n">
        <f aca="false">IFERROR(VLOOKUP(Scenarios!$D$27,'02_Type_Assumptions'!$A$4:$Z$25,17,FALSE()),0)</f>
        <v>0</v>
      </c>
      <c r="AM28" s="252" t="n">
        <f aca="false">IFERROR(VLOOKUP(Scenarios!$D$27,'02_Type_Assumptions'!$A$4:$Z$25,18,FALSE()),0)</f>
        <v>0</v>
      </c>
      <c r="AN28" s="252" t="n">
        <f aca="false">IFERROR(VLOOKUP(Scenarios!$D$27,'02_Type_Assumptions'!$A$4:$Z$25,19,FALSE()),0)</f>
        <v>0</v>
      </c>
      <c r="AO28" s="252" t="n">
        <f aca="false">IFERROR(VLOOKUP(Scenarios!$D$27,'02_Type_Assumptions'!$A$4:$Z$25,20,FALSE()),0)</f>
        <v>0</v>
      </c>
    </row>
    <row r="29" customFormat="false" ht="15" hidden="false" customHeight="true" outlineLevel="0" collapsed="false">
      <c r="A29" s="178" t="s">
        <v>864</v>
      </c>
      <c r="B29" s="178"/>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c r="AA29" s="178"/>
      <c r="AB29" s="178"/>
      <c r="AC29" s="178"/>
      <c r="AD29" s="178"/>
      <c r="AE29" s="178"/>
      <c r="AF29" s="178"/>
      <c r="AG29" s="178"/>
      <c r="AH29" s="161"/>
      <c r="AI29" s="161"/>
      <c r="AJ29" s="161"/>
      <c r="AK29" s="161"/>
      <c r="AL29" s="161"/>
      <c r="AM29" s="161"/>
      <c r="AN29" s="161"/>
      <c r="AO29" s="161"/>
    </row>
    <row r="30" customFormat="false" ht="15" hidden="false" customHeight="true" outlineLevel="0" collapsed="false">
      <c r="A30" s="161" t="n">
        <v>1</v>
      </c>
      <c r="B30" s="250" t="b">
        <f aca="false">Scenarios!$C$3</f>
        <v>1</v>
      </c>
      <c r="C30" s="161" t="s">
        <v>865</v>
      </c>
      <c r="D30" s="251" t="n">
        <f aca="false">D4</f>
        <v>0.25</v>
      </c>
      <c r="E30" s="251" t="n">
        <f aca="false">E4-D4</f>
        <v>0.25</v>
      </c>
      <c r="F30" s="251" t="n">
        <f aca="false">F4-E4</f>
        <v>0.25</v>
      </c>
      <c r="G30" s="251" t="n">
        <f aca="false">G4-F4</f>
        <v>0.25</v>
      </c>
      <c r="H30" s="251" t="n">
        <f aca="false">H4-G4</f>
        <v>0</v>
      </c>
      <c r="I30" s="251" t="n">
        <f aca="false">I4-H4</f>
        <v>0</v>
      </c>
      <c r="J30" s="251" t="n">
        <f aca="false">J4-I4</f>
        <v>0</v>
      </c>
      <c r="K30" s="251" t="n">
        <f aca="false">K4-J4</f>
        <v>0</v>
      </c>
      <c r="L30" s="251" t="n">
        <f aca="false">L4-K4</f>
        <v>0</v>
      </c>
      <c r="M30" s="251" t="n">
        <f aca="false">M4-L4</f>
        <v>0</v>
      </c>
      <c r="N30" s="251" t="n">
        <f aca="false">N4-M4</f>
        <v>0</v>
      </c>
      <c r="O30" s="251" t="n">
        <f aca="false">O4-N4</f>
        <v>0</v>
      </c>
      <c r="P30" s="251" t="n">
        <f aca="false">P4-O4</f>
        <v>0</v>
      </c>
      <c r="Q30" s="251" t="n">
        <f aca="false">Q4-P4</f>
        <v>0</v>
      </c>
      <c r="R30" s="251" t="n">
        <f aca="false">R4-Q4</f>
        <v>0</v>
      </c>
      <c r="S30" s="251" t="n">
        <f aca="false">S4-R4</f>
        <v>0</v>
      </c>
      <c r="T30" s="251" t="n">
        <f aca="false">T4-S4</f>
        <v>0</v>
      </c>
      <c r="U30" s="251" t="n">
        <f aca="false">U4-T4</f>
        <v>0</v>
      </c>
      <c r="V30" s="251" t="n">
        <f aca="false">V4-U4</f>
        <v>0</v>
      </c>
      <c r="W30" s="251" t="n">
        <f aca="false">W4-V4</f>
        <v>0</v>
      </c>
      <c r="X30" s="251" t="n">
        <f aca="false">X4-W4</f>
        <v>0</v>
      </c>
      <c r="Y30" s="251" t="n">
        <f aca="false">Y4-X4</f>
        <v>0</v>
      </c>
      <c r="Z30" s="251" t="n">
        <f aca="false">Z4-Y4</f>
        <v>0</v>
      </c>
      <c r="AA30" s="251" t="n">
        <f aca="false">AA4-Z4</f>
        <v>0</v>
      </c>
      <c r="AB30" s="251" t="n">
        <f aca="false">AB4-AA4</f>
        <v>0</v>
      </c>
      <c r="AC30" s="251" t="n">
        <f aca="false">AC4-AB4</f>
        <v>0</v>
      </c>
      <c r="AD30" s="251" t="n">
        <f aca="false">AD4-AC4</f>
        <v>0</v>
      </c>
      <c r="AE30" s="251" t="n">
        <f aca="false">AE4-AD4</f>
        <v>0</v>
      </c>
      <c r="AF30" s="251" t="n">
        <f aca="false">AF4-AE4</f>
        <v>0</v>
      </c>
      <c r="AG30" s="251" t="n">
        <f aca="false">AG4-AF4</f>
        <v>0</v>
      </c>
      <c r="AH30" s="161"/>
      <c r="AI30" s="161"/>
      <c r="AJ30" s="161"/>
      <c r="AK30" s="161"/>
      <c r="AL30" s="161"/>
      <c r="AM30" s="161"/>
      <c r="AN30" s="161"/>
      <c r="AO30" s="161"/>
    </row>
    <row r="31" customFormat="false" ht="15" hidden="false" customHeight="true" outlineLevel="0" collapsed="false">
      <c r="A31" s="161" t="n">
        <v>2</v>
      </c>
      <c r="B31" s="250" t="b">
        <f aca="false">Scenarios!$C$4</f>
        <v>0</v>
      </c>
      <c r="C31" s="161" t="s">
        <v>865</v>
      </c>
      <c r="D31" s="251" t="n">
        <f aca="false">D5</f>
        <v>0.5</v>
      </c>
      <c r="E31" s="251" t="n">
        <f aca="false">E5-D5</f>
        <v>0.5</v>
      </c>
      <c r="F31" s="251" t="n">
        <f aca="false">F5-E5</f>
        <v>0</v>
      </c>
      <c r="G31" s="251" t="n">
        <f aca="false">G5-F5</f>
        <v>0</v>
      </c>
      <c r="H31" s="251" t="n">
        <f aca="false">H5-G5</f>
        <v>0</v>
      </c>
      <c r="I31" s="251" t="n">
        <f aca="false">I5-H5</f>
        <v>0</v>
      </c>
      <c r="J31" s="251" t="n">
        <f aca="false">J5-I5</f>
        <v>0</v>
      </c>
      <c r="K31" s="251" t="n">
        <f aca="false">K5-J5</f>
        <v>0</v>
      </c>
      <c r="L31" s="251" t="n">
        <f aca="false">L5-K5</f>
        <v>0</v>
      </c>
      <c r="M31" s="251" t="n">
        <f aca="false">M5-L5</f>
        <v>0</v>
      </c>
      <c r="N31" s="251" t="n">
        <f aca="false">N5-M5</f>
        <v>0</v>
      </c>
      <c r="O31" s="251" t="n">
        <f aca="false">O5-N5</f>
        <v>0</v>
      </c>
      <c r="P31" s="251" t="n">
        <f aca="false">P5-O5</f>
        <v>0</v>
      </c>
      <c r="Q31" s="251" t="n">
        <f aca="false">Q5-P5</f>
        <v>0</v>
      </c>
      <c r="R31" s="251" t="n">
        <f aca="false">R5-Q5</f>
        <v>0</v>
      </c>
      <c r="S31" s="251" t="n">
        <f aca="false">S5-R5</f>
        <v>0</v>
      </c>
      <c r="T31" s="251" t="n">
        <f aca="false">T5-S5</f>
        <v>0</v>
      </c>
      <c r="U31" s="251" t="n">
        <f aca="false">U5-T5</f>
        <v>0</v>
      </c>
      <c r="V31" s="251" t="n">
        <f aca="false">V5-U5</f>
        <v>0</v>
      </c>
      <c r="W31" s="251" t="n">
        <f aca="false">W5-V5</f>
        <v>0</v>
      </c>
      <c r="X31" s="251" t="n">
        <f aca="false">X5-W5</f>
        <v>0</v>
      </c>
      <c r="Y31" s="251" t="n">
        <f aca="false">Y5-X5</f>
        <v>0</v>
      </c>
      <c r="Z31" s="251" t="n">
        <f aca="false">Z5-Y5</f>
        <v>0</v>
      </c>
      <c r="AA31" s="251" t="n">
        <f aca="false">AA5-Z5</f>
        <v>0</v>
      </c>
      <c r="AB31" s="251" t="n">
        <f aca="false">AB5-AA5</f>
        <v>0</v>
      </c>
      <c r="AC31" s="251" t="n">
        <f aca="false">AC5-AB5</f>
        <v>0</v>
      </c>
      <c r="AD31" s="251" t="n">
        <f aca="false">AD5-AC5</f>
        <v>0</v>
      </c>
      <c r="AE31" s="251" t="n">
        <f aca="false">AE5-AD5</f>
        <v>0</v>
      </c>
      <c r="AF31" s="251" t="n">
        <f aca="false">AF5-AE5</f>
        <v>0</v>
      </c>
      <c r="AG31" s="251" t="n">
        <f aca="false">AG5-AF5</f>
        <v>0</v>
      </c>
      <c r="AH31" s="161"/>
      <c r="AI31" s="161"/>
      <c r="AJ31" s="161"/>
      <c r="AK31" s="161"/>
      <c r="AL31" s="161"/>
      <c r="AM31" s="161"/>
      <c r="AN31" s="161"/>
      <c r="AO31" s="161"/>
    </row>
    <row r="32" customFormat="false" ht="15" hidden="false" customHeight="true" outlineLevel="0" collapsed="false">
      <c r="A32" s="161" t="n">
        <v>3</v>
      </c>
      <c r="B32" s="250" t="b">
        <f aca="false">Scenarios!$C$5</f>
        <v>0</v>
      </c>
      <c r="C32" s="161" t="s">
        <v>865</v>
      </c>
      <c r="D32" s="251" t="n">
        <f aca="false">D6</f>
        <v>0.333333333333333</v>
      </c>
      <c r="E32" s="251" t="n">
        <f aca="false">E6-D6</f>
        <v>0.333333333333333</v>
      </c>
      <c r="F32" s="251" t="n">
        <f aca="false">F6-E6</f>
        <v>0.333333333333333</v>
      </c>
      <c r="G32" s="251" t="n">
        <f aca="false">G6-F6</f>
        <v>0</v>
      </c>
      <c r="H32" s="251" t="n">
        <f aca="false">H6-G6</f>
        <v>0</v>
      </c>
      <c r="I32" s="251" t="n">
        <f aca="false">I6-H6</f>
        <v>0</v>
      </c>
      <c r="J32" s="251" t="n">
        <f aca="false">J6-I6</f>
        <v>0</v>
      </c>
      <c r="K32" s="251" t="n">
        <f aca="false">K6-J6</f>
        <v>0</v>
      </c>
      <c r="L32" s="251" t="n">
        <f aca="false">L6-K6</f>
        <v>0</v>
      </c>
      <c r="M32" s="251" t="n">
        <f aca="false">M6-L6</f>
        <v>0</v>
      </c>
      <c r="N32" s="251" t="n">
        <f aca="false">N6-M6</f>
        <v>0</v>
      </c>
      <c r="O32" s="251" t="n">
        <f aca="false">O6-N6</f>
        <v>0</v>
      </c>
      <c r="P32" s="251" t="n">
        <f aca="false">P6-O6</f>
        <v>0</v>
      </c>
      <c r="Q32" s="251" t="n">
        <f aca="false">Q6-P6</f>
        <v>0</v>
      </c>
      <c r="R32" s="251" t="n">
        <f aca="false">R6-Q6</f>
        <v>0</v>
      </c>
      <c r="S32" s="251" t="n">
        <f aca="false">S6-R6</f>
        <v>0</v>
      </c>
      <c r="T32" s="251" t="n">
        <f aca="false">T6-S6</f>
        <v>0</v>
      </c>
      <c r="U32" s="251" t="n">
        <f aca="false">U6-T6</f>
        <v>0</v>
      </c>
      <c r="V32" s="251" t="n">
        <f aca="false">V6-U6</f>
        <v>0</v>
      </c>
      <c r="W32" s="251" t="n">
        <f aca="false">W6-V6</f>
        <v>0</v>
      </c>
      <c r="X32" s="251" t="n">
        <f aca="false">X6-W6</f>
        <v>0</v>
      </c>
      <c r="Y32" s="251" t="n">
        <f aca="false">Y6-X6</f>
        <v>0</v>
      </c>
      <c r="Z32" s="251" t="n">
        <f aca="false">Z6-Y6</f>
        <v>0</v>
      </c>
      <c r="AA32" s="251" t="n">
        <f aca="false">AA6-Z6</f>
        <v>0</v>
      </c>
      <c r="AB32" s="251" t="n">
        <f aca="false">AB6-AA6</f>
        <v>0</v>
      </c>
      <c r="AC32" s="251" t="n">
        <f aca="false">AC6-AB6</f>
        <v>0</v>
      </c>
      <c r="AD32" s="251" t="n">
        <f aca="false">AD6-AC6</f>
        <v>0</v>
      </c>
      <c r="AE32" s="251" t="n">
        <f aca="false">AE6-AD6</f>
        <v>0</v>
      </c>
      <c r="AF32" s="251" t="n">
        <f aca="false">AF6-AE6</f>
        <v>0</v>
      </c>
      <c r="AG32" s="251" t="n">
        <f aca="false">AG6-AF6</f>
        <v>0</v>
      </c>
      <c r="AH32" s="161"/>
      <c r="AI32" s="161"/>
      <c r="AJ32" s="161"/>
      <c r="AK32" s="161"/>
      <c r="AL32" s="161"/>
      <c r="AM32" s="161"/>
      <c r="AN32" s="161"/>
      <c r="AO32" s="161"/>
    </row>
    <row r="33" customFormat="false" ht="15" hidden="false" customHeight="true" outlineLevel="0" collapsed="false">
      <c r="A33" s="161" t="n">
        <v>4</v>
      </c>
      <c r="B33" s="250" t="b">
        <f aca="false">Scenarios!$C$6</f>
        <v>0</v>
      </c>
      <c r="C33" s="161" t="s">
        <v>865</v>
      </c>
      <c r="D33" s="251" t="n">
        <f aca="false">D7</f>
        <v>0.5</v>
      </c>
      <c r="E33" s="251" t="n">
        <f aca="false">E7-D7</f>
        <v>0.5</v>
      </c>
      <c r="F33" s="251" t="n">
        <f aca="false">F7-E7</f>
        <v>0</v>
      </c>
      <c r="G33" s="251" t="n">
        <f aca="false">G7-F7</f>
        <v>0</v>
      </c>
      <c r="H33" s="251" t="n">
        <f aca="false">H7-G7</f>
        <v>0</v>
      </c>
      <c r="I33" s="251" t="n">
        <f aca="false">I7-H7</f>
        <v>0</v>
      </c>
      <c r="J33" s="251" t="n">
        <f aca="false">J7-I7</f>
        <v>0</v>
      </c>
      <c r="K33" s="251" t="n">
        <f aca="false">K7-J7</f>
        <v>0</v>
      </c>
      <c r="L33" s="251" t="n">
        <f aca="false">L7-K7</f>
        <v>0</v>
      </c>
      <c r="M33" s="251" t="n">
        <f aca="false">M7-L7</f>
        <v>0</v>
      </c>
      <c r="N33" s="251" t="n">
        <f aca="false">N7-M7</f>
        <v>0</v>
      </c>
      <c r="O33" s="251" t="n">
        <f aca="false">O7-N7</f>
        <v>0</v>
      </c>
      <c r="P33" s="251" t="n">
        <f aca="false">P7-O7</f>
        <v>0</v>
      </c>
      <c r="Q33" s="251" t="n">
        <f aca="false">Q7-P7</f>
        <v>0</v>
      </c>
      <c r="R33" s="251" t="n">
        <f aca="false">R7-Q7</f>
        <v>0</v>
      </c>
      <c r="S33" s="251" t="n">
        <f aca="false">S7-R7</f>
        <v>0</v>
      </c>
      <c r="T33" s="251" t="n">
        <f aca="false">T7-S7</f>
        <v>0</v>
      </c>
      <c r="U33" s="251" t="n">
        <f aca="false">U7-T7</f>
        <v>0</v>
      </c>
      <c r="V33" s="251" t="n">
        <f aca="false">V7-U7</f>
        <v>0</v>
      </c>
      <c r="W33" s="251" t="n">
        <f aca="false">W7-V7</f>
        <v>0</v>
      </c>
      <c r="X33" s="251" t="n">
        <f aca="false">X7-W7</f>
        <v>0</v>
      </c>
      <c r="Y33" s="251" t="n">
        <f aca="false">Y7-X7</f>
        <v>0</v>
      </c>
      <c r="Z33" s="251" t="n">
        <f aca="false">Z7-Y7</f>
        <v>0</v>
      </c>
      <c r="AA33" s="251" t="n">
        <f aca="false">AA7-Z7</f>
        <v>0</v>
      </c>
      <c r="AB33" s="251" t="n">
        <f aca="false">AB7-AA7</f>
        <v>0</v>
      </c>
      <c r="AC33" s="251" t="n">
        <f aca="false">AC7-AB7</f>
        <v>0</v>
      </c>
      <c r="AD33" s="251" t="n">
        <f aca="false">AD7-AC7</f>
        <v>0</v>
      </c>
      <c r="AE33" s="251" t="n">
        <f aca="false">AE7-AD7</f>
        <v>0</v>
      </c>
      <c r="AF33" s="251" t="n">
        <f aca="false">AF7-AE7</f>
        <v>0</v>
      </c>
      <c r="AG33" s="251" t="n">
        <f aca="false">AG7-AF7</f>
        <v>0</v>
      </c>
      <c r="AH33" s="161"/>
      <c r="AI33" s="161"/>
      <c r="AJ33" s="161"/>
      <c r="AK33" s="161"/>
      <c r="AL33" s="161"/>
      <c r="AM33" s="161"/>
      <c r="AN33" s="161"/>
      <c r="AO33" s="161"/>
    </row>
    <row r="34" customFormat="false" ht="15" hidden="false" customHeight="true" outlineLevel="0" collapsed="false">
      <c r="A34" s="161" t="n">
        <v>5</v>
      </c>
      <c r="B34" s="250" t="b">
        <f aca="false">Scenarios!$C$7</f>
        <v>0</v>
      </c>
      <c r="C34" s="161" t="s">
        <v>865</v>
      </c>
      <c r="D34" s="251" t="n">
        <f aca="false">D8</f>
        <v>0.5</v>
      </c>
      <c r="E34" s="251" t="n">
        <f aca="false">E8-D8</f>
        <v>0.5</v>
      </c>
      <c r="F34" s="251" t="n">
        <f aca="false">F8-E8</f>
        <v>0</v>
      </c>
      <c r="G34" s="251" t="n">
        <f aca="false">G8-F8</f>
        <v>0</v>
      </c>
      <c r="H34" s="251" t="n">
        <f aca="false">H8-G8</f>
        <v>0</v>
      </c>
      <c r="I34" s="251" t="n">
        <f aca="false">I8-H8</f>
        <v>0</v>
      </c>
      <c r="J34" s="251" t="n">
        <f aca="false">J8-I8</f>
        <v>0</v>
      </c>
      <c r="K34" s="251" t="n">
        <f aca="false">K8-J8</f>
        <v>0</v>
      </c>
      <c r="L34" s="251" t="n">
        <f aca="false">L8-K8</f>
        <v>0</v>
      </c>
      <c r="M34" s="251" t="n">
        <f aca="false">M8-L8</f>
        <v>0</v>
      </c>
      <c r="N34" s="251" t="n">
        <f aca="false">N8-M8</f>
        <v>0</v>
      </c>
      <c r="O34" s="251" t="n">
        <f aca="false">O8-N8</f>
        <v>0</v>
      </c>
      <c r="P34" s="251" t="n">
        <f aca="false">P8-O8</f>
        <v>0</v>
      </c>
      <c r="Q34" s="251" t="n">
        <f aca="false">Q8-P8</f>
        <v>0</v>
      </c>
      <c r="R34" s="251" t="n">
        <f aca="false">R8-Q8</f>
        <v>0</v>
      </c>
      <c r="S34" s="251" t="n">
        <f aca="false">S8-R8</f>
        <v>0</v>
      </c>
      <c r="T34" s="251" t="n">
        <f aca="false">T8-S8</f>
        <v>0</v>
      </c>
      <c r="U34" s="251" t="n">
        <f aca="false">U8-T8</f>
        <v>0</v>
      </c>
      <c r="V34" s="251" t="n">
        <f aca="false">V8-U8</f>
        <v>0</v>
      </c>
      <c r="W34" s="251" t="n">
        <f aca="false">W8-V8</f>
        <v>0</v>
      </c>
      <c r="X34" s="251" t="n">
        <f aca="false">X8-W8</f>
        <v>0</v>
      </c>
      <c r="Y34" s="251" t="n">
        <f aca="false">Y8-X8</f>
        <v>0</v>
      </c>
      <c r="Z34" s="251" t="n">
        <f aca="false">Z8-Y8</f>
        <v>0</v>
      </c>
      <c r="AA34" s="251" t="n">
        <f aca="false">AA8-Z8</f>
        <v>0</v>
      </c>
      <c r="AB34" s="251" t="n">
        <f aca="false">AB8-AA8</f>
        <v>0</v>
      </c>
      <c r="AC34" s="251" t="n">
        <f aca="false">AC8-AB8</f>
        <v>0</v>
      </c>
      <c r="AD34" s="251" t="n">
        <f aca="false">AD8-AC8</f>
        <v>0</v>
      </c>
      <c r="AE34" s="251" t="n">
        <f aca="false">AE8-AD8</f>
        <v>0</v>
      </c>
      <c r="AF34" s="251" t="n">
        <f aca="false">AF8-AE8</f>
        <v>0</v>
      </c>
      <c r="AG34" s="251" t="n">
        <f aca="false">AG8-AF8</f>
        <v>0</v>
      </c>
      <c r="AH34" s="161"/>
      <c r="AI34" s="161"/>
      <c r="AJ34" s="161"/>
      <c r="AK34" s="161"/>
      <c r="AL34" s="161"/>
      <c r="AM34" s="161"/>
      <c r="AN34" s="161"/>
      <c r="AO34" s="161"/>
    </row>
    <row r="35" customFormat="false" ht="15" hidden="false" customHeight="true" outlineLevel="0" collapsed="false">
      <c r="A35" s="161" t="n">
        <v>6</v>
      </c>
      <c r="B35" s="250" t="b">
        <f aca="false">Scenarios!$C$8</f>
        <v>0</v>
      </c>
      <c r="C35" s="161" t="s">
        <v>865</v>
      </c>
      <c r="D35" s="251" t="n">
        <f aca="false">D9</f>
        <v>0.5</v>
      </c>
      <c r="E35" s="251" t="n">
        <f aca="false">E9-D9</f>
        <v>0.5</v>
      </c>
      <c r="F35" s="251" t="n">
        <f aca="false">F9-E9</f>
        <v>0</v>
      </c>
      <c r="G35" s="251" t="n">
        <f aca="false">G9-F9</f>
        <v>0</v>
      </c>
      <c r="H35" s="251" t="n">
        <f aca="false">H9-G9</f>
        <v>0</v>
      </c>
      <c r="I35" s="251" t="n">
        <f aca="false">I9-H9</f>
        <v>0</v>
      </c>
      <c r="J35" s="251" t="n">
        <f aca="false">J9-I9</f>
        <v>0</v>
      </c>
      <c r="K35" s="251" t="n">
        <f aca="false">K9-J9</f>
        <v>0</v>
      </c>
      <c r="L35" s="251" t="n">
        <f aca="false">L9-K9</f>
        <v>0</v>
      </c>
      <c r="M35" s="251" t="n">
        <f aca="false">M9-L9</f>
        <v>0</v>
      </c>
      <c r="N35" s="251" t="n">
        <f aca="false">N9-M9</f>
        <v>0</v>
      </c>
      <c r="O35" s="251" t="n">
        <f aca="false">O9-N9</f>
        <v>0</v>
      </c>
      <c r="P35" s="251" t="n">
        <f aca="false">P9-O9</f>
        <v>0</v>
      </c>
      <c r="Q35" s="251" t="n">
        <f aca="false">Q9-P9</f>
        <v>0</v>
      </c>
      <c r="R35" s="251" t="n">
        <f aca="false">R9-Q9</f>
        <v>0</v>
      </c>
      <c r="S35" s="251" t="n">
        <f aca="false">S9-R9</f>
        <v>0</v>
      </c>
      <c r="T35" s="251" t="n">
        <f aca="false">T9-S9</f>
        <v>0</v>
      </c>
      <c r="U35" s="251" t="n">
        <f aca="false">U9-T9</f>
        <v>0</v>
      </c>
      <c r="V35" s="251" t="n">
        <f aca="false">V9-U9</f>
        <v>0</v>
      </c>
      <c r="W35" s="251" t="n">
        <f aca="false">W9-V9</f>
        <v>0</v>
      </c>
      <c r="X35" s="251" t="n">
        <f aca="false">X9-W9</f>
        <v>0</v>
      </c>
      <c r="Y35" s="251" t="n">
        <f aca="false">Y9-X9</f>
        <v>0</v>
      </c>
      <c r="Z35" s="251" t="n">
        <f aca="false">Z9-Y9</f>
        <v>0</v>
      </c>
      <c r="AA35" s="251" t="n">
        <f aca="false">AA9-Z9</f>
        <v>0</v>
      </c>
      <c r="AB35" s="251" t="n">
        <f aca="false">AB9-AA9</f>
        <v>0</v>
      </c>
      <c r="AC35" s="251" t="n">
        <f aca="false">AC9-AB9</f>
        <v>0</v>
      </c>
      <c r="AD35" s="251" t="n">
        <f aca="false">AD9-AC9</f>
        <v>0</v>
      </c>
      <c r="AE35" s="251" t="n">
        <f aca="false">AE9-AD9</f>
        <v>0</v>
      </c>
      <c r="AF35" s="251" t="n">
        <f aca="false">AF9-AE9</f>
        <v>0</v>
      </c>
      <c r="AG35" s="251" t="n">
        <f aca="false">AG9-AF9</f>
        <v>0</v>
      </c>
      <c r="AH35" s="161"/>
      <c r="AI35" s="161"/>
      <c r="AJ35" s="161"/>
      <c r="AK35" s="161"/>
      <c r="AL35" s="161"/>
      <c r="AM35" s="161"/>
      <c r="AN35" s="161"/>
      <c r="AO35" s="161"/>
    </row>
    <row r="36" customFormat="false" ht="15" hidden="false" customHeight="true" outlineLevel="0" collapsed="false">
      <c r="A36" s="161" t="n">
        <v>7</v>
      </c>
      <c r="B36" s="250" t="b">
        <f aca="false">Scenarios!$C$9</f>
        <v>0</v>
      </c>
      <c r="C36" s="161" t="s">
        <v>865</v>
      </c>
      <c r="D36" s="251" t="n">
        <f aca="false">D10</f>
        <v>0.5</v>
      </c>
      <c r="E36" s="251" t="n">
        <f aca="false">E10-D10</f>
        <v>0.5</v>
      </c>
      <c r="F36" s="251" t="n">
        <f aca="false">F10-E10</f>
        <v>0</v>
      </c>
      <c r="G36" s="251" t="n">
        <f aca="false">G10-F10</f>
        <v>0</v>
      </c>
      <c r="H36" s="251" t="n">
        <f aca="false">H10-G10</f>
        <v>0</v>
      </c>
      <c r="I36" s="251" t="n">
        <f aca="false">I10-H10</f>
        <v>0</v>
      </c>
      <c r="J36" s="251" t="n">
        <f aca="false">J10-I10</f>
        <v>0</v>
      </c>
      <c r="K36" s="251" t="n">
        <f aca="false">K10-J10</f>
        <v>0</v>
      </c>
      <c r="L36" s="251" t="n">
        <f aca="false">L10-K10</f>
        <v>0</v>
      </c>
      <c r="M36" s="251" t="n">
        <f aca="false">M10-L10</f>
        <v>0</v>
      </c>
      <c r="N36" s="251" t="n">
        <f aca="false">N10-M10</f>
        <v>0</v>
      </c>
      <c r="O36" s="251" t="n">
        <f aca="false">O10-N10</f>
        <v>0</v>
      </c>
      <c r="P36" s="251" t="n">
        <f aca="false">P10-O10</f>
        <v>0</v>
      </c>
      <c r="Q36" s="251" t="n">
        <f aca="false">Q10-P10</f>
        <v>0</v>
      </c>
      <c r="R36" s="251" t="n">
        <f aca="false">R10-Q10</f>
        <v>0</v>
      </c>
      <c r="S36" s="251" t="n">
        <f aca="false">S10-R10</f>
        <v>0</v>
      </c>
      <c r="T36" s="251" t="n">
        <f aca="false">T10-S10</f>
        <v>0</v>
      </c>
      <c r="U36" s="251" t="n">
        <f aca="false">U10-T10</f>
        <v>0</v>
      </c>
      <c r="V36" s="251" t="n">
        <f aca="false">V10-U10</f>
        <v>0</v>
      </c>
      <c r="W36" s="251" t="n">
        <f aca="false">W10-V10</f>
        <v>0</v>
      </c>
      <c r="X36" s="251" t="n">
        <f aca="false">X10-W10</f>
        <v>0</v>
      </c>
      <c r="Y36" s="251" t="n">
        <f aca="false">Y10-X10</f>
        <v>0</v>
      </c>
      <c r="Z36" s="251" t="n">
        <f aca="false">Z10-Y10</f>
        <v>0</v>
      </c>
      <c r="AA36" s="251" t="n">
        <f aca="false">AA10-Z10</f>
        <v>0</v>
      </c>
      <c r="AB36" s="251" t="n">
        <f aca="false">AB10-AA10</f>
        <v>0</v>
      </c>
      <c r="AC36" s="251" t="n">
        <f aca="false">AC10-AB10</f>
        <v>0</v>
      </c>
      <c r="AD36" s="251" t="n">
        <f aca="false">AD10-AC10</f>
        <v>0</v>
      </c>
      <c r="AE36" s="251" t="n">
        <f aca="false">AE10-AD10</f>
        <v>0</v>
      </c>
      <c r="AF36" s="251" t="n">
        <f aca="false">AF10-AE10</f>
        <v>0</v>
      </c>
      <c r="AG36" s="251" t="n">
        <f aca="false">AG10-AF10</f>
        <v>0</v>
      </c>
      <c r="AH36" s="161"/>
      <c r="AI36" s="161"/>
      <c r="AJ36" s="161"/>
      <c r="AK36" s="161"/>
      <c r="AL36" s="161"/>
      <c r="AM36" s="161"/>
      <c r="AN36" s="161"/>
      <c r="AO36" s="161"/>
    </row>
    <row r="37" customFormat="false" ht="15" hidden="false" customHeight="true" outlineLevel="0" collapsed="false">
      <c r="A37" s="161" t="n">
        <v>8</v>
      </c>
      <c r="B37" s="250" t="b">
        <f aca="false">Scenarios!$C$10</f>
        <v>0</v>
      </c>
      <c r="C37" s="161" t="s">
        <v>865</v>
      </c>
      <c r="D37" s="251" t="n">
        <f aca="false">D11</f>
        <v>0.5</v>
      </c>
      <c r="E37" s="251" t="n">
        <f aca="false">E11-D11</f>
        <v>0.5</v>
      </c>
      <c r="F37" s="251" t="n">
        <f aca="false">F11-E11</f>
        <v>0</v>
      </c>
      <c r="G37" s="251" t="n">
        <f aca="false">G11-F11</f>
        <v>0</v>
      </c>
      <c r="H37" s="251" t="n">
        <f aca="false">H11-G11</f>
        <v>0</v>
      </c>
      <c r="I37" s="251" t="n">
        <f aca="false">I11-H11</f>
        <v>0</v>
      </c>
      <c r="J37" s="251" t="n">
        <f aca="false">J11-I11</f>
        <v>0</v>
      </c>
      <c r="K37" s="251" t="n">
        <f aca="false">K11-J11</f>
        <v>0</v>
      </c>
      <c r="L37" s="251" t="n">
        <f aca="false">L11-K11</f>
        <v>0</v>
      </c>
      <c r="M37" s="251" t="n">
        <f aca="false">M11-L11</f>
        <v>0</v>
      </c>
      <c r="N37" s="251" t="n">
        <f aca="false">N11-M11</f>
        <v>0</v>
      </c>
      <c r="O37" s="251" t="n">
        <f aca="false">O11-N11</f>
        <v>0</v>
      </c>
      <c r="P37" s="251" t="n">
        <f aca="false">P11-O11</f>
        <v>0</v>
      </c>
      <c r="Q37" s="251" t="n">
        <f aca="false">Q11-P11</f>
        <v>0</v>
      </c>
      <c r="R37" s="251" t="n">
        <f aca="false">R11-Q11</f>
        <v>0</v>
      </c>
      <c r="S37" s="251" t="n">
        <f aca="false">S11-R11</f>
        <v>0</v>
      </c>
      <c r="T37" s="251" t="n">
        <f aca="false">T11-S11</f>
        <v>0</v>
      </c>
      <c r="U37" s="251" t="n">
        <f aca="false">U11-T11</f>
        <v>0</v>
      </c>
      <c r="V37" s="251" t="n">
        <f aca="false">V11-U11</f>
        <v>0</v>
      </c>
      <c r="W37" s="251" t="n">
        <f aca="false">W11-V11</f>
        <v>0</v>
      </c>
      <c r="X37" s="251" t="n">
        <f aca="false">X11-W11</f>
        <v>0</v>
      </c>
      <c r="Y37" s="251" t="n">
        <f aca="false">Y11-X11</f>
        <v>0</v>
      </c>
      <c r="Z37" s="251" t="n">
        <f aca="false">Z11-Y11</f>
        <v>0</v>
      </c>
      <c r="AA37" s="251" t="n">
        <f aca="false">AA11-Z11</f>
        <v>0</v>
      </c>
      <c r="AB37" s="251" t="n">
        <f aca="false">AB11-AA11</f>
        <v>0</v>
      </c>
      <c r="AC37" s="251" t="n">
        <f aca="false">AC11-AB11</f>
        <v>0</v>
      </c>
      <c r="AD37" s="251" t="n">
        <f aca="false">AD11-AC11</f>
        <v>0</v>
      </c>
      <c r="AE37" s="251" t="n">
        <f aca="false">AE11-AD11</f>
        <v>0</v>
      </c>
      <c r="AF37" s="251" t="n">
        <f aca="false">AF11-AE11</f>
        <v>0</v>
      </c>
      <c r="AG37" s="251" t="n">
        <f aca="false">AG11-AF11</f>
        <v>0</v>
      </c>
      <c r="AH37" s="161"/>
      <c r="AI37" s="161"/>
      <c r="AJ37" s="161"/>
      <c r="AK37" s="161"/>
      <c r="AL37" s="161"/>
      <c r="AM37" s="161"/>
      <c r="AN37" s="161"/>
      <c r="AO37" s="161"/>
    </row>
    <row r="38" customFormat="false" ht="15" hidden="false" customHeight="true" outlineLevel="0" collapsed="false">
      <c r="A38" s="161" t="n">
        <v>9</v>
      </c>
      <c r="B38" s="250" t="b">
        <f aca="false">Scenarios!$C$11</f>
        <v>0</v>
      </c>
      <c r="C38" s="161" t="s">
        <v>865</v>
      </c>
      <c r="D38" s="251" t="n">
        <f aca="false">D12</f>
        <v>0.5</v>
      </c>
      <c r="E38" s="251" t="n">
        <f aca="false">E12-D12</f>
        <v>0.5</v>
      </c>
      <c r="F38" s="251" t="n">
        <f aca="false">F12-E12</f>
        <v>0</v>
      </c>
      <c r="G38" s="251" t="n">
        <f aca="false">G12-F12</f>
        <v>0</v>
      </c>
      <c r="H38" s="251" t="n">
        <f aca="false">H12-G12</f>
        <v>0</v>
      </c>
      <c r="I38" s="251" t="n">
        <f aca="false">I12-H12</f>
        <v>0</v>
      </c>
      <c r="J38" s="251" t="n">
        <f aca="false">J12-I12</f>
        <v>0</v>
      </c>
      <c r="K38" s="251" t="n">
        <f aca="false">K12-J12</f>
        <v>0</v>
      </c>
      <c r="L38" s="251" t="n">
        <f aca="false">L12-K12</f>
        <v>0</v>
      </c>
      <c r="M38" s="251" t="n">
        <f aca="false">M12-L12</f>
        <v>0</v>
      </c>
      <c r="N38" s="251" t="n">
        <f aca="false">N12-M12</f>
        <v>0</v>
      </c>
      <c r="O38" s="251" t="n">
        <f aca="false">O12-N12</f>
        <v>0</v>
      </c>
      <c r="P38" s="251" t="n">
        <f aca="false">P12-O12</f>
        <v>0</v>
      </c>
      <c r="Q38" s="251" t="n">
        <f aca="false">Q12-P12</f>
        <v>0</v>
      </c>
      <c r="R38" s="251" t="n">
        <f aca="false">R12-Q12</f>
        <v>0</v>
      </c>
      <c r="S38" s="251" t="n">
        <f aca="false">S12-R12</f>
        <v>0</v>
      </c>
      <c r="T38" s="251" t="n">
        <f aca="false">T12-S12</f>
        <v>0</v>
      </c>
      <c r="U38" s="251" t="n">
        <f aca="false">U12-T12</f>
        <v>0</v>
      </c>
      <c r="V38" s="251" t="n">
        <f aca="false">V12-U12</f>
        <v>0</v>
      </c>
      <c r="W38" s="251" t="n">
        <f aca="false">W12-V12</f>
        <v>0</v>
      </c>
      <c r="X38" s="251" t="n">
        <f aca="false">X12-W12</f>
        <v>0</v>
      </c>
      <c r="Y38" s="251" t="n">
        <f aca="false">Y12-X12</f>
        <v>0</v>
      </c>
      <c r="Z38" s="251" t="n">
        <f aca="false">Z12-Y12</f>
        <v>0</v>
      </c>
      <c r="AA38" s="251" t="n">
        <f aca="false">AA12-Z12</f>
        <v>0</v>
      </c>
      <c r="AB38" s="251" t="n">
        <f aca="false">AB12-AA12</f>
        <v>0</v>
      </c>
      <c r="AC38" s="251" t="n">
        <f aca="false">AC12-AB12</f>
        <v>0</v>
      </c>
      <c r="AD38" s="251" t="n">
        <f aca="false">AD12-AC12</f>
        <v>0</v>
      </c>
      <c r="AE38" s="251" t="n">
        <f aca="false">AE12-AD12</f>
        <v>0</v>
      </c>
      <c r="AF38" s="251" t="n">
        <f aca="false">AF12-AE12</f>
        <v>0</v>
      </c>
      <c r="AG38" s="251" t="n">
        <f aca="false">AG12-AF12</f>
        <v>0</v>
      </c>
      <c r="AH38" s="161"/>
      <c r="AI38" s="161"/>
      <c r="AJ38" s="161"/>
      <c r="AK38" s="161"/>
      <c r="AL38" s="161"/>
      <c r="AM38" s="161"/>
      <c r="AN38" s="161"/>
      <c r="AO38" s="161"/>
    </row>
    <row r="39" customFormat="false" ht="15" hidden="false" customHeight="true" outlineLevel="0" collapsed="false">
      <c r="A39" s="161" t="n">
        <v>10</v>
      </c>
      <c r="B39" s="250" t="b">
        <f aca="false">Scenarios!$C$12</f>
        <v>0</v>
      </c>
      <c r="C39" s="161" t="s">
        <v>865</v>
      </c>
      <c r="D39" s="251" t="n">
        <f aca="false">D13</f>
        <v>0.5</v>
      </c>
      <c r="E39" s="251" t="n">
        <f aca="false">E13-D13</f>
        <v>0.5</v>
      </c>
      <c r="F39" s="251" t="n">
        <f aca="false">F13-E13</f>
        <v>0</v>
      </c>
      <c r="G39" s="251" t="n">
        <f aca="false">G13-F13</f>
        <v>0</v>
      </c>
      <c r="H39" s="251" t="n">
        <f aca="false">H13-G13</f>
        <v>0</v>
      </c>
      <c r="I39" s="251" t="n">
        <f aca="false">I13-H13</f>
        <v>0</v>
      </c>
      <c r="J39" s="251" t="n">
        <f aca="false">J13-I13</f>
        <v>0</v>
      </c>
      <c r="K39" s="251" t="n">
        <f aca="false">K13-J13</f>
        <v>0</v>
      </c>
      <c r="L39" s="251" t="n">
        <f aca="false">L13-K13</f>
        <v>0</v>
      </c>
      <c r="M39" s="251" t="n">
        <f aca="false">M13-L13</f>
        <v>0</v>
      </c>
      <c r="N39" s="251" t="n">
        <f aca="false">N13-M13</f>
        <v>0</v>
      </c>
      <c r="O39" s="251" t="n">
        <f aca="false">O13-N13</f>
        <v>0</v>
      </c>
      <c r="P39" s="251" t="n">
        <f aca="false">P13-O13</f>
        <v>0</v>
      </c>
      <c r="Q39" s="251" t="n">
        <f aca="false">Q13-P13</f>
        <v>0</v>
      </c>
      <c r="R39" s="251" t="n">
        <f aca="false">R13-Q13</f>
        <v>0</v>
      </c>
      <c r="S39" s="251" t="n">
        <f aca="false">S13-R13</f>
        <v>0</v>
      </c>
      <c r="T39" s="251" t="n">
        <f aca="false">T13-S13</f>
        <v>0</v>
      </c>
      <c r="U39" s="251" t="n">
        <f aca="false">U13-T13</f>
        <v>0</v>
      </c>
      <c r="V39" s="251" t="n">
        <f aca="false">V13-U13</f>
        <v>0</v>
      </c>
      <c r="W39" s="251" t="n">
        <f aca="false">W13-V13</f>
        <v>0</v>
      </c>
      <c r="X39" s="251" t="n">
        <f aca="false">X13-W13</f>
        <v>0</v>
      </c>
      <c r="Y39" s="251" t="n">
        <f aca="false">Y13-X13</f>
        <v>0</v>
      </c>
      <c r="Z39" s="251" t="n">
        <f aca="false">Z13-Y13</f>
        <v>0</v>
      </c>
      <c r="AA39" s="251" t="n">
        <f aca="false">AA13-Z13</f>
        <v>0</v>
      </c>
      <c r="AB39" s="251" t="n">
        <f aca="false">AB13-AA13</f>
        <v>0</v>
      </c>
      <c r="AC39" s="251" t="n">
        <f aca="false">AC13-AB13</f>
        <v>0</v>
      </c>
      <c r="AD39" s="251" t="n">
        <f aca="false">AD13-AC13</f>
        <v>0</v>
      </c>
      <c r="AE39" s="251" t="n">
        <f aca="false">AE13-AD13</f>
        <v>0</v>
      </c>
      <c r="AF39" s="251" t="n">
        <f aca="false">AF13-AE13</f>
        <v>0</v>
      </c>
      <c r="AG39" s="251" t="n">
        <f aca="false">AG13-AF13</f>
        <v>0</v>
      </c>
      <c r="AH39" s="161"/>
      <c r="AI39" s="161"/>
      <c r="AJ39" s="161"/>
      <c r="AK39" s="161"/>
      <c r="AL39" s="161"/>
      <c r="AM39" s="161"/>
      <c r="AN39" s="161"/>
      <c r="AO39" s="161"/>
    </row>
    <row r="40" customFormat="false" ht="15" hidden="false" customHeight="true" outlineLevel="0" collapsed="false">
      <c r="A40" s="161" t="n">
        <v>11</v>
      </c>
      <c r="B40" s="250" t="b">
        <f aca="false">Scenarios!$C$13</f>
        <v>0</v>
      </c>
      <c r="C40" s="161" t="s">
        <v>865</v>
      </c>
      <c r="D40" s="251" t="n">
        <f aca="false">D14</f>
        <v>0.5</v>
      </c>
      <c r="E40" s="251" t="n">
        <f aca="false">E14-D14</f>
        <v>0.5</v>
      </c>
      <c r="F40" s="251" t="n">
        <f aca="false">F14-E14</f>
        <v>0</v>
      </c>
      <c r="G40" s="251" t="n">
        <f aca="false">G14-F14</f>
        <v>0</v>
      </c>
      <c r="H40" s="251" t="n">
        <f aca="false">H14-G14</f>
        <v>0</v>
      </c>
      <c r="I40" s="251" t="n">
        <f aca="false">I14-H14</f>
        <v>0</v>
      </c>
      <c r="J40" s="251" t="n">
        <f aca="false">J14-I14</f>
        <v>0</v>
      </c>
      <c r="K40" s="251" t="n">
        <f aca="false">K14-J14</f>
        <v>0</v>
      </c>
      <c r="L40" s="251" t="n">
        <f aca="false">L14-K14</f>
        <v>0</v>
      </c>
      <c r="M40" s="251" t="n">
        <f aca="false">M14-L14</f>
        <v>0</v>
      </c>
      <c r="N40" s="251" t="n">
        <f aca="false">N14-M14</f>
        <v>0</v>
      </c>
      <c r="O40" s="251" t="n">
        <f aca="false">O14-N14</f>
        <v>0</v>
      </c>
      <c r="P40" s="251" t="n">
        <f aca="false">P14-O14</f>
        <v>0</v>
      </c>
      <c r="Q40" s="251" t="n">
        <f aca="false">Q14-P14</f>
        <v>0</v>
      </c>
      <c r="R40" s="251" t="n">
        <f aca="false">R14-Q14</f>
        <v>0</v>
      </c>
      <c r="S40" s="251" t="n">
        <f aca="false">S14-R14</f>
        <v>0</v>
      </c>
      <c r="T40" s="251" t="n">
        <f aca="false">T14-S14</f>
        <v>0</v>
      </c>
      <c r="U40" s="251" t="n">
        <f aca="false">U14-T14</f>
        <v>0</v>
      </c>
      <c r="V40" s="251" t="n">
        <f aca="false">V14-U14</f>
        <v>0</v>
      </c>
      <c r="W40" s="251" t="n">
        <f aca="false">W14-V14</f>
        <v>0</v>
      </c>
      <c r="X40" s="251" t="n">
        <f aca="false">X14-W14</f>
        <v>0</v>
      </c>
      <c r="Y40" s="251" t="n">
        <f aca="false">Y14-X14</f>
        <v>0</v>
      </c>
      <c r="Z40" s="251" t="n">
        <f aca="false">Z14-Y14</f>
        <v>0</v>
      </c>
      <c r="AA40" s="251" t="n">
        <f aca="false">AA14-Z14</f>
        <v>0</v>
      </c>
      <c r="AB40" s="251" t="n">
        <f aca="false">AB14-AA14</f>
        <v>0</v>
      </c>
      <c r="AC40" s="251" t="n">
        <f aca="false">AC14-AB14</f>
        <v>0</v>
      </c>
      <c r="AD40" s="251" t="n">
        <f aca="false">AD14-AC14</f>
        <v>0</v>
      </c>
      <c r="AE40" s="251" t="n">
        <f aca="false">AE14-AD14</f>
        <v>0</v>
      </c>
      <c r="AF40" s="251" t="n">
        <f aca="false">AF14-AE14</f>
        <v>0</v>
      </c>
      <c r="AG40" s="251" t="n">
        <f aca="false">AG14-AF14</f>
        <v>0</v>
      </c>
      <c r="AH40" s="161"/>
      <c r="AI40" s="161"/>
      <c r="AJ40" s="161"/>
      <c r="AK40" s="161"/>
      <c r="AL40" s="161"/>
      <c r="AM40" s="161"/>
      <c r="AN40" s="161"/>
      <c r="AO40" s="161"/>
    </row>
    <row r="41" customFormat="false" ht="15" hidden="false" customHeight="true" outlineLevel="0" collapsed="false">
      <c r="A41" s="161" t="n">
        <v>12</v>
      </c>
      <c r="B41" s="250" t="b">
        <f aca="false">Scenarios!$C$14</f>
        <v>0</v>
      </c>
      <c r="C41" s="161" t="s">
        <v>865</v>
      </c>
      <c r="D41" s="251" t="n">
        <f aca="false">D15</f>
        <v>0.5</v>
      </c>
      <c r="E41" s="251" t="n">
        <f aca="false">E15-D15</f>
        <v>0.5</v>
      </c>
      <c r="F41" s="251" t="n">
        <f aca="false">F15-E15</f>
        <v>0</v>
      </c>
      <c r="G41" s="251" t="n">
        <f aca="false">G15-F15</f>
        <v>0</v>
      </c>
      <c r="H41" s="251" t="n">
        <f aca="false">H15-G15</f>
        <v>0</v>
      </c>
      <c r="I41" s="251" t="n">
        <f aca="false">I15-H15</f>
        <v>0</v>
      </c>
      <c r="J41" s="251" t="n">
        <f aca="false">J15-I15</f>
        <v>0</v>
      </c>
      <c r="K41" s="251" t="n">
        <f aca="false">K15-J15</f>
        <v>0</v>
      </c>
      <c r="L41" s="251" t="n">
        <f aca="false">L15-K15</f>
        <v>0</v>
      </c>
      <c r="M41" s="251" t="n">
        <f aca="false">M15-L15</f>
        <v>0</v>
      </c>
      <c r="N41" s="251" t="n">
        <f aca="false">N15-M15</f>
        <v>0</v>
      </c>
      <c r="O41" s="251" t="n">
        <f aca="false">O15-N15</f>
        <v>0</v>
      </c>
      <c r="P41" s="251" t="n">
        <f aca="false">P15-O15</f>
        <v>0</v>
      </c>
      <c r="Q41" s="251" t="n">
        <f aca="false">Q15-P15</f>
        <v>0</v>
      </c>
      <c r="R41" s="251" t="n">
        <f aca="false">R15-Q15</f>
        <v>0</v>
      </c>
      <c r="S41" s="251" t="n">
        <f aca="false">S15-R15</f>
        <v>0</v>
      </c>
      <c r="T41" s="251" t="n">
        <f aca="false">T15-S15</f>
        <v>0</v>
      </c>
      <c r="U41" s="251" t="n">
        <f aca="false">U15-T15</f>
        <v>0</v>
      </c>
      <c r="V41" s="251" t="n">
        <f aca="false">V15-U15</f>
        <v>0</v>
      </c>
      <c r="W41" s="251" t="n">
        <f aca="false">W15-V15</f>
        <v>0</v>
      </c>
      <c r="X41" s="251" t="n">
        <f aca="false">X15-W15</f>
        <v>0</v>
      </c>
      <c r="Y41" s="251" t="n">
        <f aca="false">Y15-X15</f>
        <v>0</v>
      </c>
      <c r="Z41" s="251" t="n">
        <f aca="false">Z15-Y15</f>
        <v>0</v>
      </c>
      <c r="AA41" s="251" t="n">
        <f aca="false">AA15-Z15</f>
        <v>0</v>
      </c>
      <c r="AB41" s="251" t="n">
        <f aca="false">AB15-AA15</f>
        <v>0</v>
      </c>
      <c r="AC41" s="251" t="n">
        <f aca="false">AC15-AB15</f>
        <v>0</v>
      </c>
      <c r="AD41" s="251" t="n">
        <f aca="false">AD15-AC15</f>
        <v>0</v>
      </c>
      <c r="AE41" s="251" t="n">
        <f aca="false">AE15-AD15</f>
        <v>0</v>
      </c>
      <c r="AF41" s="251" t="n">
        <f aca="false">AF15-AE15</f>
        <v>0</v>
      </c>
      <c r="AG41" s="251" t="n">
        <f aca="false">AG15-AF15</f>
        <v>0</v>
      </c>
      <c r="AH41" s="161"/>
      <c r="AI41" s="161"/>
      <c r="AJ41" s="161"/>
      <c r="AK41" s="161"/>
      <c r="AL41" s="161"/>
      <c r="AM41" s="161"/>
      <c r="AN41" s="161"/>
      <c r="AO41" s="161"/>
    </row>
    <row r="42" customFormat="false" ht="15" hidden="false" customHeight="true" outlineLevel="0" collapsed="false">
      <c r="A42" s="161" t="n">
        <v>13</v>
      </c>
      <c r="B42" s="250" t="b">
        <f aca="false">Scenarios!$C$15</f>
        <v>1</v>
      </c>
      <c r="C42" s="161" t="s">
        <v>865</v>
      </c>
      <c r="D42" s="251" t="n">
        <f aca="false">D16</f>
        <v>0.2</v>
      </c>
      <c r="E42" s="251" t="n">
        <f aca="false">E16-D16</f>
        <v>0.2</v>
      </c>
      <c r="F42" s="251" t="n">
        <f aca="false">F16-E16</f>
        <v>0.2</v>
      </c>
      <c r="G42" s="251" t="n">
        <f aca="false">G16-F16</f>
        <v>0.2</v>
      </c>
      <c r="H42" s="251" t="n">
        <f aca="false">H16-G16</f>
        <v>0.2</v>
      </c>
      <c r="I42" s="251" t="n">
        <f aca="false">I16-H16</f>
        <v>0</v>
      </c>
      <c r="J42" s="251" t="n">
        <f aca="false">J16-I16</f>
        <v>0</v>
      </c>
      <c r="K42" s="251" t="n">
        <f aca="false">K16-J16</f>
        <v>0</v>
      </c>
      <c r="L42" s="251" t="n">
        <f aca="false">L16-K16</f>
        <v>0</v>
      </c>
      <c r="M42" s="251" t="n">
        <f aca="false">M16-L16</f>
        <v>0</v>
      </c>
      <c r="N42" s="251" t="n">
        <f aca="false">N16-M16</f>
        <v>0</v>
      </c>
      <c r="O42" s="251" t="n">
        <f aca="false">O16-N16</f>
        <v>0</v>
      </c>
      <c r="P42" s="251" t="n">
        <f aca="false">P16-O16</f>
        <v>0</v>
      </c>
      <c r="Q42" s="251" t="n">
        <f aca="false">Q16-P16</f>
        <v>0</v>
      </c>
      <c r="R42" s="251" t="n">
        <f aca="false">R16-Q16</f>
        <v>0</v>
      </c>
      <c r="S42" s="251" t="n">
        <f aca="false">S16-R16</f>
        <v>0</v>
      </c>
      <c r="T42" s="251" t="n">
        <f aca="false">T16-S16</f>
        <v>0</v>
      </c>
      <c r="U42" s="251" t="n">
        <f aca="false">U16-T16</f>
        <v>0</v>
      </c>
      <c r="V42" s="251" t="n">
        <f aca="false">V16-U16</f>
        <v>0</v>
      </c>
      <c r="W42" s="251" t="n">
        <f aca="false">W16-V16</f>
        <v>0</v>
      </c>
      <c r="X42" s="251" t="n">
        <f aca="false">X16-W16</f>
        <v>0</v>
      </c>
      <c r="Y42" s="251" t="n">
        <f aca="false">Y16-X16</f>
        <v>0</v>
      </c>
      <c r="Z42" s="251" t="n">
        <f aca="false">Z16-Y16</f>
        <v>0</v>
      </c>
      <c r="AA42" s="251" t="n">
        <f aca="false">AA16-Z16</f>
        <v>0</v>
      </c>
      <c r="AB42" s="251" t="n">
        <f aca="false">AB16-AA16</f>
        <v>0</v>
      </c>
      <c r="AC42" s="251" t="n">
        <f aca="false">AC16-AB16</f>
        <v>0</v>
      </c>
      <c r="AD42" s="251" t="n">
        <f aca="false">AD16-AC16</f>
        <v>0</v>
      </c>
      <c r="AE42" s="251" t="n">
        <f aca="false">AE16-AD16</f>
        <v>0</v>
      </c>
      <c r="AF42" s="251" t="n">
        <f aca="false">AF16-AE16</f>
        <v>0</v>
      </c>
      <c r="AG42" s="251" t="n">
        <f aca="false">AG16-AF16</f>
        <v>0</v>
      </c>
      <c r="AH42" s="161"/>
      <c r="AI42" s="161"/>
      <c r="AJ42" s="161"/>
      <c r="AK42" s="161"/>
      <c r="AL42" s="161"/>
      <c r="AM42" s="161"/>
      <c r="AN42" s="161"/>
      <c r="AO42" s="161"/>
    </row>
    <row r="43" customFormat="false" ht="15" hidden="false" customHeight="true" outlineLevel="0" collapsed="false">
      <c r="A43" s="161" t="n">
        <v>14</v>
      </c>
      <c r="B43" s="250" t="b">
        <f aca="false">Scenarios!$C$16</f>
        <v>0</v>
      </c>
      <c r="C43" s="161" t="s">
        <v>865</v>
      </c>
      <c r="D43" s="251" t="n">
        <f aca="false">D17</f>
        <v>0.125</v>
      </c>
      <c r="E43" s="251" t="n">
        <f aca="false">E17-D17</f>
        <v>0.125</v>
      </c>
      <c r="F43" s="251" t="n">
        <f aca="false">F17-E17</f>
        <v>0.125</v>
      </c>
      <c r="G43" s="251" t="n">
        <f aca="false">G17-F17</f>
        <v>0.125</v>
      </c>
      <c r="H43" s="251" t="n">
        <f aca="false">H17-G17</f>
        <v>0.125</v>
      </c>
      <c r="I43" s="251" t="n">
        <f aca="false">I17-H17</f>
        <v>0.125</v>
      </c>
      <c r="J43" s="251" t="n">
        <f aca="false">J17-I17</f>
        <v>0.125</v>
      </c>
      <c r="K43" s="251" t="n">
        <f aca="false">K17-J17</f>
        <v>0.125</v>
      </c>
      <c r="L43" s="251" t="n">
        <f aca="false">L17-K17</f>
        <v>0</v>
      </c>
      <c r="M43" s="251" t="n">
        <f aca="false">M17-L17</f>
        <v>0</v>
      </c>
      <c r="N43" s="251" t="n">
        <f aca="false">N17-M17</f>
        <v>0</v>
      </c>
      <c r="O43" s="251" t="n">
        <f aca="false">O17-N17</f>
        <v>0</v>
      </c>
      <c r="P43" s="251" t="n">
        <f aca="false">P17-O17</f>
        <v>0</v>
      </c>
      <c r="Q43" s="251" t="n">
        <f aca="false">Q17-P17</f>
        <v>0</v>
      </c>
      <c r="R43" s="251" t="n">
        <f aca="false">R17-Q17</f>
        <v>0</v>
      </c>
      <c r="S43" s="251" t="n">
        <f aca="false">S17-R17</f>
        <v>0</v>
      </c>
      <c r="T43" s="251" t="n">
        <f aca="false">T17-S17</f>
        <v>0</v>
      </c>
      <c r="U43" s="251" t="n">
        <f aca="false">U17-T17</f>
        <v>0</v>
      </c>
      <c r="V43" s="251" t="n">
        <f aca="false">V17-U17</f>
        <v>0</v>
      </c>
      <c r="W43" s="251" t="n">
        <f aca="false">W17-V17</f>
        <v>0</v>
      </c>
      <c r="X43" s="251" t="n">
        <f aca="false">X17-W17</f>
        <v>0</v>
      </c>
      <c r="Y43" s="251" t="n">
        <f aca="false">Y17-X17</f>
        <v>0</v>
      </c>
      <c r="Z43" s="251" t="n">
        <f aca="false">Z17-Y17</f>
        <v>0</v>
      </c>
      <c r="AA43" s="251" t="n">
        <f aca="false">AA17-Z17</f>
        <v>0</v>
      </c>
      <c r="AB43" s="251" t="n">
        <f aca="false">AB17-AA17</f>
        <v>0</v>
      </c>
      <c r="AC43" s="251" t="n">
        <f aca="false">AC17-AB17</f>
        <v>0</v>
      </c>
      <c r="AD43" s="251" t="n">
        <f aca="false">AD17-AC17</f>
        <v>0</v>
      </c>
      <c r="AE43" s="251" t="n">
        <f aca="false">AE17-AD17</f>
        <v>0</v>
      </c>
      <c r="AF43" s="251" t="n">
        <f aca="false">AF17-AE17</f>
        <v>0</v>
      </c>
      <c r="AG43" s="251" t="n">
        <f aca="false">AG17-AF17</f>
        <v>0</v>
      </c>
      <c r="AH43" s="161"/>
      <c r="AI43" s="161"/>
      <c r="AJ43" s="161"/>
      <c r="AK43" s="161"/>
      <c r="AL43" s="161"/>
      <c r="AM43" s="161"/>
      <c r="AN43" s="161"/>
      <c r="AO43" s="161"/>
    </row>
    <row r="44" customFormat="false" ht="15" hidden="false" customHeight="true" outlineLevel="0" collapsed="false">
      <c r="A44" s="161" t="n">
        <v>15</v>
      </c>
      <c r="B44" s="250" t="b">
        <f aca="false">Scenarios!$C$17</f>
        <v>0</v>
      </c>
      <c r="C44" s="161" t="s">
        <v>865</v>
      </c>
      <c r="D44" s="251" t="n">
        <f aca="false">D18</f>
        <v>0.333333333333333</v>
      </c>
      <c r="E44" s="251" t="n">
        <f aca="false">E18-D18</f>
        <v>0.333333333333333</v>
      </c>
      <c r="F44" s="251" t="n">
        <f aca="false">F18-E18</f>
        <v>0.333333333333333</v>
      </c>
      <c r="G44" s="251" t="n">
        <f aca="false">G18-F18</f>
        <v>0</v>
      </c>
      <c r="H44" s="251" t="n">
        <f aca="false">H18-G18</f>
        <v>0</v>
      </c>
      <c r="I44" s="251" t="n">
        <f aca="false">I18-H18</f>
        <v>0</v>
      </c>
      <c r="J44" s="251" t="n">
        <f aca="false">J18-I18</f>
        <v>0</v>
      </c>
      <c r="K44" s="251" t="n">
        <f aca="false">K18-J18</f>
        <v>0</v>
      </c>
      <c r="L44" s="251" t="n">
        <f aca="false">L18-K18</f>
        <v>0</v>
      </c>
      <c r="M44" s="251" t="n">
        <f aca="false">M18-L18</f>
        <v>0</v>
      </c>
      <c r="N44" s="251" t="n">
        <f aca="false">N18-M18</f>
        <v>0</v>
      </c>
      <c r="O44" s="251" t="n">
        <f aca="false">O18-N18</f>
        <v>0</v>
      </c>
      <c r="P44" s="251" t="n">
        <f aca="false">P18-O18</f>
        <v>0</v>
      </c>
      <c r="Q44" s="251" t="n">
        <f aca="false">Q18-P18</f>
        <v>0</v>
      </c>
      <c r="R44" s="251" t="n">
        <f aca="false">R18-Q18</f>
        <v>0</v>
      </c>
      <c r="S44" s="251" t="n">
        <f aca="false">S18-R18</f>
        <v>0</v>
      </c>
      <c r="T44" s="251" t="n">
        <f aca="false">T18-S18</f>
        <v>0</v>
      </c>
      <c r="U44" s="251" t="n">
        <f aca="false">U18-T18</f>
        <v>0</v>
      </c>
      <c r="V44" s="251" t="n">
        <f aca="false">V18-U18</f>
        <v>0</v>
      </c>
      <c r="W44" s="251" t="n">
        <f aca="false">W18-V18</f>
        <v>0</v>
      </c>
      <c r="X44" s="251" t="n">
        <f aca="false">X18-W18</f>
        <v>0</v>
      </c>
      <c r="Y44" s="251" t="n">
        <f aca="false">Y18-X18</f>
        <v>0</v>
      </c>
      <c r="Z44" s="251" t="n">
        <f aca="false">Z18-Y18</f>
        <v>0</v>
      </c>
      <c r="AA44" s="251" t="n">
        <f aca="false">AA18-Z18</f>
        <v>0</v>
      </c>
      <c r="AB44" s="251" t="n">
        <f aca="false">AB18-AA18</f>
        <v>0</v>
      </c>
      <c r="AC44" s="251" t="n">
        <f aca="false">AC18-AB18</f>
        <v>0</v>
      </c>
      <c r="AD44" s="251" t="n">
        <f aca="false">AD18-AC18</f>
        <v>0</v>
      </c>
      <c r="AE44" s="251" t="n">
        <f aca="false">AE18-AD18</f>
        <v>0</v>
      </c>
      <c r="AF44" s="251" t="n">
        <f aca="false">AF18-AE18</f>
        <v>0</v>
      </c>
      <c r="AG44" s="251" t="n">
        <f aca="false">AG18-AF18</f>
        <v>0</v>
      </c>
      <c r="AH44" s="161"/>
      <c r="AI44" s="161"/>
      <c r="AJ44" s="161"/>
      <c r="AK44" s="161"/>
      <c r="AL44" s="161"/>
      <c r="AM44" s="161"/>
      <c r="AN44" s="161"/>
      <c r="AO44" s="161"/>
    </row>
    <row r="45" customFormat="false" ht="15" hidden="false" customHeight="true" outlineLevel="0" collapsed="false">
      <c r="A45" s="161" t="n">
        <v>16</v>
      </c>
      <c r="B45" s="250" t="b">
        <f aca="false">Scenarios!$C$18</f>
        <v>0</v>
      </c>
      <c r="C45" s="161" t="s">
        <v>865</v>
      </c>
      <c r="D45" s="251" t="n">
        <f aca="false">D19</f>
        <v>0.5</v>
      </c>
      <c r="E45" s="251" t="n">
        <f aca="false">E19-D19</f>
        <v>0.5</v>
      </c>
      <c r="F45" s="251" t="n">
        <f aca="false">F19-E19</f>
        <v>0</v>
      </c>
      <c r="G45" s="251" t="n">
        <f aca="false">G19-F19</f>
        <v>0</v>
      </c>
      <c r="H45" s="251" t="n">
        <f aca="false">H19-G19</f>
        <v>0</v>
      </c>
      <c r="I45" s="251" t="n">
        <f aca="false">I19-H19</f>
        <v>0</v>
      </c>
      <c r="J45" s="251" t="n">
        <f aca="false">J19-I19</f>
        <v>0</v>
      </c>
      <c r="K45" s="251" t="n">
        <f aca="false">K19-J19</f>
        <v>0</v>
      </c>
      <c r="L45" s="251" t="n">
        <f aca="false">L19-K19</f>
        <v>0</v>
      </c>
      <c r="M45" s="251" t="n">
        <f aca="false">M19-L19</f>
        <v>0</v>
      </c>
      <c r="N45" s="251" t="n">
        <f aca="false">N19-M19</f>
        <v>0</v>
      </c>
      <c r="O45" s="251" t="n">
        <f aca="false">O19-N19</f>
        <v>0</v>
      </c>
      <c r="P45" s="251" t="n">
        <f aca="false">P19-O19</f>
        <v>0</v>
      </c>
      <c r="Q45" s="251" t="n">
        <f aca="false">Q19-P19</f>
        <v>0</v>
      </c>
      <c r="R45" s="251" t="n">
        <f aca="false">R19-Q19</f>
        <v>0</v>
      </c>
      <c r="S45" s="251" t="n">
        <f aca="false">S19-R19</f>
        <v>0</v>
      </c>
      <c r="T45" s="251" t="n">
        <f aca="false">T19-S19</f>
        <v>0</v>
      </c>
      <c r="U45" s="251" t="n">
        <f aca="false">U19-T19</f>
        <v>0</v>
      </c>
      <c r="V45" s="251" t="n">
        <f aca="false">V19-U19</f>
        <v>0</v>
      </c>
      <c r="W45" s="251" t="n">
        <f aca="false">W19-V19</f>
        <v>0</v>
      </c>
      <c r="X45" s="251" t="n">
        <f aca="false">X19-W19</f>
        <v>0</v>
      </c>
      <c r="Y45" s="251" t="n">
        <f aca="false">Y19-X19</f>
        <v>0</v>
      </c>
      <c r="Z45" s="251" t="n">
        <f aca="false">Z19-Y19</f>
        <v>0</v>
      </c>
      <c r="AA45" s="251" t="n">
        <f aca="false">AA19-Z19</f>
        <v>0</v>
      </c>
      <c r="AB45" s="251" t="n">
        <f aca="false">AB19-AA19</f>
        <v>0</v>
      </c>
      <c r="AC45" s="251" t="n">
        <f aca="false">AC19-AB19</f>
        <v>0</v>
      </c>
      <c r="AD45" s="251" t="n">
        <f aca="false">AD19-AC19</f>
        <v>0</v>
      </c>
      <c r="AE45" s="251" t="n">
        <f aca="false">AE19-AD19</f>
        <v>0</v>
      </c>
      <c r="AF45" s="251" t="n">
        <f aca="false">AF19-AE19</f>
        <v>0</v>
      </c>
      <c r="AG45" s="251" t="n">
        <f aca="false">AG19-AF19</f>
        <v>0</v>
      </c>
      <c r="AH45" s="161"/>
      <c r="AI45" s="161"/>
      <c r="AJ45" s="161"/>
      <c r="AK45" s="161"/>
      <c r="AL45" s="161"/>
      <c r="AM45" s="161"/>
      <c r="AN45" s="161"/>
      <c r="AO45" s="161"/>
    </row>
    <row r="46" customFormat="false" ht="15" hidden="false" customHeight="true" outlineLevel="0" collapsed="false">
      <c r="A46" s="161" t="n">
        <v>17</v>
      </c>
      <c r="B46" s="250" t="b">
        <f aca="false">Scenarios!$C$19</f>
        <v>0</v>
      </c>
      <c r="C46" s="161" t="s">
        <v>865</v>
      </c>
      <c r="D46" s="251" t="n">
        <f aca="false">D20</f>
        <v>0.5</v>
      </c>
      <c r="E46" s="251" t="n">
        <f aca="false">E20-D20</f>
        <v>0.5</v>
      </c>
      <c r="F46" s="251" t="n">
        <f aca="false">F20-E20</f>
        <v>0</v>
      </c>
      <c r="G46" s="251" t="n">
        <f aca="false">G20-F20</f>
        <v>0</v>
      </c>
      <c r="H46" s="251" t="n">
        <f aca="false">H20-G20</f>
        <v>0</v>
      </c>
      <c r="I46" s="251" t="n">
        <f aca="false">I20-H20</f>
        <v>0</v>
      </c>
      <c r="J46" s="251" t="n">
        <f aca="false">J20-I20</f>
        <v>0</v>
      </c>
      <c r="K46" s="251" t="n">
        <f aca="false">K20-J20</f>
        <v>0</v>
      </c>
      <c r="L46" s="251" t="n">
        <f aca="false">L20-K20</f>
        <v>0</v>
      </c>
      <c r="M46" s="251" t="n">
        <f aca="false">M20-L20</f>
        <v>0</v>
      </c>
      <c r="N46" s="251" t="n">
        <f aca="false">N20-M20</f>
        <v>0</v>
      </c>
      <c r="O46" s="251" t="n">
        <f aca="false">O20-N20</f>
        <v>0</v>
      </c>
      <c r="P46" s="251" t="n">
        <f aca="false">P20-O20</f>
        <v>0</v>
      </c>
      <c r="Q46" s="251" t="n">
        <f aca="false">Q20-P20</f>
        <v>0</v>
      </c>
      <c r="R46" s="251" t="n">
        <f aca="false">R20-Q20</f>
        <v>0</v>
      </c>
      <c r="S46" s="251" t="n">
        <f aca="false">S20-R20</f>
        <v>0</v>
      </c>
      <c r="T46" s="251" t="n">
        <f aca="false">T20-S20</f>
        <v>0</v>
      </c>
      <c r="U46" s="251" t="n">
        <f aca="false">U20-T20</f>
        <v>0</v>
      </c>
      <c r="V46" s="251" t="n">
        <f aca="false">V20-U20</f>
        <v>0</v>
      </c>
      <c r="W46" s="251" t="n">
        <f aca="false">W20-V20</f>
        <v>0</v>
      </c>
      <c r="X46" s="251" t="n">
        <f aca="false">X20-W20</f>
        <v>0</v>
      </c>
      <c r="Y46" s="251" t="n">
        <f aca="false">Y20-X20</f>
        <v>0</v>
      </c>
      <c r="Z46" s="251" t="n">
        <f aca="false">Z20-Y20</f>
        <v>0</v>
      </c>
      <c r="AA46" s="251" t="n">
        <f aca="false">AA20-Z20</f>
        <v>0</v>
      </c>
      <c r="AB46" s="251" t="n">
        <f aca="false">AB20-AA20</f>
        <v>0</v>
      </c>
      <c r="AC46" s="251" t="n">
        <f aca="false">AC20-AB20</f>
        <v>0</v>
      </c>
      <c r="AD46" s="251" t="n">
        <f aca="false">AD20-AC20</f>
        <v>0</v>
      </c>
      <c r="AE46" s="251" t="n">
        <f aca="false">AE20-AD20</f>
        <v>0</v>
      </c>
      <c r="AF46" s="251" t="n">
        <f aca="false">AF20-AE20</f>
        <v>0</v>
      </c>
      <c r="AG46" s="251" t="n">
        <f aca="false">AG20-AF20</f>
        <v>0</v>
      </c>
      <c r="AH46" s="161"/>
      <c r="AI46" s="161"/>
      <c r="AJ46" s="161"/>
      <c r="AK46" s="161"/>
      <c r="AL46" s="161"/>
      <c r="AM46" s="161"/>
      <c r="AN46" s="161"/>
      <c r="AO46" s="161"/>
    </row>
    <row r="47" customFormat="false" ht="15" hidden="false" customHeight="true" outlineLevel="0" collapsed="false">
      <c r="A47" s="161" t="n">
        <v>18</v>
      </c>
      <c r="B47" s="250" t="b">
        <f aca="false">Scenarios!$C$20</f>
        <v>0</v>
      </c>
      <c r="C47" s="161" t="s">
        <v>865</v>
      </c>
      <c r="D47" s="251" t="n">
        <f aca="false">D21</f>
        <v>0.5</v>
      </c>
      <c r="E47" s="251" t="n">
        <f aca="false">E21-D21</f>
        <v>0.5</v>
      </c>
      <c r="F47" s="251" t="n">
        <f aca="false">F21-E21</f>
        <v>0</v>
      </c>
      <c r="G47" s="251" t="n">
        <f aca="false">G21-F21</f>
        <v>0</v>
      </c>
      <c r="H47" s="251" t="n">
        <f aca="false">H21-G21</f>
        <v>0</v>
      </c>
      <c r="I47" s="251" t="n">
        <f aca="false">I21-H21</f>
        <v>0</v>
      </c>
      <c r="J47" s="251" t="n">
        <f aca="false">J21-I21</f>
        <v>0</v>
      </c>
      <c r="K47" s="251" t="n">
        <f aca="false">K21-J21</f>
        <v>0</v>
      </c>
      <c r="L47" s="251" t="n">
        <f aca="false">L21-K21</f>
        <v>0</v>
      </c>
      <c r="M47" s="251" t="n">
        <f aca="false">M21-L21</f>
        <v>0</v>
      </c>
      <c r="N47" s="251" t="n">
        <f aca="false">N21-M21</f>
        <v>0</v>
      </c>
      <c r="O47" s="251" t="n">
        <f aca="false">O21-N21</f>
        <v>0</v>
      </c>
      <c r="P47" s="251" t="n">
        <f aca="false">P21-O21</f>
        <v>0</v>
      </c>
      <c r="Q47" s="251" t="n">
        <f aca="false">Q21-P21</f>
        <v>0</v>
      </c>
      <c r="R47" s="251" t="n">
        <f aca="false">R21-Q21</f>
        <v>0</v>
      </c>
      <c r="S47" s="251" t="n">
        <f aca="false">S21-R21</f>
        <v>0</v>
      </c>
      <c r="T47" s="251" t="n">
        <f aca="false">T21-S21</f>
        <v>0</v>
      </c>
      <c r="U47" s="251" t="n">
        <f aca="false">U21-T21</f>
        <v>0</v>
      </c>
      <c r="V47" s="251" t="n">
        <f aca="false">V21-U21</f>
        <v>0</v>
      </c>
      <c r="W47" s="251" t="n">
        <f aca="false">W21-V21</f>
        <v>0</v>
      </c>
      <c r="X47" s="251" t="n">
        <f aca="false">X21-W21</f>
        <v>0</v>
      </c>
      <c r="Y47" s="251" t="n">
        <f aca="false">Y21-X21</f>
        <v>0</v>
      </c>
      <c r="Z47" s="251" t="n">
        <f aca="false">Z21-Y21</f>
        <v>0</v>
      </c>
      <c r="AA47" s="251" t="n">
        <f aca="false">AA21-Z21</f>
        <v>0</v>
      </c>
      <c r="AB47" s="251" t="n">
        <f aca="false">AB21-AA21</f>
        <v>0</v>
      </c>
      <c r="AC47" s="251" t="n">
        <f aca="false">AC21-AB21</f>
        <v>0</v>
      </c>
      <c r="AD47" s="251" t="n">
        <f aca="false">AD21-AC21</f>
        <v>0</v>
      </c>
      <c r="AE47" s="251" t="n">
        <f aca="false">AE21-AD21</f>
        <v>0</v>
      </c>
      <c r="AF47" s="251" t="n">
        <f aca="false">AF21-AE21</f>
        <v>0</v>
      </c>
      <c r="AG47" s="251" t="n">
        <f aca="false">AG21-AF21</f>
        <v>0</v>
      </c>
      <c r="AH47" s="161"/>
      <c r="AI47" s="161"/>
      <c r="AJ47" s="161"/>
      <c r="AK47" s="161"/>
      <c r="AL47" s="161"/>
      <c r="AM47" s="161"/>
      <c r="AN47" s="161"/>
      <c r="AO47" s="161"/>
    </row>
    <row r="48" customFormat="false" ht="15" hidden="false" customHeight="true" outlineLevel="0" collapsed="false">
      <c r="A48" s="161" t="n">
        <v>19</v>
      </c>
      <c r="B48" s="250" t="b">
        <f aca="false">Scenarios!$C$21</f>
        <v>0</v>
      </c>
      <c r="C48" s="161" t="s">
        <v>865</v>
      </c>
      <c r="D48" s="251" t="n">
        <f aca="false">D22</f>
        <v>0.5</v>
      </c>
      <c r="E48" s="251" t="n">
        <f aca="false">E22-D22</f>
        <v>0.5</v>
      </c>
      <c r="F48" s="251" t="n">
        <f aca="false">F22-E22</f>
        <v>0</v>
      </c>
      <c r="G48" s="251" t="n">
        <f aca="false">G22-F22</f>
        <v>0</v>
      </c>
      <c r="H48" s="251" t="n">
        <f aca="false">H22-G22</f>
        <v>0</v>
      </c>
      <c r="I48" s="251" t="n">
        <f aca="false">I22-H22</f>
        <v>0</v>
      </c>
      <c r="J48" s="251" t="n">
        <f aca="false">J22-I22</f>
        <v>0</v>
      </c>
      <c r="K48" s="251" t="n">
        <f aca="false">K22-J22</f>
        <v>0</v>
      </c>
      <c r="L48" s="251" t="n">
        <f aca="false">L22-K22</f>
        <v>0</v>
      </c>
      <c r="M48" s="251" t="n">
        <f aca="false">M22-L22</f>
        <v>0</v>
      </c>
      <c r="N48" s="251" t="n">
        <f aca="false">N22-M22</f>
        <v>0</v>
      </c>
      <c r="O48" s="251" t="n">
        <f aca="false">O22-N22</f>
        <v>0</v>
      </c>
      <c r="P48" s="251" t="n">
        <f aca="false">P22-O22</f>
        <v>0</v>
      </c>
      <c r="Q48" s="251" t="n">
        <f aca="false">Q22-P22</f>
        <v>0</v>
      </c>
      <c r="R48" s="251" t="n">
        <f aca="false">R22-Q22</f>
        <v>0</v>
      </c>
      <c r="S48" s="251" t="n">
        <f aca="false">S22-R22</f>
        <v>0</v>
      </c>
      <c r="T48" s="251" t="n">
        <f aca="false">T22-S22</f>
        <v>0</v>
      </c>
      <c r="U48" s="251" t="n">
        <f aca="false">U22-T22</f>
        <v>0</v>
      </c>
      <c r="V48" s="251" t="n">
        <f aca="false">V22-U22</f>
        <v>0</v>
      </c>
      <c r="W48" s="251" t="n">
        <f aca="false">W22-V22</f>
        <v>0</v>
      </c>
      <c r="X48" s="251" t="n">
        <f aca="false">X22-W22</f>
        <v>0</v>
      </c>
      <c r="Y48" s="251" t="n">
        <f aca="false">Y22-X22</f>
        <v>0</v>
      </c>
      <c r="Z48" s="251" t="n">
        <f aca="false">Z22-Y22</f>
        <v>0</v>
      </c>
      <c r="AA48" s="251" t="n">
        <f aca="false">AA22-Z22</f>
        <v>0</v>
      </c>
      <c r="AB48" s="251" t="n">
        <f aca="false">AB22-AA22</f>
        <v>0</v>
      </c>
      <c r="AC48" s="251" t="n">
        <f aca="false">AC22-AB22</f>
        <v>0</v>
      </c>
      <c r="AD48" s="251" t="n">
        <f aca="false">AD22-AC22</f>
        <v>0</v>
      </c>
      <c r="AE48" s="251" t="n">
        <f aca="false">AE22-AD22</f>
        <v>0</v>
      </c>
      <c r="AF48" s="251" t="n">
        <f aca="false">AF22-AE22</f>
        <v>0</v>
      </c>
      <c r="AG48" s="251" t="n">
        <f aca="false">AG22-AF22</f>
        <v>0</v>
      </c>
      <c r="AH48" s="161"/>
      <c r="AI48" s="161"/>
      <c r="AJ48" s="161"/>
      <c r="AK48" s="161"/>
      <c r="AL48" s="161"/>
      <c r="AM48" s="161"/>
      <c r="AN48" s="161"/>
      <c r="AO48" s="161"/>
    </row>
    <row r="49" customFormat="false" ht="15" hidden="false" customHeight="true" outlineLevel="0" collapsed="false">
      <c r="A49" s="161" t="n">
        <v>20</v>
      </c>
      <c r="B49" s="250" t="b">
        <f aca="false">Scenarios!$C$22</f>
        <v>0</v>
      </c>
      <c r="C49" s="161" t="s">
        <v>865</v>
      </c>
      <c r="D49" s="251" t="n">
        <f aca="false">D23</f>
        <v>0.5</v>
      </c>
      <c r="E49" s="251" t="n">
        <f aca="false">E23-D23</f>
        <v>0.5</v>
      </c>
      <c r="F49" s="251" t="n">
        <f aca="false">F23-E23</f>
        <v>0</v>
      </c>
      <c r="G49" s="251" t="n">
        <f aca="false">G23-F23</f>
        <v>0</v>
      </c>
      <c r="H49" s="251" t="n">
        <f aca="false">H23-G23</f>
        <v>0</v>
      </c>
      <c r="I49" s="251" t="n">
        <f aca="false">I23-H23</f>
        <v>0</v>
      </c>
      <c r="J49" s="251" t="n">
        <f aca="false">J23-I23</f>
        <v>0</v>
      </c>
      <c r="K49" s="251" t="n">
        <f aca="false">K23-J23</f>
        <v>0</v>
      </c>
      <c r="L49" s="251" t="n">
        <f aca="false">L23-K23</f>
        <v>0</v>
      </c>
      <c r="M49" s="251" t="n">
        <f aca="false">M23-L23</f>
        <v>0</v>
      </c>
      <c r="N49" s="251" t="n">
        <f aca="false">N23-M23</f>
        <v>0</v>
      </c>
      <c r="O49" s="251" t="n">
        <f aca="false">O23-N23</f>
        <v>0</v>
      </c>
      <c r="P49" s="251" t="n">
        <f aca="false">P23-O23</f>
        <v>0</v>
      </c>
      <c r="Q49" s="251" t="n">
        <f aca="false">Q23-P23</f>
        <v>0</v>
      </c>
      <c r="R49" s="251" t="n">
        <f aca="false">R23-Q23</f>
        <v>0</v>
      </c>
      <c r="S49" s="251" t="n">
        <f aca="false">S23-R23</f>
        <v>0</v>
      </c>
      <c r="T49" s="251" t="n">
        <f aca="false">T23-S23</f>
        <v>0</v>
      </c>
      <c r="U49" s="251" t="n">
        <f aca="false">U23-T23</f>
        <v>0</v>
      </c>
      <c r="V49" s="251" t="n">
        <f aca="false">V23-U23</f>
        <v>0</v>
      </c>
      <c r="W49" s="251" t="n">
        <f aca="false">W23-V23</f>
        <v>0</v>
      </c>
      <c r="X49" s="251" t="n">
        <f aca="false">X23-W23</f>
        <v>0</v>
      </c>
      <c r="Y49" s="251" t="n">
        <f aca="false">Y23-X23</f>
        <v>0</v>
      </c>
      <c r="Z49" s="251" t="n">
        <f aca="false">Z23-Y23</f>
        <v>0</v>
      </c>
      <c r="AA49" s="251" t="n">
        <f aca="false">AA23-Z23</f>
        <v>0</v>
      </c>
      <c r="AB49" s="251" t="n">
        <f aca="false">AB23-AA23</f>
        <v>0</v>
      </c>
      <c r="AC49" s="251" t="n">
        <f aca="false">AC23-AB23</f>
        <v>0</v>
      </c>
      <c r="AD49" s="251" t="n">
        <f aca="false">AD23-AC23</f>
        <v>0</v>
      </c>
      <c r="AE49" s="251" t="n">
        <f aca="false">AE23-AD23</f>
        <v>0</v>
      </c>
      <c r="AF49" s="251" t="n">
        <f aca="false">AF23-AE23</f>
        <v>0</v>
      </c>
      <c r="AG49" s="251" t="n">
        <f aca="false">AG23-AF23</f>
        <v>0</v>
      </c>
      <c r="AH49" s="161"/>
      <c r="AI49" s="161"/>
      <c r="AJ49" s="161"/>
      <c r="AK49" s="161"/>
      <c r="AL49" s="161"/>
      <c r="AM49" s="161"/>
      <c r="AN49" s="161"/>
      <c r="AO49" s="161"/>
    </row>
    <row r="50" customFormat="false" ht="15" hidden="false" customHeight="true" outlineLevel="0" collapsed="false">
      <c r="A50" s="161" t="n">
        <v>21</v>
      </c>
      <c r="B50" s="250" t="b">
        <f aca="false">Scenarios!$C$23</f>
        <v>0</v>
      </c>
      <c r="C50" s="161" t="s">
        <v>865</v>
      </c>
      <c r="D50" s="251" t="n">
        <f aca="false">D24</f>
        <v>0.5</v>
      </c>
      <c r="E50" s="251" t="n">
        <f aca="false">E24-D24</f>
        <v>0.5</v>
      </c>
      <c r="F50" s="251" t="n">
        <f aca="false">F24-E24</f>
        <v>0</v>
      </c>
      <c r="G50" s="251" t="n">
        <f aca="false">G24-F24</f>
        <v>0</v>
      </c>
      <c r="H50" s="251" t="n">
        <f aca="false">H24-G24</f>
        <v>0</v>
      </c>
      <c r="I50" s="251" t="n">
        <f aca="false">I24-H24</f>
        <v>0</v>
      </c>
      <c r="J50" s="251" t="n">
        <f aca="false">J24-I24</f>
        <v>0</v>
      </c>
      <c r="K50" s="251" t="n">
        <f aca="false">K24-J24</f>
        <v>0</v>
      </c>
      <c r="L50" s="251" t="n">
        <f aca="false">L24-K24</f>
        <v>0</v>
      </c>
      <c r="M50" s="251" t="n">
        <f aca="false">M24-L24</f>
        <v>0</v>
      </c>
      <c r="N50" s="251" t="n">
        <f aca="false">N24-M24</f>
        <v>0</v>
      </c>
      <c r="O50" s="251" t="n">
        <f aca="false">O24-N24</f>
        <v>0</v>
      </c>
      <c r="P50" s="251" t="n">
        <f aca="false">P24-O24</f>
        <v>0</v>
      </c>
      <c r="Q50" s="251" t="n">
        <f aca="false">Q24-P24</f>
        <v>0</v>
      </c>
      <c r="R50" s="251" t="n">
        <f aca="false">R24-Q24</f>
        <v>0</v>
      </c>
      <c r="S50" s="251" t="n">
        <f aca="false">S24-R24</f>
        <v>0</v>
      </c>
      <c r="T50" s="251" t="n">
        <f aca="false">T24-S24</f>
        <v>0</v>
      </c>
      <c r="U50" s="251" t="n">
        <f aca="false">U24-T24</f>
        <v>0</v>
      </c>
      <c r="V50" s="251" t="n">
        <f aca="false">V24-U24</f>
        <v>0</v>
      </c>
      <c r="W50" s="251" t="n">
        <f aca="false">W24-V24</f>
        <v>0</v>
      </c>
      <c r="X50" s="251" t="n">
        <f aca="false">X24-W24</f>
        <v>0</v>
      </c>
      <c r="Y50" s="251" t="n">
        <f aca="false">Y24-X24</f>
        <v>0</v>
      </c>
      <c r="Z50" s="251" t="n">
        <f aca="false">Z24-Y24</f>
        <v>0</v>
      </c>
      <c r="AA50" s="251" t="n">
        <f aca="false">AA24-Z24</f>
        <v>0</v>
      </c>
      <c r="AB50" s="251" t="n">
        <f aca="false">AB24-AA24</f>
        <v>0</v>
      </c>
      <c r="AC50" s="251" t="n">
        <f aca="false">AC24-AB24</f>
        <v>0</v>
      </c>
      <c r="AD50" s="251" t="n">
        <f aca="false">AD24-AC24</f>
        <v>0</v>
      </c>
      <c r="AE50" s="251" t="n">
        <f aca="false">AE24-AD24</f>
        <v>0</v>
      </c>
      <c r="AF50" s="251" t="n">
        <f aca="false">AF24-AE24</f>
        <v>0</v>
      </c>
      <c r="AG50" s="251" t="n">
        <f aca="false">AG24-AF24</f>
        <v>0</v>
      </c>
      <c r="AH50" s="161"/>
      <c r="AI50" s="161"/>
      <c r="AJ50" s="161"/>
      <c r="AK50" s="161"/>
      <c r="AL50" s="161"/>
      <c r="AM50" s="161"/>
      <c r="AN50" s="161"/>
      <c r="AO50" s="161"/>
    </row>
    <row r="51" customFormat="false" ht="15" hidden="false" customHeight="true" outlineLevel="0" collapsed="false">
      <c r="A51" s="161" t="n">
        <v>22</v>
      </c>
      <c r="B51" s="250" t="b">
        <f aca="false">Scenarios!$C$24</f>
        <v>0</v>
      </c>
      <c r="C51" s="161" t="s">
        <v>865</v>
      </c>
      <c r="D51" s="251" t="n">
        <f aca="false">D25</f>
        <v>0.5</v>
      </c>
      <c r="E51" s="251" t="n">
        <f aca="false">E25-D25</f>
        <v>0.5</v>
      </c>
      <c r="F51" s="251" t="n">
        <f aca="false">F25-E25</f>
        <v>0</v>
      </c>
      <c r="G51" s="251" t="n">
        <f aca="false">G25-F25</f>
        <v>0</v>
      </c>
      <c r="H51" s="251" t="n">
        <f aca="false">H25-G25</f>
        <v>0</v>
      </c>
      <c r="I51" s="251" t="n">
        <f aca="false">I25-H25</f>
        <v>0</v>
      </c>
      <c r="J51" s="251" t="n">
        <f aca="false">J25-I25</f>
        <v>0</v>
      </c>
      <c r="K51" s="251" t="n">
        <f aca="false">K25-J25</f>
        <v>0</v>
      </c>
      <c r="L51" s="251" t="n">
        <f aca="false">L25-K25</f>
        <v>0</v>
      </c>
      <c r="M51" s="251" t="n">
        <f aca="false">M25-L25</f>
        <v>0</v>
      </c>
      <c r="N51" s="251" t="n">
        <f aca="false">N25-M25</f>
        <v>0</v>
      </c>
      <c r="O51" s="251" t="n">
        <f aca="false">O25-N25</f>
        <v>0</v>
      </c>
      <c r="P51" s="251" t="n">
        <f aca="false">P25-O25</f>
        <v>0</v>
      </c>
      <c r="Q51" s="251" t="n">
        <f aca="false">Q25-P25</f>
        <v>0</v>
      </c>
      <c r="R51" s="251" t="n">
        <f aca="false">R25-Q25</f>
        <v>0</v>
      </c>
      <c r="S51" s="251" t="n">
        <f aca="false">S25-R25</f>
        <v>0</v>
      </c>
      <c r="T51" s="251" t="n">
        <f aca="false">T25-S25</f>
        <v>0</v>
      </c>
      <c r="U51" s="251" t="n">
        <f aca="false">U25-T25</f>
        <v>0</v>
      </c>
      <c r="V51" s="251" t="n">
        <f aca="false">V25-U25</f>
        <v>0</v>
      </c>
      <c r="W51" s="251" t="n">
        <f aca="false">W25-V25</f>
        <v>0</v>
      </c>
      <c r="X51" s="251" t="n">
        <f aca="false">X25-W25</f>
        <v>0</v>
      </c>
      <c r="Y51" s="251" t="n">
        <f aca="false">Y25-X25</f>
        <v>0</v>
      </c>
      <c r="Z51" s="251" t="n">
        <f aca="false">Z25-Y25</f>
        <v>0</v>
      </c>
      <c r="AA51" s="251" t="n">
        <f aca="false">AA25-Z25</f>
        <v>0</v>
      </c>
      <c r="AB51" s="251" t="n">
        <f aca="false">AB25-AA25</f>
        <v>0</v>
      </c>
      <c r="AC51" s="251" t="n">
        <f aca="false">AC25-AB25</f>
        <v>0</v>
      </c>
      <c r="AD51" s="251" t="n">
        <f aca="false">AD25-AC25</f>
        <v>0</v>
      </c>
      <c r="AE51" s="251" t="n">
        <f aca="false">AE25-AD25</f>
        <v>0</v>
      </c>
      <c r="AF51" s="251" t="n">
        <f aca="false">AF25-AE25</f>
        <v>0</v>
      </c>
      <c r="AG51" s="251" t="n">
        <f aca="false">AG25-AF25</f>
        <v>0</v>
      </c>
      <c r="AH51" s="161"/>
      <c r="AI51" s="161"/>
      <c r="AJ51" s="161"/>
      <c r="AK51" s="161"/>
      <c r="AL51" s="161"/>
      <c r="AM51" s="161"/>
      <c r="AN51" s="161"/>
      <c r="AO51" s="161"/>
    </row>
    <row r="52" customFormat="false" ht="15" hidden="false" customHeight="true" outlineLevel="0" collapsed="false">
      <c r="A52" s="161" t="n">
        <v>23</v>
      </c>
      <c r="B52" s="250" t="b">
        <f aca="false">Scenarios!$C$25</f>
        <v>0</v>
      </c>
      <c r="C52" s="161" t="s">
        <v>865</v>
      </c>
      <c r="D52" s="251" t="n">
        <f aca="false">D26</f>
        <v>1</v>
      </c>
      <c r="E52" s="251" t="n">
        <f aca="false">E26-D26</f>
        <v>0</v>
      </c>
      <c r="F52" s="251" t="n">
        <f aca="false">F26-E26</f>
        <v>0</v>
      </c>
      <c r="G52" s="251" t="n">
        <f aca="false">G26-F26</f>
        <v>0</v>
      </c>
      <c r="H52" s="251" t="n">
        <f aca="false">H26-G26</f>
        <v>0</v>
      </c>
      <c r="I52" s="251" t="n">
        <f aca="false">I26-H26</f>
        <v>0</v>
      </c>
      <c r="J52" s="251" t="n">
        <f aca="false">J26-I26</f>
        <v>0</v>
      </c>
      <c r="K52" s="251" t="n">
        <f aca="false">K26-J26</f>
        <v>0</v>
      </c>
      <c r="L52" s="251" t="n">
        <f aca="false">L26-K26</f>
        <v>0</v>
      </c>
      <c r="M52" s="251" t="n">
        <f aca="false">M26-L26</f>
        <v>0</v>
      </c>
      <c r="N52" s="251" t="n">
        <f aca="false">N26-M26</f>
        <v>0</v>
      </c>
      <c r="O52" s="251" t="n">
        <f aca="false">O26-N26</f>
        <v>0</v>
      </c>
      <c r="P52" s="251" t="n">
        <f aca="false">P26-O26</f>
        <v>0</v>
      </c>
      <c r="Q52" s="251" t="n">
        <f aca="false">Q26-P26</f>
        <v>0</v>
      </c>
      <c r="R52" s="251" t="n">
        <f aca="false">R26-Q26</f>
        <v>0</v>
      </c>
      <c r="S52" s="251" t="n">
        <f aca="false">S26-R26</f>
        <v>0</v>
      </c>
      <c r="T52" s="251" t="n">
        <f aca="false">T26-S26</f>
        <v>0</v>
      </c>
      <c r="U52" s="251" t="n">
        <f aca="false">U26-T26</f>
        <v>0</v>
      </c>
      <c r="V52" s="251" t="n">
        <f aca="false">V26-U26</f>
        <v>0</v>
      </c>
      <c r="W52" s="251" t="n">
        <f aca="false">W26-V26</f>
        <v>0</v>
      </c>
      <c r="X52" s="251" t="n">
        <f aca="false">X26-W26</f>
        <v>0</v>
      </c>
      <c r="Y52" s="251" t="n">
        <f aca="false">Y26-X26</f>
        <v>0</v>
      </c>
      <c r="Z52" s="251" t="n">
        <f aca="false">Z26-Y26</f>
        <v>0</v>
      </c>
      <c r="AA52" s="251" t="n">
        <f aca="false">AA26-Z26</f>
        <v>0</v>
      </c>
      <c r="AB52" s="251" t="n">
        <f aca="false">AB26-AA26</f>
        <v>0</v>
      </c>
      <c r="AC52" s="251" t="n">
        <f aca="false">AC26-AB26</f>
        <v>0</v>
      </c>
      <c r="AD52" s="251" t="n">
        <f aca="false">AD26-AC26</f>
        <v>0</v>
      </c>
      <c r="AE52" s="251" t="n">
        <f aca="false">AE26-AD26</f>
        <v>0</v>
      </c>
      <c r="AF52" s="251" t="n">
        <f aca="false">AF26-AE26</f>
        <v>0</v>
      </c>
      <c r="AG52" s="251" t="n">
        <f aca="false">AG26-AF26</f>
        <v>0</v>
      </c>
      <c r="AH52" s="161"/>
      <c r="AI52" s="161"/>
      <c r="AJ52" s="161"/>
      <c r="AK52" s="161"/>
      <c r="AL52" s="161"/>
      <c r="AM52" s="161"/>
      <c r="AN52" s="161"/>
      <c r="AO52" s="161"/>
    </row>
    <row r="53" customFormat="false" ht="15" hidden="false" customHeight="true" outlineLevel="0" collapsed="false">
      <c r="A53" s="161" t="n">
        <v>24</v>
      </c>
      <c r="B53" s="250" t="b">
        <f aca="false">Scenarios!$C$26</f>
        <v>0</v>
      </c>
      <c r="C53" s="161" t="s">
        <v>865</v>
      </c>
      <c r="D53" s="251" t="n">
        <f aca="false">D27</f>
        <v>1</v>
      </c>
      <c r="E53" s="251" t="n">
        <f aca="false">E27-D27</f>
        <v>0</v>
      </c>
      <c r="F53" s="251" t="n">
        <f aca="false">F27-E27</f>
        <v>0</v>
      </c>
      <c r="G53" s="251" t="n">
        <f aca="false">G27-F27</f>
        <v>0</v>
      </c>
      <c r="H53" s="251" t="n">
        <f aca="false">H27-G27</f>
        <v>0</v>
      </c>
      <c r="I53" s="251" t="n">
        <f aca="false">I27-H27</f>
        <v>0</v>
      </c>
      <c r="J53" s="251" t="n">
        <f aca="false">J27-I27</f>
        <v>0</v>
      </c>
      <c r="K53" s="251" t="n">
        <f aca="false">K27-J27</f>
        <v>0</v>
      </c>
      <c r="L53" s="251" t="n">
        <f aca="false">L27-K27</f>
        <v>0</v>
      </c>
      <c r="M53" s="251" t="n">
        <f aca="false">M27-L27</f>
        <v>0</v>
      </c>
      <c r="N53" s="251" t="n">
        <f aca="false">N27-M27</f>
        <v>0</v>
      </c>
      <c r="O53" s="251" t="n">
        <f aca="false">O27-N27</f>
        <v>0</v>
      </c>
      <c r="P53" s="251" t="n">
        <f aca="false">P27-O27</f>
        <v>0</v>
      </c>
      <c r="Q53" s="251" t="n">
        <f aca="false">Q27-P27</f>
        <v>0</v>
      </c>
      <c r="R53" s="251" t="n">
        <f aca="false">R27-Q27</f>
        <v>0</v>
      </c>
      <c r="S53" s="251" t="n">
        <f aca="false">S27-R27</f>
        <v>0</v>
      </c>
      <c r="T53" s="251" t="n">
        <f aca="false">T27-S27</f>
        <v>0</v>
      </c>
      <c r="U53" s="251" t="n">
        <f aca="false">U27-T27</f>
        <v>0</v>
      </c>
      <c r="V53" s="251" t="n">
        <f aca="false">V27-U27</f>
        <v>0</v>
      </c>
      <c r="W53" s="251" t="n">
        <f aca="false">W27-V27</f>
        <v>0</v>
      </c>
      <c r="X53" s="251" t="n">
        <f aca="false">X27-W27</f>
        <v>0</v>
      </c>
      <c r="Y53" s="251" t="n">
        <f aca="false">Y27-X27</f>
        <v>0</v>
      </c>
      <c r="Z53" s="251" t="n">
        <f aca="false">Z27-Y27</f>
        <v>0</v>
      </c>
      <c r="AA53" s="251" t="n">
        <f aca="false">AA27-Z27</f>
        <v>0</v>
      </c>
      <c r="AB53" s="251" t="n">
        <f aca="false">AB27-AA27</f>
        <v>0</v>
      </c>
      <c r="AC53" s="251" t="n">
        <f aca="false">AC27-AB27</f>
        <v>0</v>
      </c>
      <c r="AD53" s="251" t="n">
        <f aca="false">AD27-AC27</f>
        <v>0</v>
      </c>
      <c r="AE53" s="251" t="n">
        <f aca="false">AE27-AD27</f>
        <v>0</v>
      </c>
      <c r="AF53" s="251" t="n">
        <f aca="false">AF27-AE27</f>
        <v>0</v>
      </c>
      <c r="AG53" s="251" t="n">
        <f aca="false">AG27-AF27</f>
        <v>0</v>
      </c>
      <c r="AH53" s="161"/>
      <c r="AI53" s="161"/>
      <c r="AJ53" s="161"/>
      <c r="AK53" s="161"/>
      <c r="AL53" s="161"/>
      <c r="AM53" s="161"/>
      <c r="AN53" s="161"/>
      <c r="AO53" s="161"/>
    </row>
    <row r="54" customFormat="false" ht="15" hidden="false" customHeight="true" outlineLevel="0" collapsed="false">
      <c r="A54" s="161" t="n">
        <v>25</v>
      </c>
      <c r="B54" s="250" t="b">
        <f aca="false">Scenarios!$C$27</f>
        <v>0</v>
      </c>
      <c r="C54" s="161" t="s">
        <v>865</v>
      </c>
      <c r="D54" s="251" t="n">
        <f aca="false">D28</f>
        <v>1</v>
      </c>
      <c r="E54" s="251" t="n">
        <f aca="false">E28-D28</f>
        <v>0</v>
      </c>
      <c r="F54" s="251" t="n">
        <f aca="false">F28-E28</f>
        <v>0</v>
      </c>
      <c r="G54" s="251" t="n">
        <f aca="false">G28-F28</f>
        <v>0</v>
      </c>
      <c r="H54" s="251" t="n">
        <f aca="false">H28-G28</f>
        <v>0</v>
      </c>
      <c r="I54" s="251" t="n">
        <f aca="false">I28-H28</f>
        <v>0</v>
      </c>
      <c r="J54" s="251" t="n">
        <f aca="false">J28-I28</f>
        <v>0</v>
      </c>
      <c r="K54" s="251" t="n">
        <f aca="false">K28-J28</f>
        <v>0</v>
      </c>
      <c r="L54" s="251" t="n">
        <f aca="false">L28-K28</f>
        <v>0</v>
      </c>
      <c r="M54" s="251" t="n">
        <f aca="false">M28-L28</f>
        <v>0</v>
      </c>
      <c r="N54" s="251" t="n">
        <f aca="false">N28-M28</f>
        <v>0</v>
      </c>
      <c r="O54" s="251" t="n">
        <f aca="false">O28-N28</f>
        <v>0</v>
      </c>
      <c r="P54" s="251" t="n">
        <f aca="false">P28-O28</f>
        <v>0</v>
      </c>
      <c r="Q54" s="251" t="n">
        <f aca="false">Q28-P28</f>
        <v>0</v>
      </c>
      <c r="R54" s="251" t="n">
        <f aca="false">R28-Q28</f>
        <v>0</v>
      </c>
      <c r="S54" s="251" t="n">
        <f aca="false">S28-R28</f>
        <v>0</v>
      </c>
      <c r="T54" s="251" t="n">
        <f aca="false">T28-S28</f>
        <v>0</v>
      </c>
      <c r="U54" s="251" t="n">
        <f aca="false">U28-T28</f>
        <v>0</v>
      </c>
      <c r="V54" s="251" t="n">
        <f aca="false">V28-U28</f>
        <v>0</v>
      </c>
      <c r="W54" s="251" t="n">
        <f aca="false">W28-V28</f>
        <v>0</v>
      </c>
      <c r="X54" s="251" t="n">
        <f aca="false">X28-W28</f>
        <v>0</v>
      </c>
      <c r="Y54" s="251" t="n">
        <f aca="false">Y28-X28</f>
        <v>0</v>
      </c>
      <c r="Z54" s="251" t="n">
        <f aca="false">Z28-Y28</f>
        <v>0</v>
      </c>
      <c r="AA54" s="251" t="n">
        <f aca="false">AA28-Z28</f>
        <v>0</v>
      </c>
      <c r="AB54" s="251" t="n">
        <f aca="false">AB28-AA28</f>
        <v>0</v>
      </c>
      <c r="AC54" s="251" t="n">
        <f aca="false">AC28-AB28</f>
        <v>0</v>
      </c>
      <c r="AD54" s="251" t="n">
        <f aca="false">AD28-AC28</f>
        <v>0</v>
      </c>
      <c r="AE54" s="251" t="n">
        <f aca="false">AE28-AD28</f>
        <v>0</v>
      </c>
      <c r="AF54" s="251" t="n">
        <f aca="false">AF28-AE28</f>
        <v>0</v>
      </c>
      <c r="AG54" s="251" t="n">
        <f aca="false">AG28-AF28</f>
        <v>0</v>
      </c>
      <c r="AH54" s="161"/>
      <c r="AI54" s="161"/>
      <c r="AJ54" s="161"/>
      <c r="AK54" s="161"/>
      <c r="AL54" s="161"/>
      <c r="AM54" s="161"/>
      <c r="AN54" s="161"/>
      <c r="AO54" s="161"/>
    </row>
    <row r="55" customFormat="false" ht="12.75" hidden="false" customHeight="true" outlineLevel="0" collapsed="false">
      <c r="A55" s="161"/>
      <c r="B55" s="161"/>
      <c r="C55" s="161"/>
      <c r="D55" s="161"/>
      <c r="E55" s="161"/>
      <c r="F55" s="161"/>
      <c r="G55" s="161"/>
      <c r="H55" s="161"/>
      <c r="I55" s="161"/>
      <c r="J55" s="161"/>
      <c r="K55" s="161"/>
      <c r="L55" s="161"/>
      <c r="M55" s="161"/>
      <c r="N55" s="161"/>
      <c r="O55" s="161"/>
      <c r="P55" s="161"/>
      <c r="Q55" s="161"/>
      <c r="R55" s="161"/>
      <c r="S55" s="161"/>
      <c r="T55" s="161"/>
      <c r="U55" s="161"/>
      <c r="V55" s="161"/>
      <c r="W55" s="161"/>
      <c r="X55" s="161"/>
      <c r="Y55" s="161"/>
      <c r="Z55" s="161"/>
      <c r="AA55" s="161"/>
      <c r="AB55" s="161"/>
      <c r="AC55" s="161"/>
      <c r="AD55" s="161"/>
      <c r="AE55" s="161"/>
      <c r="AF55" s="161"/>
      <c r="AG55" s="161"/>
      <c r="AH55" s="161"/>
      <c r="AI55" s="161"/>
      <c r="AJ55" s="161"/>
      <c r="AK55" s="161"/>
      <c r="AL55" s="161"/>
      <c r="AM55" s="161"/>
      <c r="AN55" s="161"/>
      <c r="AO55" s="161"/>
    </row>
    <row r="56" customFormat="false" ht="12.75" hidden="false" customHeight="true" outlineLevel="0" collapsed="false">
      <c r="A56" s="161"/>
      <c r="B56" s="161"/>
      <c r="C56" s="161"/>
      <c r="D56" s="161"/>
      <c r="E56" s="161"/>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row>
    <row r="57" customFormat="false" ht="12.75" hidden="false" customHeight="true" outlineLevel="0" collapsed="false">
      <c r="A57" s="161"/>
      <c r="B57" s="161"/>
      <c r="C57" s="161"/>
      <c r="D57" s="161"/>
      <c r="E57" s="161"/>
      <c r="F57" s="161"/>
      <c r="G57" s="161"/>
      <c r="H57" s="161"/>
      <c r="I57" s="161"/>
      <c r="J57" s="161"/>
      <c r="K57" s="161"/>
      <c r="L57" s="161"/>
      <c r="M57" s="161"/>
      <c r="N57" s="161"/>
      <c r="O57" s="161"/>
      <c r="P57" s="161"/>
      <c r="Q57" s="161"/>
      <c r="R57" s="161"/>
      <c r="S57" s="161"/>
      <c r="T57" s="161"/>
      <c r="U57" s="161"/>
      <c r="V57" s="161"/>
      <c r="W57" s="161"/>
      <c r="X57" s="161"/>
      <c r="Y57" s="161"/>
      <c r="Z57" s="161"/>
      <c r="AA57" s="161"/>
      <c r="AB57" s="161"/>
      <c r="AC57" s="161"/>
      <c r="AD57" s="161"/>
      <c r="AE57" s="161"/>
      <c r="AF57" s="161"/>
      <c r="AG57" s="161"/>
      <c r="AH57" s="161"/>
      <c r="AI57" s="161"/>
      <c r="AJ57" s="161"/>
      <c r="AK57" s="161"/>
      <c r="AL57" s="161"/>
      <c r="AM57" s="161"/>
      <c r="AN57" s="161"/>
      <c r="AO57" s="161"/>
    </row>
    <row r="58" customFormat="false" ht="12.75" hidden="false" customHeight="true" outlineLevel="0" collapsed="false">
      <c r="A58" s="161"/>
      <c r="B58" s="161"/>
      <c r="C58" s="161"/>
      <c r="D58" s="161"/>
      <c r="E58" s="161"/>
      <c r="F58" s="161"/>
      <c r="G58" s="161"/>
      <c r="H58" s="161"/>
      <c r="I58" s="161"/>
      <c r="J58" s="161"/>
      <c r="K58" s="161"/>
      <c r="L58" s="161"/>
      <c r="M58" s="161"/>
      <c r="N58" s="161"/>
      <c r="O58" s="161"/>
      <c r="P58" s="161"/>
      <c r="Q58" s="161"/>
      <c r="R58" s="161"/>
      <c r="S58" s="161"/>
      <c r="T58" s="161"/>
      <c r="U58" s="161"/>
      <c r="V58" s="161"/>
      <c r="W58" s="161"/>
      <c r="X58" s="161"/>
      <c r="Y58" s="161"/>
      <c r="Z58" s="161"/>
      <c r="AA58" s="161"/>
      <c r="AB58" s="161"/>
      <c r="AC58" s="161"/>
      <c r="AD58" s="161"/>
      <c r="AE58" s="161"/>
      <c r="AF58" s="161"/>
      <c r="AG58" s="161"/>
      <c r="AH58" s="161"/>
      <c r="AI58" s="161"/>
      <c r="AJ58" s="161"/>
      <c r="AK58" s="161"/>
      <c r="AL58" s="161"/>
      <c r="AM58" s="161"/>
      <c r="AN58" s="161"/>
      <c r="AO58" s="161"/>
    </row>
    <row r="59" customFormat="false" ht="12.75" hidden="false" customHeight="true" outlineLevel="0" collapsed="false">
      <c r="A59" s="161" t="s">
        <v>866</v>
      </c>
      <c r="B59" s="161"/>
      <c r="C59" s="161"/>
      <c r="D59" s="161"/>
      <c r="E59" s="161"/>
      <c r="F59" s="161"/>
      <c r="G59" s="161"/>
      <c r="H59" s="161"/>
      <c r="I59" s="161"/>
      <c r="J59" s="161"/>
      <c r="K59" s="161"/>
      <c r="L59" s="161"/>
      <c r="M59" s="161"/>
      <c r="N59" s="161"/>
      <c r="O59" s="161"/>
      <c r="P59" s="161"/>
      <c r="Q59" s="161"/>
      <c r="R59" s="161"/>
      <c r="S59" s="161"/>
      <c r="T59" s="161"/>
      <c r="U59" s="161"/>
      <c r="V59" s="161"/>
      <c r="W59" s="161"/>
      <c r="X59" s="161"/>
      <c r="Y59" s="161"/>
      <c r="Z59" s="161"/>
      <c r="AA59" s="161"/>
      <c r="AB59" s="161"/>
      <c r="AC59" s="161"/>
      <c r="AD59" s="161"/>
      <c r="AE59" s="161"/>
      <c r="AF59" s="161"/>
      <c r="AG59" s="161"/>
      <c r="AH59" s="161"/>
      <c r="AI59" s="161"/>
      <c r="AJ59" s="161"/>
      <c r="AK59" s="161"/>
      <c r="AL59" s="161"/>
      <c r="AM59" s="161"/>
      <c r="AN59" s="161"/>
      <c r="AO59" s="161"/>
    </row>
    <row r="60" customFormat="false" ht="12.75" hidden="false" customHeight="true" outlineLevel="0" collapsed="false">
      <c r="A60" s="161" t="n">
        <v>1</v>
      </c>
      <c r="B60" s="161"/>
      <c r="C60" s="161"/>
      <c r="D60" s="161" t="n">
        <f aca="false">IF(1&gt;=Scenarios!$J$3+Scenarios!$K$3,1,0)</f>
        <v>0</v>
      </c>
      <c r="E60" s="161" t="n">
        <f aca="false">IF(2&gt;=Scenarios!$J$3+Scenarios!$K$3,1,0)</f>
        <v>0</v>
      </c>
      <c r="F60" s="161" t="n">
        <f aca="false">IF(3&gt;=Scenarios!$J$3+Scenarios!$K$3,1,0)</f>
        <v>0</v>
      </c>
      <c r="G60" s="161" t="n">
        <f aca="false">IF(4&gt;=Scenarios!$J$3+Scenarios!$K$3,1,0)</f>
        <v>0</v>
      </c>
      <c r="H60" s="161" t="n">
        <f aca="false">IF(5&gt;=Scenarios!$J$3+Scenarios!$K$3,1,0)</f>
        <v>1</v>
      </c>
      <c r="I60" s="161" t="n">
        <f aca="false">IF(6&gt;=Scenarios!$J$3+Scenarios!$K$3,1,0)</f>
        <v>1</v>
      </c>
      <c r="J60" s="161" t="n">
        <f aca="false">IF(7&gt;=Scenarios!$J$3+Scenarios!$K$3,1,0)</f>
        <v>1</v>
      </c>
      <c r="K60" s="161" t="n">
        <f aca="false">IF(8&gt;=Scenarios!$J$3+Scenarios!$K$3,1,0)</f>
        <v>1</v>
      </c>
      <c r="L60" s="161" t="n">
        <f aca="false">IF(9&gt;=Scenarios!$J$3+Scenarios!$K$3,1,0)</f>
        <v>1</v>
      </c>
      <c r="M60" s="161" t="n">
        <f aca="false">IF(10&gt;=Scenarios!$J$3+Scenarios!$K$3,1,0)</f>
        <v>1</v>
      </c>
      <c r="N60" s="161" t="n">
        <f aca="false">IF(11&gt;=Scenarios!$J$3+Scenarios!$K$3,1,0)</f>
        <v>1</v>
      </c>
      <c r="O60" s="161" t="n">
        <f aca="false">IF(12&gt;=Scenarios!$J$3+Scenarios!$K$3,1,0)</f>
        <v>1</v>
      </c>
      <c r="P60" s="161" t="n">
        <f aca="false">IF(13&gt;=Scenarios!$J$3+Scenarios!$K$3,1,0)</f>
        <v>1</v>
      </c>
      <c r="Q60" s="161" t="n">
        <f aca="false">IF(14&gt;=Scenarios!$J$3+Scenarios!$K$3,1,0)</f>
        <v>1</v>
      </c>
      <c r="R60" s="161" t="n">
        <f aca="false">IF(15&gt;=Scenarios!$J$3+Scenarios!$K$3,1,0)</f>
        <v>1</v>
      </c>
      <c r="S60" s="161" t="n">
        <f aca="false">IF(16&gt;=Scenarios!$J$3+Scenarios!$K$3,1,0)</f>
        <v>1</v>
      </c>
      <c r="T60" s="161" t="n">
        <f aca="false">IF(17&gt;=Scenarios!$J$3+Scenarios!$K$3,1,0)</f>
        <v>1</v>
      </c>
      <c r="U60" s="161" t="n">
        <f aca="false">IF(18&gt;=Scenarios!$J$3+Scenarios!$K$3,1,0)</f>
        <v>1</v>
      </c>
      <c r="V60" s="161" t="n">
        <f aca="false">IF(19&gt;=Scenarios!$J$3+Scenarios!$K$3,1,0)</f>
        <v>1</v>
      </c>
      <c r="W60" s="161" t="n">
        <f aca="false">IF(20&gt;=Scenarios!$J$3+Scenarios!$K$3,1,0)</f>
        <v>1</v>
      </c>
      <c r="X60" s="161" t="n">
        <f aca="false">IF(21&gt;=Scenarios!$J$3+Scenarios!$K$3,1,0)</f>
        <v>1</v>
      </c>
      <c r="Y60" s="161" t="n">
        <f aca="false">IF(22&gt;=Scenarios!$J$3+Scenarios!$K$3,1,0)</f>
        <v>1</v>
      </c>
      <c r="Z60" s="161" t="n">
        <f aca="false">IF(23&gt;=Scenarios!$J$3+Scenarios!$K$3,1,0)</f>
        <v>1</v>
      </c>
      <c r="AA60" s="161" t="n">
        <f aca="false">IF(24&gt;=Scenarios!$J$3+Scenarios!$K$3,1,0)</f>
        <v>1</v>
      </c>
      <c r="AB60" s="161" t="n">
        <f aca="false">IF(25&gt;=Scenarios!$J$3+Scenarios!$K$3,1,0)</f>
        <v>1</v>
      </c>
      <c r="AC60" s="161" t="n">
        <f aca="false">IF(26&gt;=Scenarios!$J$3+Scenarios!$K$3,1,0)</f>
        <v>1</v>
      </c>
      <c r="AD60" s="161" t="n">
        <f aca="false">IF(27&gt;=Scenarios!$J$3+Scenarios!$K$3,1,0)</f>
        <v>1</v>
      </c>
      <c r="AE60" s="161" t="n">
        <f aca="false">IF(28&gt;=Scenarios!$J$3+Scenarios!$K$3,1,0)</f>
        <v>1</v>
      </c>
      <c r="AF60" s="161" t="n">
        <f aca="false">IF(29&gt;=Scenarios!$J$3+Scenarios!$K$3,1,0)</f>
        <v>1</v>
      </c>
      <c r="AG60" s="161" t="n">
        <f aca="false">IF(30&gt;=Scenarios!$J$3+Scenarios!$K$3,1,0)</f>
        <v>1</v>
      </c>
      <c r="AH60" s="161"/>
      <c r="AI60" s="161"/>
      <c r="AJ60" s="161"/>
      <c r="AK60" s="161"/>
      <c r="AL60" s="161"/>
      <c r="AM60" s="161"/>
      <c r="AN60" s="161"/>
      <c r="AO60" s="161"/>
    </row>
    <row r="61" customFormat="false" ht="12.75" hidden="false" customHeight="true" outlineLevel="0" collapsed="false">
      <c r="A61" s="161" t="n">
        <v>2</v>
      </c>
      <c r="B61" s="161"/>
      <c r="C61" s="161"/>
      <c r="D61" s="161" t="n">
        <f aca="false">IF(1&gt;=Scenarios!$J$4+Scenarios!$K$4,1,0)</f>
        <v>0</v>
      </c>
      <c r="E61" s="161" t="n">
        <f aca="false">IF(2&gt;=Scenarios!$J$4+Scenarios!$K$4,1,0)</f>
        <v>0</v>
      </c>
      <c r="F61" s="161" t="n">
        <f aca="false">IF(3&gt;=Scenarios!$J$4+Scenarios!$K$4,1,0)</f>
        <v>1</v>
      </c>
      <c r="G61" s="161" t="n">
        <f aca="false">IF(4&gt;=Scenarios!$J$4+Scenarios!$K$4,1,0)</f>
        <v>1</v>
      </c>
      <c r="H61" s="161" t="n">
        <f aca="false">IF(5&gt;=Scenarios!$J$4+Scenarios!$K$4,1,0)</f>
        <v>1</v>
      </c>
      <c r="I61" s="161" t="n">
        <f aca="false">IF(6&gt;=Scenarios!$J$4+Scenarios!$K$4,1,0)</f>
        <v>1</v>
      </c>
      <c r="J61" s="161" t="n">
        <f aca="false">IF(7&gt;=Scenarios!$J$4+Scenarios!$K$4,1,0)</f>
        <v>1</v>
      </c>
      <c r="K61" s="161" t="n">
        <f aca="false">IF(8&gt;=Scenarios!$J$4+Scenarios!$K$4,1,0)</f>
        <v>1</v>
      </c>
      <c r="L61" s="161" t="n">
        <f aca="false">IF(9&gt;=Scenarios!$J$4+Scenarios!$K$4,1,0)</f>
        <v>1</v>
      </c>
      <c r="M61" s="161" t="n">
        <f aca="false">IF(10&gt;=Scenarios!$J$4+Scenarios!$K$4,1,0)</f>
        <v>1</v>
      </c>
      <c r="N61" s="161" t="n">
        <f aca="false">IF(11&gt;=Scenarios!$J$4+Scenarios!$K$4,1,0)</f>
        <v>1</v>
      </c>
      <c r="O61" s="161" t="n">
        <f aca="false">IF(12&gt;=Scenarios!$J$4+Scenarios!$K$4,1,0)</f>
        <v>1</v>
      </c>
      <c r="P61" s="161" t="n">
        <f aca="false">IF(13&gt;=Scenarios!$J$4+Scenarios!$K$4,1,0)</f>
        <v>1</v>
      </c>
      <c r="Q61" s="161" t="n">
        <f aca="false">IF(14&gt;=Scenarios!$J$4+Scenarios!$K$4,1,0)</f>
        <v>1</v>
      </c>
      <c r="R61" s="161" t="n">
        <f aca="false">IF(15&gt;=Scenarios!$J$4+Scenarios!$K$4,1,0)</f>
        <v>1</v>
      </c>
      <c r="S61" s="161" t="n">
        <f aca="false">IF(16&gt;=Scenarios!$J$4+Scenarios!$K$4,1,0)</f>
        <v>1</v>
      </c>
      <c r="T61" s="161" t="n">
        <f aca="false">IF(17&gt;=Scenarios!$J$4+Scenarios!$K$4,1,0)</f>
        <v>1</v>
      </c>
      <c r="U61" s="161" t="n">
        <f aca="false">IF(18&gt;=Scenarios!$J$4+Scenarios!$K$4,1,0)</f>
        <v>1</v>
      </c>
      <c r="V61" s="161" t="n">
        <f aca="false">IF(19&gt;=Scenarios!$J$4+Scenarios!$K$4,1,0)</f>
        <v>1</v>
      </c>
      <c r="W61" s="161" t="n">
        <f aca="false">IF(20&gt;=Scenarios!$J$4+Scenarios!$K$4,1,0)</f>
        <v>1</v>
      </c>
      <c r="X61" s="161" t="n">
        <f aca="false">IF(21&gt;=Scenarios!$J$4+Scenarios!$K$4,1,0)</f>
        <v>1</v>
      </c>
      <c r="Y61" s="161" t="n">
        <f aca="false">IF(22&gt;=Scenarios!$J$4+Scenarios!$K$4,1,0)</f>
        <v>1</v>
      </c>
      <c r="Z61" s="161" t="n">
        <f aca="false">IF(23&gt;=Scenarios!$J$4+Scenarios!$K$4,1,0)</f>
        <v>1</v>
      </c>
      <c r="AA61" s="161" t="n">
        <f aca="false">IF(24&gt;=Scenarios!$J$4+Scenarios!$K$4,1,0)</f>
        <v>1</v>
      </c>
      <c r="AB61" s="161" t="n">
        <f aca="false">IF(25&gt;=Scenarios!$J$4+Scenarios!$K$4,1,0)</f>
        <v>1</v>
      </c>
      <c r="AC61" s="161" t="n">
        <f aca="false">IF(26&gt;=Scenarios!$J$4+Scenarios!$K$4,1,0)</f>
        <v>1</v>
      </c>
      <c r="AD61" s="161" t="n">
        <f aca="false">IF(27&gt;=Scenarios!$J$4+Scenarios!$K$4,1,0)</f>
        <v>1</v>
      </c>
      <c r="AE61" s="161" t="n">
        <f aca="false">IF(28&gt;=Scenarios!$J$4+Scenarios!$K$4,1,0)</f>
        <v>1</v>
      </c>
      <c r="AF61" s="161" t="n">
        <f aca="false">IF(29&gt;=Scenarios!$J$4+Scenarios!$K$4,1,0)</f>
        <v>1</v>
      </c>
      <c r="AG61" s="161" t="n">
        <f aca="false">IF(30&gt;=Scenarios!$J$4+Scenarios!$K$4,1,0)</f>
        <v>1</v>
      </c>
      <c r="AH61" s="161"/>
      <c r="AI61" s="161"/>
      <c r="AJ61" s="161"/>
      <c r="AK61" s="161"/>
      <c r="AL61" s="161"/>
      <c r="AM61" s="161"/>
      <c r="AN61" s="161"/>
      <c r="AO61" s="161"/>
    </row>
    <row r="62" customFormat="false" ht="12.75" hidden="false" customHeight="true" outlineLevel="0" collapsed="false">
      <c r="A62" s="161" t="n">
        <v>3</v>
      </c>
      <c r="B62" s="161"/>
      <c r="C62" s="161"/>
      <c r="D62" s="161" t="n">
        <f aca="false">IF(1&gt;=Scenarios!$J$5+Scenarios!$K$5,1,0)</f>
        <v>0</v>
      </c>
      <c r="E62" s="161" t="n">
        <f aca="false">IF(2&gt;=Scenarios!$J$5+Scenarios!$K$5,1,0)</f>
        <v>0</v>
      </c>
      <c r="F62" s="161" t="n">
        <f aca="false">IF(3&gt;=Scenarios!$J$5+Scenarios!$K$5,1,0)</f>
        <v>0</v>
      </c>
      <c r="G62" s="161" t="n">
        <f aca="false">IF(4&gt;=Scenarios!$J$5+Scenarios!$K$5,1,0)</f>
        <v>1</v>
      </c>
      <c r="H62" s="161" t="n">
        <f aca="false">IF(5&gt;=Scenarios!$J$5+Scenarios!$K$5,1,0)</f>
        <v>1</v>
      </c>
      <c r="I62" s="161" t="n">
        <f aca="false">IF(6&gt;=Scenarios!$J$5+Scenarios!$K$5,1,0)</f>
        <v>1</v>
      </c>
      <c r="J62" s="161" t="n">
        <f aca="false">IF(7&gt;=Scenarios!$J$5+Scenarios!$K$5,1,0)</f>
        <v>1</v>
      </c>
      <c r="K62" s="161" t="n">
        <f aca="false">IF(8&gt;=Scenarios!$J$5+Scenarios!$K$5,1,0)</f>
        <v>1</v>
      </c>
      <c r="L62" s="161" t="n">
        <f aca="false">IF(9&gt;=Scenarios!$J$5+Scenarios!$K$5,1,0)</f>
        <v>1</v>
      </c>
      <c r="M62" s="161" t="n">
        <f aca="false">IF(10&gt;=Scenarios!$J$5+Scenarios!$K$5,1,0)</f>
        <v>1</v>
      </c>
      <c r="N62" s="161" t="n">
        <f aca="false">IF(11&gt;=Scenarios!$J$5+Scenarios!$K$5,1,0)</f>
        <v>1</v>
      </c>
      <c r="O62" s="161" t="n">
        <f aca="false">IF(12&gt;=Scenarios!$J$5+Scenarios!$K$5,1,0)</f>
        <v>1</v>
      </c>
      <c r="P62" s="161" t="n">
        <f aca="false">IF(13&gt;=Scenarios!$J$5+Scenarios!$K$5,1,0)</f>
        <v>1</v>
      </c>
      <c r="Q62" s="161" t="n">
        <f aca="false">IF(14&gt;=Scenarios!$J$5+Scenarios!$K$5,1,0)</f>
        <v>1</v>
      </c>
      <c r="R62" s="161" t="n">
        <f aca="false">IF(15&gt;=Scenarios!$J$5+Scenarios!$K$5,1,0)</f>
        <v>1</v>
      </c>
      <c r="S62" s="161" t="n">
        <f aca="false">IF(16&gt;=Scenarios!$J$5+Scenarios!$K$5,1,0)</f>
        <v>1</v>
      </c>
      <c r="T62" s="161" t="n">
        <f aca="false">IF(17&gt;=Scenarios!$J$5+Scenarios!$K$5,1,0)</f>
        <v>1</v>
      </c>
      <c r="U62" s="161" t="n">
        <f aca="false">IF(18&gt;=Scenarios!$J$5+Scenarios!$K$5,1,0)</f>
        <v>1</v>
      </c>
      <c r="V62" s="161" t="n">
        <f aca="false">IF(19&gt;=Scenarios!$J$5+Scenarios!$K$5,1,0)</f>
        <v>1</v>
      </c>
      <c r="W62" s="161" t="n">
        <f aca="false">IF(20&gt;=Scenarios!$J$5+Scenarios!$K$5,1,0)</f>
        <v>1</v>
      </c>
      <c r="X62" s="161" t="n">
        <f aca="false">IF(21&gt;=Scenarios!$J$5+Scenarios!$K$5,1,0)</f>
        <v>1</v>
      </c>
      <c r="Y62" s="161" t="n">
        <f aca="false">IF(22&gt;=Scenarios!$J$5+Scenarios!$K$5,1,0)</f>
        <v>1</v>
      </c>
      <c r="Z62" s="161" t="n">
        <f aca="false">IF(23&gt;=Scenarios!$J$5+Scenarios!$K$5,1,0)</f>
        <v>1</v>
      </c>
      <c r="AA62" s="161" t="n">
        <f aca="false">IF(24&gt;=Scenarios!$J$5+Scenarios!$K$5,1,0)</f>
        <v>1</v>
      </c>
      <c r="AB62" s="161" t="n">
        <f aca="false">IF(25&gt;=Scenarios!$J$5+Scenarios!$K$5,1,0)</f>
        <v>1</v>
      </c>
      <c r="AC62" s="161" t="n">
        <f aca="false">IF(26&gt;=Scenarios!$J$5+Scenarios!$K$5,1,0)</f>
        <v>1</v>
      </c>
      <c r="AD62" s="161" t="n">
        <f aca="false">IF(27&gt;=Scenarios!$J$5+Scenarios!$K$5,1,0)</f>
        <v>1</v>
      </c>
      <c r="AE62" s="161" t="n">
        <f aca="false">IF(28&gt;=Scenarios!$J$5+Scenarios!$K$5,1,0)</f>
        <v>1</v>
      </c>
      <c r="AF62" s="161" t="n">
        <f aca="false">IF(29&gt;=Scenarios!$J$5+Scenarios!$K$5,1,0)</f>
        <v>1</v>
      </c>
      <c r="AG62" s="161" t="n">
        <f aca="false">IF(30&gt;=Scenarios!$J$5+Scenarios!$K$5,1,0)</f>
        <v>1</v>
      </c>
      <c r="AH62" s="161"/>
      <c r="AI62" s="161"/>
      <c r="AJ62" s="161"/>
      <c r="AK62" s="161"/>
      <c r="AL62" s="161"/>
      <c r="AM62" s="161"/>
      <c r="AN62" s="161"/>
      <c r="AO62" s="161"/>
    </row>
    <row r="63" customFormat="false" ht="12.75" hidden="false" customHeight="true" outlineLevel="0" collapsed="false">
      <c r="A63" s="161" t="n">
        <v>4</v>
      </c>
      <c r="B63" s="161"/>
      <c r="C63" s="161"/>
      <c r="D63" s="161" t="n">
        <f aca="false">IF(1&gt;=Scenarios!$J$6+Scenarios!$K$6,1,0)</f>
        <v>0</v>
      </c>
      <c r="E63" s="161" t="n">
        <f aca="false">IF(2&gt;=Scenarios!$J$6+Scenarios!$K$6,1,0)</f>
        <v>0</v>
      </c>
      <c r="F63" s="161" t="n">
        <f aca="false">IF(3&gt;=Scenarios!$J$6+Scenarios!$K$6,1,0)</f>
        <v>1</v>
      </c>
      <c r="G63" s="161" t="n">
        <f aca="false">IF(4&gt;=Scenarios!$J$6+Scenarios!$K$6,1,0)</f>
        <v>1</v>
      </c>
      <c r="H63" s="161" t="n">
        <f aca="false">IF(5&gt;=Scenarios!$J$6+Scenarios!$K$6,1,0)</f>
        <v>1</v>
      </c>
      <c r="I63" s="161" t="n">
        <f aca="false">IF(6&gt;=Scenarios!$J$6+Scenarios!$K$6,1,0)</f>
        <v>1</v>
      </c>
      <c r="J63" s="161" t="n">
        <f aca="false">IF(7&gt;=Scenarios!$J$6+Scenarios!$K$6,1,0)</f>
        <v>1</v>
      </c>
      <c r="K63" s="161" t="n">
        <f aca="false">IF(8&gt;=Scenarios!$J$6+Scenarios!$K$6,1,0)</f>
        <v>1</v>
      </c>
      <c r="L63" s="161" t="n">
        <f aca="false">IF(9&gt;=Scenarios!$J$6+Scenarios!$K$6,1,0)</f>
        <v>1</v>
      </c>
      <c r="M63" s="161" t="n">
        <f aca="false">IF(10&gt;=Scenarios!$J$6+Scenarios!$K$6,1,0)</f>
        <v>1</v>
      </c>
      <c r="N63" s="161" t="n">
        <f aca="false">IF(11&gt;=Scenarios!$J$6+Scenarios!$K$6,1,0)</f>
        <v>1</v>
      </c>
      <c r="O63" s="161" t="n">
        <f aca="false">IF(12&gt;=Scenarios!$J$6+Scenarios!$K$6,1,0)</f>
        <v>1</v>
      </c>
      <c r="P63" s="161" t="n">
        <f aca="false">IF(13&gt;=Scenarios!$J$6+Scenarios!$K$6,1,0)</f>
        <v>1</v>
      </c>
      <c r="Q63" s="161" t="n">
        <f aca="false">IF(14&gt;=Scenarios!$J$6+Scenarios!$K$6,1,0)</f>
        <v>1</v>
      </c>
      <c r="R63" s="161" t="n">
        <f aca="false">IF(15&gt;=Scenarios!$J$6+Scenarios!$K$6,1,0)</f>
        <v>1</v>
      </c>
      <c r="S63" s="161" t="n">
        <f aca="false">IF(16&gt;=Scenarios!$J$6+Scenarios!$K$6,1,0)</f>
        <v>1</v>
      </c>
      <c r="T63" s="161" t="n">
        <f aca="false">IF(17&gt;=Scenarios!$J$6+Scenarios!$K$6,1,0)</f>
        <v>1</v>
      </c>
      <c r="U63" s="161" t="n">
        <f aca="false">IF(18&gt;=Scenarios!$J$6+Scenarios!$K$6,1,0)</f>
        <v>1</v>
      </c>
      <c r="V63" s="161" t="n">
        <f aca="false">IF(19&gt;=Scenarios!$J$6+Scenarios!$K$6,1,0)</f>
        <v>1</v>
      </c>
      <c r="W63" s="161" t="n">
        <f aca="false">IF(20&gt;=Scenarios!$J$6+Scenarios!$K$6,1,0)</f>
        <v>1</v>
      </c>
      <c r="X63" s="161" t="n">
        <f aca="false">IF(21&gt;=Scenarios!$J$6+Scenarios!$K$6,1,0)</f>
        <v>1</v>
      </c>
      <c r="Y63" s="161" t="n">
        <f aca="false">IF(22&gt;=Scenarios!$J$6+Scenarios!$K$6,1,0)</f>
        <v>1</v>
      </c>
      <c r="Z63" s="161" t="n">
        <f aca="false">IF(23&gt;=Scenarios!$J$6+Scenarios!$K$6,1,0)</f>
        <v>1</v>
      </c>
      <c r="AA63" s="161" t="n">
        <f aca="false">IF(24&gt;=Scenarios!$J$6+Scenarios!$K$6,1,0)</f>
        <v>1</v>
      </c>
      <c r="AB63" s="161" t="n">
        <f aca="false">IF(25&gt;=Scenarios!$J$6+Scenarios!$K$6,1,0)</f>
        <v>1</v>
      </c>
      <c r="AC63" s="161" t="n">
        <f aca="false">IF(26&gt;=Scenarios!$J$6+Scenarios!$K$6,1,0)</f>
        <v>1</v>
      </c>
      <c r="AD63" s="161" t="n">
        <f aca="false">IF(27&gt;=Scenarios!$J$6+Scenarios!$K$6,1,0)</f>
        <v>1</v>
      </c>
      <c r="AE63" s="161" t="n">
        <f aca="false">IF(28&gt;=Scenarios!$J$6+Scenarios!$K$6,1,0)</f>
        <v>1</v>
      </c>
      <c r="AF63" s="161" t="n">
        <f aca="false">IF(29&gt;=Scenarios!$J$6+Scenarios!$K$6,1,0)</f>
        <v>1</v>
      </c>
      <c r="AG63" s="161" t="n">
        <f aca="false">IF(30&gt;=Scenarios!$J$6+Scenarios!$K$6,1,0)</f>
        <v>1</v>
      </c>
      <c r="AH63" s="161"/>
      <c r="AI63" s="161"/>
      <c r="AJ63" s="161"/>
      <c r="AK63" s="161"/>
      <c r="AL63" s="161"/>
      <c r="AM63" s="161"/>
      <c r="AN63" s="161"/>
      <c r="AO63" s="161"/>
    </row>
    <row r="64" customFormat="false" ht="12.75" hidden="false" customHeight="true" outlineLevel="0" collapsed="false">
      <c r="A64" s="161" t="n">
        <v>5</v>
      </c>
      <c r="B64" s="161"/>
      <c r="C64" s="161"/>
      <c r="D64" s="161" t="n">
        <f aca="false">IF(1&gt;=Scenarios!$J$7+Scenarios!$K$7,1,0)</f>
        <v>0</v>
      </c>
      <c r="E64" s="161" t="n">
        <f aca="false">IF(2&gt;=Scenarios!$J$7+Scenarios!$K$7,1,0)</f>
        <v>0</v>
      </c>
      <c r="F64" s="161" t="n">
        <f aca="false">IF(3&gt;=Scenarios!$J$7+Scenarios!$K$7,1,0)</f>
        <v>1</v>
      </c>
      <c r="G64" s="161" t="n">
        <f aca="false">IF(4&gt;=Scenarios!$J$7+Scenarios!$K$7,1,0)</f>
        <v>1</v>
      </c>
      <c r="H64" s="161" t="n">
        <f aca="false">IF(5&gt;=Scenarios!$J$7+Scenarios!$K$7,1,0)</f>
        <v>1</v>
      </c>
      <c r="I64" s="161" t="n">
        <f aca="false">IF(6&gt;=Scenarios!$J$7+Scenarios!$K$7,1,0)</f>
        <v>1</v>
      </c>
      <c r="J64" s="161" t="n">
        <f aca="false">IF(7&gt;=Scenarios!$J$7+Scenarios!$K$7,1,0)</f>
        <v>1</v>
      </c>
      <c r="K64" s="161" t="n">
        <f aca="false">IF(8&gt;=Scenarios!$J$7+Scenarios!$K$7,1,0)</f>
        <v>1</v>
      </c>
      <c r="L64" s="161" t="n">
        <f aca="false">IF(9&gt;=Scenarios!$J$7+Scenarios!$K$7,1,0)</f>
        <v>1</v>
      </c>
      <c r="M64" s="161" t="n">
        <f aca="false">IF(10&gt;=Scenarios!$J$7+Scenarios!$K$7,1,0)</f>
        <v>1</v>
      </c>
      <c r="N64" s="161" t="n">
        <f aca="false">IF(11&gt;=Scenarios!$J$7+Scenarios!$K$7,1,0)</f>
        <v>1</v>
      </c>
      <c r="O64" s="161" t="n">
        <f aca="false">IF(12&gt;=Scenarios!$J$7+Scenarios!$K$7,1,0)</f>
        <v>1</v>
      </c>
      <c r="P64" s="161" t="n">
        <f aca="false">IF(13&gt;=Scenarios!$J$7+Scenarios!$K$7,1,0)</f>
        <v>1</v>
      </c>
      <c r="Q64" s="161" t="n">
        <f aca="false">IF(14&gt;=Scenarios!$J$7+Scenarios!$K$7,1,0)</f>
        <v>1</v>
      </c>
      <c r="R64" s="161" t="n">
        <f aca="false">IF(15&gt;=Scenarios!$J$7+Scenarios!$K$7,1,0)</f>
        <v>1</v>
      </c>
      <c r="S64" s="161" t="n">
        <f aca="false">IF(16&gt;=Scenarios!$J$7+Scenarios!$K$7,1,0)</f>
        <v>1</v>
      </c>
      <c r="T64" s="161" t="n">
        <f aca="false">IF(17&gt;=Scenarios!$J$7+Scenarios!$K$7,1,0)</f>
        <v>1</v>
      </c>
      <c r="U64" s="161" t="n">
        <f aca="false">IF(18&gt;=Scenarios!$J$7+Scenarios!$K$7,1,0)</f>
        <v>1</v>
      </c>
      <c r="V64" s="161" t="n">
        <f aca="false">IF(19&gt;=Scenarios!$J$7+Scenarios!$K$7,1,0)</f>
        <v>1</v>
      </c>
      <c r="W64" s="161" t="n">
        <f aca="false">IF(20&gt;=Scenarios!$J$7+Scenarios!$K$7,1,0)</f>
        <v>1</v>
      </c>
      <c r="X64" s="161" t="n">
        <f aca="false">IF(21&gt;=Scenarios!$J$7+Scenarios!$K$7,1,0)</f>
        <v>1</v>
      </c>
      <c r="Y64" s="161" t="n">
        <f aca="false">IF(22&gt;=Scenarios!$J$7+Scenarios!$K$7,1,0)</f>
        <v>1</v>
      </c>
      <c r="Z64" s="161" t="n">
        <f aca="false">IF(23&gt;=Scenarios!$J$7+Scenarios!$K$7,1,0)</f>
        <v>1</v>
      </c>
      <c r="AA64" s="161" t="n">
        <f aca="false">IF(24&gt;=Scenarios!$J$7+Scenarios!$K$7,1,0)</f>
        <v>1</v>
      </c>
      <c r="AB64" s="161" t="n">
        <f aca="false">IF(25&gt;=Scenarios!$J$7+Scenarios!$K$7,1,0)</f>
        <v>1</v>
      </c>
      <c r="AC64" s="161" t="n">
        <f aca="false">IF(26&gt;=Scenarios!$J$7+Scenarios!$K$7,1,0)</f>
        <v>1</v>
      </c>
      <c r="AD64" s="161" t="n">
        <f aca="false">IF(27&gt;=Scenarios!$J$7+Scenarios!$K$7,1,0)</f>
        <v>1</v>
      </c>
      <c r="AE64" s="161" t="n">
        <f aca="false">IF(28&gt;=Scenarios!$J$7+Scenarios!$K$7,1,0)</f>
        <v>1</v>
      </c>
      <c r="AF64" s="161" t="n">
        <f aca="false">IF(29&gt;=Scenarios!$J$7+Scenarios!$K$7,1,0)</f>
        <v>1</v>
      </c>
      <c r="AG64" s="161" t="n">
        <f aca="false">IF(30&gt;=Scenarios!$J$7+Scenarios!$K$7,1,0)</f>
        <v>1</v>
      </c>
      <c r="AH64" s="161"/>
      <c r="AI64" s="161"/>
      <c r="AJ64" s="161"/>
      <c r="AK64" s="161"/>
      <c r="AL64" s="161"/>
      <c r="AM64" s="161"/>
      <c r="AN64" s="161"/>
      <c r="AO64" s="161"/>
    </row>
    <row r="65" customFormat="false" ht="12.75" hidden="false" customHeight="true" outlineLevel="0" collapsed="false">
      <c r="A65" s="161" t="n">
        <v>6</v>
      </c>
      <c r="B65" s="161"/>
      <c r="C65" s="161"/>
      <c r="D65" s="161" t="n">
        <f aca="false">IF(1&gt;=Scenarios!$J$8+Scenarios!$K$8,1,0)</f>
        <v>0</v>
      </c>
      <c r="E65" s="161" t="n">
        <f aca="false">IF(2&gt;=Scenarios!$J$8+Scenarios!$K$8,1,0)</f>
        <v>0</v>
      </c>
      <c r="F65" s="161" t="n">
        <f aca="false">IF(3&gt;=Scenarios!$J$8+Scenarios!$K$8,1,0)</f>
        <v>1</v>
      </c>
      <c r="G65" s="161" t="n">
        <f aca="false">IF(4&gt;=Scenarios!$J$8+Scenarios!$K$8,1,0)</f>
        <v>1</v>
      </c>
      <c r="H65" s="161" t="n">
        <f aca="false">IF(5&gt;=Scenarios!$J$8+Scenarios!$K$8,1,0)</f>
        <v>1</v>
      </c>
      <c r="I65" s="161" t="n">
        <f aca="false">IF(6&gt;=Scenarios!$J$8+Scenarios!$K$8,1,0)</f>
        <v>1</v>
      </c>
      <c r="J65" s="161" t="n">
        <f aca="false">IF(7&gt;=Scenarios!$J$8+Scenarios!$K$8,1,0)</f>
        <v>1</v>
      </c>
      <c r="K65" s="161" t="n">
        <f aca="false">IF(8&gt;=Scenarios!$J$8+Scenarios!$K$8,1,0)</f>
        <v>1</v>
      </c>
      <c r="L65" s="161" t="n">
        <f aca="false">IF(9&gt;=Scenarios!$J$8+Scenarios!$K$8,1,0)</f>
        <v>1</v>
      </c>
      <c r="M65" s="161" t="n">
        <f aca="false">IF(10&gt;=Scenarios!$J$8+Scenarios!$K$8,1,0)</f>
        <v>1</v>
      </c>
      <c r="N65" s="161" t="n">
        <f aca="false">IF(11&gt;=Scenarios!$J$8+Scenarios!$K$8,1,0)</f>
        <v>1</v>
      </c>
      <c r="O65" s="161" t="n">
        <f aca="false">IF(12&gt;=Scenarios!$J$8+Scenarios!$K$8,1,0)</f>
        <v>1</v>
      </c>
      <c r="P65" s="161" t="n">
        <f aca="false">IF(13&gt;=Scenarios!$J$8+Scenarios!$K$8,1,0)</f>
        <v>1</v>
      </c>
      <c r="Q65" s="161" t="n">
        <f aca="false">IF(14&gt;=Scenarios!$J$8+Scenarios!$K$8,1,0)</f>
        <v>1</v>
      </c>
      <c r="R65" s="161" t="n">
        <f aca="false">IF(15&gt;=Scenarios!$J$8+Scenarios!$K$8,1,0)</f>
        <v>1</v>
      </c>
      <c r="S65" s="161" t="n">
        <f aca="false">IF(16&gt;=Scenarios!$J$8+Scenarios!$K$8,1,0)</f>
        <v>1</v>
      </c>
      <c r="T65" s="161" t="n">
        <f aca="false">IF(17&gt;=Scenarios!$J$8+Scenarios!$K$8,1,0)</f>
        <v>1</v>
      </c>
      <c r="U65" s="161" t="n">
        <f aca="false">IF(18&gt;=Scenarios!$J$8+Scenarios!$K$8,1,0)</f>
        <v>1</v>
      </c>
      <c r="V65" s="161" t="n">
        <f aca="false">IF(19&gt;=Scenarios!$J$8+Scenarios!$K$8,1,0)</f>
        <v>1</v>
      </c>
      <c r="W65" s="161" t="n">
        <f aca="false">IF(20&gt;=Scenarios!$J$8+Scenarios!$K$8,1,0)</f>
        <v>1</v>
      </c>
      <c r="X65" s="161" t="n">
        <f aca="false">IF(21&gt;=Scenarios!$J$8+Scenarios!$K$8,1,0)</f>
        <v>1</v>
      </c>
      <c r="Y65" s="161" t="n">
        <f aca="false">IF(22&gt;=Scenarios!$J$8+Scenarios!$K$8,1,0)</f>
        <v>1</v>
      </c>
      <c r="Z65" s="161" t="n">
        <f aca="false">IF(23&gt;=Scenarios!$J$8+Scenarios!$K$8,1,0)</f>
        <v>1</v>
      </c>
      <c r="AA65" s="161" t="n">
        <f aca="false">IF(24&gt;=Scenarios!$J$8+Scenarios!$K$8,1,0)</f>
        <v>1</v>
      </c>
      <c r="AB65" s="161" t="n">
        <f aca="false">IF(25&gt;=Scenarios!$J$8+Scenarios!$K$8,1,0)</f>
        <v>1</v>
      </c>
      <c r="AC65" s="161" t="n">
        <f aca="false">IF(26&gt;=Scenarios!$J$8+Scenarios!$K$8,1,0)</f>
        <v>1</v>
      </c>
      <c r="AD65" s="161" t="n">
        <f aca="false">IF(27&gt;=Scenarios!$J$8+Scenarios!$K$8,1,0)</f>
        <v>1</v>
      </c>
      <c r="AE65" s="161" t="n">
        <f aca="false">IF(28&gt;=Scenarios!$J$8+Scenarios!$K$8,1,0)</f>
        <v>1</v>
      </c>
      <c r="AF65" s="161" t="n">
        <f aca="false">IF(29&gt;=Scenarios!$J$8+Scenarios!$K$8,1,0)</f>
        <v>1</v>
      </c>
      <c r="AG65" s="161" t="n">
        <f aca="false">IF(30&gt;=Scenarios!$J$8+Scenarios!$K$8,1,0)</f>
        <v>1</v>
      </c>
      <c r="AH65" s="161"/>
      <c r="AI65" s="161"/>
      <c r="AJ65" s="161"/>
      <c r="AK65" s="161"/>
      <c r="AL65" s="161"/>
      <c r="AM65" s="161"/>
      <c r="AN65" s="161"/>
      <c r="AO65" s="161"/>
    </row>
    <row r="66" customFormat="false" ht="12.75" hidden="false" customHeight="true" outlineLevel="0" collapsed="false">
      <c r="A66" s="161" t="n">
        <v>7</v>
      </c>
      <c r="B66" s="161"/>
      <c r="C66" s="161"/>
      <c r="D66" s="161" t="n">
        <f aca="false">IF(1&gt;=Scenarios!$J$9+Scenarios!$K$9,1,0)</f>
        <v>0</v>
      </c>
      <c r="E66" s="161" t="n">
        <f aca="false">IF(2&gt;=Scenarios!$J$9+Scenarios!$K$9,1,0)</f>
        <v>0</v>
      </c>
      <c r="F66" s="161" t="n">
        <f aca="false">IF(3&gt;=Scenarios!$J$9+Scenarios!$K$9,1,0)</f>
        <v>1</v>
      </c>
      <c r="G66" s="161" t="n">
        <f aca="false">IF(4&gt;=Scenarios!$J$9+Scenarios!$K$9,1,0)</f>
        <v>1</v>
      </c>
      <c r="H66" s="161" t="n">
        <f aca="false">IF(5&gt;=Scenarios!$J$9+Scenarios!$K$9,1,0)</f>
        <v>1</v>
      </c>
      <c r="I66" s="161" t="n">
        <f aca="false">IF(6&gt;=Scenarios!$J$9+Scenarios!$K$9,1,0)</f>
        <v>1</v>
      </c>
      <c r="J66" s="161" t="n">
        <f aca="false">IF(7&gt;=Scenarios!$J$9+Scenarios!$K$9,1,0)</f>
        <v>1</v>
      </c>
      <c r="K66" s="161" t="n">
        <f aca="false">IF(8&gt;=Scenarios!$J$9+Scenarios!$K$9,1,0)</f>
        <v>1</v>
      </c>
      <c r="L66" s="161" t="n">
        <f aca="false">IF(9&gt;=Scenarios!$J$9+Scenarios!$K$9,1,0)</f>
        <v>1</v>
      </c>
      <c r="M66" s="161" t="n">
        <f aca="false">IF(10&gt;=Scenarios!$J$9+Scenarios!$K$9,1,0)</f>
        <v>1</v>
      </c>
      <c r="N66" s="161" t="n">
        <f aca="false">IF(11&gt;=Scenarios!$J$9+Scenarios!$K$9,1,0)</f>
        <v>1</v>
      </c>
      <c r="O66" s="161" t="n">
        <f aca="false">IF(12&gt;=Scenarios!$J$9+Scenarios!$K$9,1,0)</f>
        <v>1</v>
      </c>
      <c r="P66" s="161" t="n">
        <f aca="false">IF(13&gt;=Scenarios!$J$9+Scenarios!$K$9,1,0)</f>
        <v>1</v>
      </c>
      <c r="Q66" s="161" t="n">
        <f aca="false">IF(14&gt;=Scenarios!$J$9+Scenarios!$K$9,1,0)</f>
        <v>1</v>
      </c>
      <c r="R66" s="161" t="n">
        <f aca="false">IF(15&gt;=Scenarios!$J$9+Scenarios!$K$9,1,0)</f>
        <v>1</v>
      </c>
      <c r="S66" s="161" t="n">
        <f aca="false">IF(16&gt;=Scenarios!$J$9+Scenarios!$K$9,1,0)</f>
        <v>1</v>
      </c>
      <c r="T66" s="161" t="n">
        <f aca="false">IF(17&gt;=Scenarios!$J$9+Scenarios!$K$9,1,0)</f>
        <v>1</v>
      </c>
      <c r="U66" s="161" t="n">
        <f aca="false">IF(18&gt;=Scenarios!$J$9+Scenarios!$K$9,1,0)</f>
        <v>1</v>
      </c>
      <c r="V66" s="161" t="n">
        <f aca="false">IF(19&gt;=Scenarios!$J$9+Scenarios!$K$9,1,0)</f>
        <v>1</v>
      </c>
      <c r="W66" s="161" t="n">
        <f aca="false">IF(20&gt;=Scenarios!$J$9+Scenarios!$K$9,1,0)</f>
        <v>1</v>
      </c>
      <c r="X66" s="161" t="n">
        <f aca="false">IF(21&gt;=Scenarios!$J$9+Scenarios!$K$9,1,0)</f>
        <v>1</v>
      </c>
      <c r="Y66" s="161" t="n">
        <f aca="false">IF(22&gt;=Scenarios!$J$9+Scenarios!$K$9,1,0)</f>
        <v>1</v>
      </c>
      <c r="Z66" s="161" t="n">
        <f aca="false">IF(23&gt;=Scenarios!$J$9+Scenarios!$K$9,1,0)</f>
        <v>1</v>
      </c>
      <c r="AA66" s="161" t="n">
        <f aca="false">IF(24&gt;=Scenarios!$J$9+Scenarios!$K$9,1,0)</f>
        <v>1</v>
      </c>
      <c r="AB66" s="161" t="n">
        <f aca="false">IF(25&gt;=Scenarios!$J$9+Scenarios!$K$9,1,0)</f>
        <v>1</v>
      </c>
      <c r="AC66" s="161" t="n">
        <f aca="false">IF(26&gt;=Scenarios!$J$9+Scenarios!$K$9,1,0)</f>
        <v>1</v>
      </c>
      <c r="AD66" s="161" t="n">
        <f aca="false">IF(27&gt;=Scenarios!$J$9+Scenarios!$K$9,1,0)</f>
        <v>1</v>
      </c>
      <c r="AE66" s="161" t="n">
        <f aca="false">IF(28&gt;=Scenarios!$J$9+Scenarios!$K$9,1,0)</f>
        <v>1</v>
      </c>
      <c r="AF66" s="161" t="n">
        <f aca="false">IF(29&gt;=Scenarios!$J$9+Scenarios!$K$9,1,0)</f>
        <v>1</v>
      </c>
      <c r="AG66" s="161" t="n">
        <f aca="false">IF(30&gt;=Scenarios!$J$9+Scenarios!$K$9,1,0)</f>
        <v>1</v>
      </c>
      <c r="AH66" s="161"/>
      <c r="AI66" s="161"/>
      <c r="AJ66" s="161"/>
      <c r="AK66" s="161"/>
      <c r="AL66" s="161"/>
      <c r="AM66" s="161"/>
      <c r="AN66" s="161"/>
      <c r="AO66" s="161"/>
    </row>
    <row r="67" customFormat="false" ht="12.75" hidden="false" customHeight="true" outlineLevel="0" collapsed="false">
      <c r="A67" s="161" t="n">
        <v>8</v>
      </c>
      <c r="B67" s="161"/>
      <c r="C67" s="161"/>
      <c r="D67" s="161" t="n">
        <f aca="false">IF(1&gt;=Scenarios!$J$10+Scenarios!$K$10,1,0)</f>
        <v>0</v>
      </c>
      <c r="E67" s="161" t="n">
        <f aca="false">IF(2&gt;=Scenarios!$J$10+Scenarios!$K$10,1,0)</f>
        <v>0</v>
      </c>
      <c r="F67" s="161" t="n">
        <f aca="false">IF(3&gt;=Scenarios!$J$10+Scenarios!$K$10,1,0)</f>
        <v>1</v>
      </c>
      <c r="G67" s="161" t="n">
        <f aca="false">IF(4&gt;=Scenarios!$J$10+Scenarios!$K$10,1,0)</f>
        <v>1</v>
      </c>
      <c r="H67" s="161" t="n">
        <f aca="false">IF(5&gt;=Scenarios!$J$10+Scenarios!$K$10,1,0)</f>
        <v>1</v>
      </c>
      <c r="I67" s="161" t="n">
        <f aca="false">IF(6&gt;=Scenarios!$J$10+Scenarios!$K$10,1,0)</f>
        <v>1</v>
      </c>
      <c r="J67" s="161" t="n">
        <f aca="false">IF(7&gt;=Scenarios!$J$10+Scenarios!$K$10,1,0)</f>
        <v>1</v>
      </c>
      <c r="K67" s="161" t="n">
        <f aca="false">IF(8&gt;=Scenarios!$J$10+Scenarios!$K$10,1,0)</f>
        <v>1</v>
      </c>
      <c r="L67" s="161" t="n">
        <f aca="false">IF(9&gt;=Scenarios!$J$10+Scenarios!$K$10,1,0)</f>
        <v>1</v>
      </c>
      <c r="M67" s="161" t="n">
        <f aca="false">IF(10&gt;=Scenarios!$J$10+Scenarios!$K$10,1,0)</f>
        <v>1</v>
      </c>
      <c r="N67" s="161" t="n">
        <f aca="false">IF(11&gt;=Scenarios!$J$10+Scenarios!$K$10,1,0)</f>
        <v>1</v>
      </c>
      <c r="O67" s="161" t="n">
        <f aca="false">IF(12&gt;=Scenarios!$J$10+Scenarios!$K$10,1,0)</f>
        <v>1</v>
      </c>
      <c r="P67" s="161" t="n">
        <f aca="false">IF(13&gt;=Scenarios!$J$10+Scenarios!$K$10,1,0)</f>
        <v>1</v>
      </c>
      <c r="Q67" s="161" t="n">
        <f aca="false">IF(14&gt;=Scenarios!$J$10+Scenarios!$K$10,1,0)</f>
        <v>1</v>
      </c>
      <c r="R67" s="161" t="n">
        <f aca="false">IF(15&gt;=Scenarios!$J$10+Scenarios!$K$10,1,0)</f>
        <v>1</v>
      </c>
      <c r="S67" s="161" t="n">
        <f aca="false">IF(16&gt;=Scenarios!$J$10+Scenarios!$K$10,1,0)</f>
        <v>1</v>
      </c>
      <c r="T67" s="161" t="n">
        <f aca="false">IF(17&gt;=Scenarios!$J$10+Scenarios!$K$10,1,0)</f>
        <v>1</v>
      </c>
      <c r="U67" s="161" t="n">
        <f aca="false">IF(18&gt;=Scenarios!$J$10+Scenarios!$K$10,1,0)</f>
        <v>1</v>
      </c>
      <c r="V67" s="161" t="n">
        <f aca="false">IF(19&gt;=Scenarios!$J$10+Scenarios!$K$10,1,0)</f>
        <v>1</v>
      </c>
      <c r="W67" s="161" t="n">
        <f aca="false">IF(20&gt;=Scenarios!$J$10+Scenarios!$K$10,1,0)</f>
        <v>1</v>
      </c>
      <c r="X67" s="161" t="n">
        <f aca="false">IF(21&gt;=Scenarios!$J$10+Scenarios!$K$10,1,0)</f>
        <v>1</v>
      </c>
      <c r="Y67" s="161" t="n">
        <f aca="false">IF(22&gt;=Scenarios!$J$10+Scenarios!$K$10,1,0)</f>
        <v>1</v>
      </c>
      <c r="Z67" s="161" t="n">
        <f aca="false">IF(23&gt;=Scenarios!$J$10+Scenarios!$K$10,1,0)</f>
        <v>1</v>
      </c>
      <c r="AA67" s="161" t="n">
        <f aca="false">IF(24&gt;=Scenarios!$J$10+Scenarios!$K$10,1,0)</f>
        <v>1</v>
      </c>
      <c r="AB67" s="161" t="n">
        <f aca="false">IF(25&gt;=Scenarios!$J$10+Scenarios!$K$10,1,0)</f>
        <v>1</v>
      </c>
      <c r="AC67" s="161" t="n">
        <f aca="false">IF(26&gt;=Scenarios!$J$10+Scenarios!$K$10,1,0)</f>
        <v>1</v>
      </c>
      <c r="AD67" s="161" t="n">
        <f aca="false">IF(27&gt;=Scenarios!$J$10+Scenarios!$K$10,1,0)</f>
        <v>1</v>
      </c>
      <c r="AE67" s="161" t="n">
        <f aca="false">IF(28&gt;=Scenarios!$J$10+Scenarios!$K$10,1,0)</f>
        <v>1</v>
      </c>
      <c r="AF67" s="161" t="n">
        <f aca="false">IF(29&gt;=Scenarios!$J$10+Scenarios!$K$10,1,0)</f>
        <v>1</v>
      </c>
      <c r="AG67" s="161" t="n">
        <f aca="false">IF(30&gt;=Scenarios!$J$10+Scenarios!$K$10,1,0)</f>
        <v>1</v>
      </c>
      <c r="AH67" s="161"/>
      <c r="AI67" s="161"/>
      <c r="AJ67" s="161"/>
      <c r="AK67" s="161"/>
      <c r="AL67" s="161"/>
      <c r="AM67" s="161"/>
      <c r="AN67" s="161"/>
      <c r="AO67" s="161"/>
    </row>
    <row r="68" customFormat="false" ht="12.75" hidden="false" customHeight="true" outlineLevel="0" collapsed="false">
      <c r="A68" s="161" t="n">
        <v>9</v>
      </c>
      <c r="B68" s="161"/>
      <c r="C68" s="161"/>
      <c r="D68" s="161" t="n">
        <f aca="false">IF(1&gt;=Scenarios!$J$11+Scenarios!$K$11,1,0)</f>
        <v>0</v>
      </c>
      <c r="E68" s="161" t="n">
        <f aca="false">IF(2&gt;=Scenarios!$J$11+Scenarios!$K$11,1,0)</f>
        <v>0</v>
      </c>
      <c r="F68" s="161" t="n">
        <f aca="false">IF(3&gt;=Scenarios!$J$11+Scenarios!$K$11,1,0)</f>
        <v>1</v>
      </c>
      <c r="G68" s="161" t="n">
        <f aca="false">IF(4&gt;=Scenarios!$J$11+Scenarios!$K$11,1,0)</f>
        <v>1</v>
      </c>
      <c r="H68" s="161" t="n">
        <f aca="false">IF(5&gt;=Scenarios!$J$11+Scenarios!$K$11,1,0)</f>
        <v>1</v>
      </c>
      <c r="I68" s="161" t="n">
        <f aca="false">IF(6&gt;=Scenarios!$J$11+Scenarios!$K$11,1,0)</f>
        <v>1</v>
      </c>
      <c r="J68" s="161" t="n">
        <f aca="false">IF(7&gt;=Scenarios!$J$11+Scenarios!$K$11,1,0)</f>
        <v>1</v>
      </c>
      <c r="K68" s="161" t="n">
        <f aca="false">IF(8&gt;=Scenarios!$J$11+Scenarios!$K$11,1,0)</f>
        <v>1</v>
      </c>
      <c r="L68" s="161" t="n">
        <f aca="false">IF(9&gt;=Scenarios!$J$11+Scenarios!$K$11,1,0)</f>
        <v>1</v>
      </c>
      <c r="M68" s="161" t="n">
        <f aca="false">IF(10&gt;=Scenarios!$J$11+Scenarios!$K$11,1,0)</f>
        <v>1</v>
      </c>
      <c r="N68" s="161" t="n">
        <f aca="false">IF(11&gt;=Scenarios!$J$11+Scenarios!$K$11,1,0)</f>
        <v>1</v>
      </c>
      <c r="O68" s="161" t="n">
        <f aca="false">IF(12&gt;=Scenarios!$J$11+Scenarios!$K$11,1,0)</f>
        <v>1</v>
      </c>
      <c r="P68" s="161" t="n">
        <f aca="false">IF(13&gt;=Scenarios!$J$11+Scenarios!$K$11,1,0)</f>
        <v>1</v>
      </c>
      <c r="Q68" s="161" t="n">
        <f aca="false">IF(14&gt;=Scenarios!$J$11+Scenarios!$K$11,1,0)</f>
        <v>1</v>
      </c>
      <c r="R68" s="161" t="n">
        <f aca="false">IF(15&gt;=Scenarios!$J$11+Scenarios!$K$11,1,0)</f>
        <v>1</v>
      </c>
      <c r="S68" s="161" t="n">
        <f aca="false">IF(16&gt;=Scenarios!$J$11+Scenarios!$K$11,1,0)</f>
        <v>1</v>
      </c>
      <c r="T68" s="161" t="n">
        <f aca="false">IF(17&gt;=Scenarios!$J$11+Scenarios!$K$11,1,0)</f>
        <v>1</v>
      </c>
      <c r="U68" s="161" t="n">
        <f aca="false">IF(18&gt;=Scenarios!$J$11+Scenarios!$K$11,1,0)</f>
        <v>1</v>
      </c>
      <c r="V68" s="161" t="n">
        <f aca="false">IF(19&gt;=Scenarios!$J$11+Scenarios!$K$11,1,0)</f>
        <v>1</v>
      </c>
      <c r="W68" s="161" t="n">
        <f aca="false">IF(20&gt;=Scenarios!$J$11+Scenarios!$K$11,1,0)</f>
        <v>1</v>
      </c>
      <c r="X68" s="161" t="n">
        <f aca="false">IF(21&gt;=Scenarios!$J$11+Scenarios!$K$11,1,0)</f>
        <v>1</v>
      </c>
      <c r="Y68" s="161" t="n">
        <f aca="false">IF(22&gt;=Scenarios!$J$11+Scenarios!$K$11,1,0)</f>
        <v>1</v>
      </c>
      <c r="Z68" s="161" t="n">
        <f aca="false">IF(23&gt;=Scenarios!$J$11+Scenarios!$K$11,1,0)</f>
        <v>1</v>
      </c>
      <c r="AA68" s="161" t="n">
        <f aca="false">IF(24&gt;=Scenarios!$J$11+Scenarios!$K$11,1,0)</f>
        <v>1</v>
      </c>
      <c r="AB68" s="161" t="n">
        <f aca="false">IF(25&gt;=Scenarios!$J$11+Scenarios!$K$11,1,0)</f>
        <v>1</v>
      </c>
      <c r="AC68" s="161" t="n">
        <f aca="false">IF(26&gt;=Scenarios!$J$11+Scenarios!$K$11,1,0)</f>
        <v>1</v>
      </c>
      <c r="AD68" s="161" t="n">
        <f aca="false">IF(27&gt;=Scenarios!$J$11+Scenarios!$K$11,1,0)</f>
        <v>1</v>
      </c>
      <c r="AE68" s="161" t="n">
        <f aca="false">IF(28&gt;=Scenarios!$J$11+Scenarios!$K$11,1,0)</f>
        <v>1</v>
      </c>
      <c r="AF68" s="161" t="n">
        <f aca="false">IF(29&gt;=Scenarios!$J$11+Scenarios!$K$11,1,0)</f>
        <v>1</v>
      </c>
      <c r="AG68" s="161" t="n">
        <f aca="false">IF(30&gt;=Scenarios!$J$11+Scenarios!$K$11,1,0)</f>
        <v>1</v>
      </c>
      <c r="AH68" s="161"/>
      <c r="AI68" s="161"/>
      <c r="AJ68" s="161"/>
      <c r="AK68" s="161"/>
      <c r="AL68" s="161"/>
      <c r="AM68" s="161"/>
      <c r="AN68" s="161"/>
      <c r="AO68" s="161"/>
    </row>
    <row r="69" customFormat="false" ht="12.75" hidden="false" customHeight="true" outlineLevel="0" collapsed="false">
      <c r="A69" s="161" t="n">
        <v>10</v>
      </c>
      <c r="B69" s="161"/>
      <c r="C69" s="161"/>
      <c r="D69" s="161" t="n">
        <f aca="false">IF(1&gt;=Scenarios!$J$12+Scenarios!$K$12,1,0)</f>
        <v>0</v>
      </c>
      <c r="E69" s="161" t="n">
        <f aca="false">IF(2&gt;=Scenarios!$J$12+Scenarios!$K$12,1,0)</f>
        <v>0</v>
      </c>
      <c r="F69" s="161" t="n">
        <f aca="false">IF(3&gt;=Scenarios!$J$12+Scenarios!$K$12,1,0)</f>
        <v>1</v>
      </c>
      <c r="G69" s="161" t="n">
        <f aca="false">IF(4&gt;=Scenarios!$J$12+Scenarios!$K$12,1,0)</f>
        <v>1</v>
      </c>
      <c r="H69" s="161" t="n">
        <f aca="false">IF(5&gt;=Scenarios!$J$12+Scenarios!$K$12,1,0)</f>
        <v>1</v>
      </c>
      <c r="I69" s="161" t="n">
        <f aca="false">IF(6&gt;=Scenarios!$J$12+Scenarios!$K$12,1,0)</f>
        <v>1</v>
      </c>
      <c r="J69" s="161" t="n">
        <f aca="false">IF(7&gt;=Scenarios!$J$12+Scenarios!$K$12,1,0)</f>
        <v>1</v>
      </c>
      <c r="K69" s="161" t="n">
        <f aca="false">IF(8&gt;=Scenarios!$J$12+Scenarios!$K$12,1,0)</f>
        <v>1</v>
      </c>
      <c r="L69" s="161" t="n">
        <f aca="false">IF(9&gt;=Scenarios!$J$12+Scenarios!$K$12,1,0)</f>
        <v>1</v>
      </c>
      <c r="M69" s="161" t="n">
        <f aca="false">IF(10&gt;=Scenarios!$J$12+Scenarios!$K$12,1,0)</f>
        <v>1</v>
      </c>
      <c r="N69" s="161" t="n">
        <f aca="false">IF(11&gt;=Scenarios!$J$12+Scenarios!$K$12,1,0)</f>
        <v>1</v>
      </c>
      <c r="O69" s="161" t="n">
        <f aca="false">IF(12&gt;=Scenarios!$J$12+Scenarios!$K$12,1,0)</f>
        <v>1</v>
      </c>
      <c r="P69" s="161" t="n">
        <f aca="false">IF(13&gt;=Scenarios!$J$12+Scenarios!$K$12,1,0)</f>
        <v>1</v>
      </c>
      <c r="Q69" s="161" t="n">
        <f aca="false">IF(14&gt;=Scenarios!$J$12+Scenarios!$K$12,1,0)</f>
        <v>1</v>
      </c>
      <c r="R69" s="161" t="n">
        <f aca="false">IF(15&gt;=Scenarios!$J$12+Scenarios!$K$12,1,0)</f>
        <v>1</v>
      </c>
      <c r="S69" s="161" t="n">
        <f aca="false">IF(16&gt;=Scenarios!$J$12+Scenarios!$K$12,1,0)</f>
        <v>1</v>
      </c>
      <c r="T69" s="161" t="n">
        <f aca="false">IF(17&gt;=Scenarios!$J$12+Scenarios!$K$12,1,0)</f>
        <v>1</v>
      </c>
      <c r="U69" s="161" t="n">
        <f aca="false">IF(18&gt;=Scenarios!$J$12+Scenarios!$K$12,1,0)</f>
        <v>1</v>
      </c>
      <c r="V69" s="161" t="n">
        <f aca="false">IF(19&gt;=Scenarios!$J$12+Scenarios!$K$12,1,0)</f>
        <v>1</v>
      </c>
      <c r="W69" s="161" t="n">
        <f aca="false">IF(20&gt;=Scenarios!$J$12+Scenarios!$K$12,1,0)</f>
        <v>1</v>
      </c>
      <c r="X69" s="161" t="n">
        <f aca="false">IF(21&gt;=Scenarios!$J$12+Scenarios!$K$12,1,0)</f>
        <v>1</v>
      </c>
      <c r="Y69" s="161" t="n">
        <f aca="false">IF(22&gt;=Scenarios!$J$12+Scenarios!$K$12,1,0)</f>
        <v>1</v>
      </c>
      <c r="Z69" s="161" t="n">
        <f aca="false">IF(23&gt;=Scenarios!$J$12+Scenarios!$K$12,1,0)</f>
        <v>1</v>
      </c>
      <c r="AA69" s="161" t="n">
        <f aca="false">IF(24&gt;=Scenarios!$J$12+Scenarios!$K$12,1,0)</f>
        <v>1</v>
      </c>
      <c r="AB69" s="161" t="n">
        <f aca="false">IF(25&gt;=Scenarios!$J$12+Scenarios!$K$12,1,0)</f>
        <v>1</v>
      </c>
      <c r="AC69" s="161" t="n">
        <f aca="false">IF(26&gt;=Scenarios!$J$12+Scenarios!$K$12,1,0)</f>
        <v>1</v>
      </c>
      <c r="AD69" s="161" t="n">
        <f aca="false">IF(27&gt;=Scenarios!$J$12+Scenarios!$K$12,1,0)</f>
        <v>1</v>
      </c>
      <c r="AE69" s="161" t="n">
        <f aca="false">IF(28&gt;=Scenarios!$J$12+Scenarios!$K$12,1,0)</f>
        <v>1</v>
      </c>
      <c r="AF69" s="161" t="n">
        <f aca="false">IF(29&gt;=Scenarios!$J$12+Scenarios!$K$12,1,0)</f>
        <v>1</v>
      </c>
      <c r="AG69" s="161" t="n">
        <f aca="false">IF(30&gt;=Scenarios!$J$12+Scenarios!$K$12,1,0)</f>
        <v>1</v>
      </c>
      <c r="AH69" s="161"/>
      <c r="AI69" s="161"/>
      <c r="AJ69" s="161"/>
      <c r="AK69" s="161"/>
      <c r="AL69" s="161"/>
      <c r="AM69" s="161"/>
      <c r="AN69" s="161"/>
      <c r="AO69" s="161"/>
    </row>
    <row r="70" customFormat="false" ht="12.75" hidden="false" customHeight="true" outlineLevel="0" collapsed="false">
      <c r="A70" s="161" t="n">
        <v>11</v>
      </c>
      <c r="B70" s="161"/>
      <c r="C70" s="161"/>
      <c r="D70" s="161" t="n">
        <f aca="false">IF(1&gt;=Scenarios!$J$13+Scenarios!$K$13,1,0)</f>
        <v>0</v>
      </c>
      <c r="E70" s="161" t="n">
        <f aca="false">IF(2&gt;=Scenarios!$J$13+Scenarios!$K$13,1,0)</f>
        <v>0</v>
      </c>
      <c r="F70" s="161" t="n">
        <f aca="false">IF(3&gt;=Scenarios!$J$13+Scenarios!$K$13,1,0)</f>
        <v>1</v>
      </c>
      <c r="G70" s="161" t="n">
        <f aca="false">IF(4&gt;=Scenarios!$J$13+Scenarios!$K$13,1,0)</f>
        <v>1</v>
      </c>
      <c r="H70" s="161" t="n">
        <f aca="false">IF(5&gt;=Scenarios!$J$13+Scenarios!$K$13,1,0)</f>
        <v>1</v>
      </c>
      <c r="I70" s="161" t="n">
        <f aca="false">IF(6&gt;=Scenarios!$J$13+Scenarios!$K$13,1,0)</f>
        <v>1</v>
      </c>
      <c r="J70" s="161" t="n">
        <f aca="false">IF(7&gt;=Scenarios!$J$13+Scenarios!$K$13,1,0)</f>
        <v>1</v>
      </c>
      <c r="K70" s="161" t="n">
        <f aca="false">IF(8&gt;=Scenarios!$J$13+Scenarios!$K$13,1,0)</f>
        <v>1</v>
      </c>
      <c r="L70" s="161" t="n">
        <f aca="false">IF(9&gt;=Scenarios!$J$13+Scenarios!$K$13,1,0)</f>
        <v>1</v>
      </c>
      <c r="M70" s="161" t="n">
        <f aca="false">IF(10&gt;=Scenarios!$J$13+Scenarios!$K$13,1,0)</f>
        <v>1</v>
      </c>
      <c r="N70" s="161" t="n">
        <f aca="false">IF(11&gt;=Scenarios!$J$13+Scenarios!$K$13,1,0)</f>
        <v>1</v>
      </c>
      <c r="O70" s="161" t="n">
        <f aca="false">IF(12&gt;=Scenarios!$J$13+Scenarios!$K$13,1,0)</f>
        <v>1</v>
      </c>
      <c r="P70" s="161" t="n">
        <f aca="false">IF(13&gt;=Scenarios!$J$13+Scenarios!$K$13,1,0)</f>
        <v>1</v>
      </c>
      <c r="Q70" s="161" t="n">
        <f aca="false">IF(14&gt;=Scenarios!$J$13+Scenarios!$K$13,1,0)</f>
        <v>1</v>
      </c>
      <c r="R70" s="161" t="n">
        <f aca="false">IF(15&gt;=Scenarios!$J$13+Scenarios!$K$13,1,0)</f>
        <v>1</v>
      </c>
      <c r="S70" s="161" t="n">
        <f aca="false">IF(16&gt;=Scenarios!$J$13+Scenarios!$K$13,1,0)</f>
        <v>1</v>
      </c>
      <c r="T70" s="161" t="n">
        <f aca="false">IF(17&gt;=Scenarios!$J$13+Scenarios!$K$13,1,0)</f>
        <v>1</v>
      </c>
      <c r="U70" s="161" t="n">
        <f aca="false">IF(18&gt;=Scenarios!$J$13+Scenarios!$K$13,1,0)</f>
        <v>1</v>
      </c>
      <c r="V70" s="161" t="n">
        <f aca="false">IF(19&gt;=Scenarios!$J$13+Scenarios!$K$13,1,0)</f>
        <v>1</v>
      </c>
      <c r="W70" s="161" t="n">
        <f aca="false">IF(20&gt;=Scenarios!$J$13+Scenarios!$K$13,1,0)</f>
        <v>1</v>
      </c>
      <c r="X70" s="161" t="n">
        <f aca="false">IF(21&gt;=Scenarios!$J$13+Scenarios!$K$13,1,0)</f>
        <v>1</v>
      </c>
      <c r="Y70" s="161" t="n">
        <f aca="false">IF(22&gt;=Scenarios!$J$13+Scenarios!$K$13,1,0)</f>
        <v>1</v>
      </c>
      <c r="Z70" s="161" t="n">
        <f aca="false">IF(23&gt;=Scenarios!$J$13+Scenarios!$K$13,1,0)</f>
        <v>1</v>
      </c>
      <c r="AA70" s="161" t="n">
        <f aca="false">IF(24&gt;=Scenarios!$J$13+Scenarios!$K$13,1,0)</f>
        <v>1</v>
      </c>
      <c r="AB70" s="161" t="n">
        <f aca="false">IF(25&gt;=Scenarios!$J$13+Scenarios!$K$13,1,0)</f>
        <v>1</v>
      </c>
      <c r="AC70" s="161" t="n">
        <f aca="false">IF(26&gt;=Scenarios!$J$13+Scenarios!$K$13,1,0)</f>
        <v>1</v>
      </c>
      <c r="AD70" s="161" t="n">
        <f aca="false">IF(27&gt;=Scenarios!$J$13+Scenarios!$K$13,1,0)</f>
        <v>1</v>
      </c>
      <c r="AE70" s="161" t="n">
        <f aca="false">IF(28&gt;=Scenarios!$J$13+Scenarios!$K$13,1,0)</f>
        <v>1</v>
      </c>
      <c r="AF70" s="161" t="n">
        <f aca="false">IF(29&gt;=Scenarios!$J$13+Scenarios!$K$13,1,0)</f>
        <v>1</v>
      </c>
      <c r="AG70" s="161" t="n">
        <f aca="false">IF(30&gt;=Scenarios!$J$13+Scenarios!$K$13,1,0)</f>
        <v>1</v>
      </c>
      <c r="AH70" s="161"/>
      <c r="AI70" s="161"/>
      <c r="AJ70" s="161"/>
      <c r="AK70" s="161"/>
      <c r="AL70" s="161"/>
      <c r="AM70" s="161"/>
      <c r="AN70" s="161"/>
      <c r="AO70" s="161"/>
    </row>
    <row r="71" customFormat="false" ht="12.75" hidden="false" customHeight="true" outlineLevel="0" collapsed="false">
      <c r="A71" s="161" t="n">
        <v>12</v>
      </c>
      <c r="B71" s="161"/>
      <c r="C71" s="161"/>
      <c r="D71" s="161" t="n">
        <f aca="false">IF(1&gt;=Scenarios!$J$14+Scenarios!$K$14,1,0)</f>
        <v>0</v>
      </c>
      <c r="E71" s="161" t="n">
        <f aca="false">IF(2&gt;=Scenarios!$J$14+Scenarios!$K$14,1,0)</f>
        <v>0</v>
      </c>
      <c r="F71" s="161" t="n">
        <f aca="false">IF(3&gt;=Scenarios!$J$14+Scenarios!$K$14,1,0)</f>
        <v>1</v>
      </c>
      <c r="G71" s="161" t="n">
        <f aca="false">IF(4&gt;=Scenarios!$J$14+Scenarios!$K$14,1,0)</f>
        <v>1</v>
      </c>
      <c r="H71" s="161" t="n">
        <f aca="false">IF(5&gt;=Scenarios!$J$14+Scenarios!$K$14,1,0)</f>
        <v>1</v>
      </c>
      <c r="I71" s="161" t="n">
        <f aca="false">IF(6&gt;=Scenarios!$J$14+Scenarios!$K$14,1,0)</f>
        <v>1</v>
      </c>
      <c r="J71" s="161" t="n">
        <f aca="false">IF(7&gt;=Scenarios!$J$14+Scenarios!$K$14,1,0)</f>
        <v>1</v>
      </c>
      <c r="K71" s="161" t="n">
        <f aca="false">IF(8&gt;=Scenarios!$J$14+Scenarios!$K$14,1,0)</f>
        <v>1</v>
      </c>
      <c r="L71" s="161" t="n">
        <f aca="false">IF(9&gt;=Scenarios!$J$14+Scenarios!$K$14,1,0)</f>
        <v>1</v>
      </c>
      <c r="M71" s="161" t="n">
        <f aca="false">IF(10&gt;=Scenarios!$J$14+Scenarios!$K$14,1,0)</f>
        <v>1</v>
      </c>
      <c r="N71" s="161" t="n">
        <f aca="false">IF(11&gt;=Scenarios!$J$14+Scenarios!$K$14,1,0)</f>
        <v>1</v>
      </c>
      <c r="O71" s="161" t="n">
        <f aca="false">IF(12&gt;=Scenarios!$J$14+Scenarios!$K$14,1,0)</f>
        <v>1</v>
      </c>
      <c r="P71" s="161" t="n">
        <f aca="false">IF(13&gt;=Scenarios!$J$14+Scenarios!$K$14,1,0)</f>
        <v>1</v>
      </c>
      <c r="Q71" s="161" t="n">
        <f aca="false">IF(14&gt;=Scenarios!$J$14+Scenarios!$K$14,1,0)</f>
        <v>1</v>
      </c>
      <c r="R71" s="161" t="n">
        <f aca="false">IF(15&gt;=Scenarios!$J$14+Scenarios!$K$14,1,0)</f>
        <v>1</v>
      </c>
      <c r="S71" s="161" t="n">
        <f aca="false">IF(16&gt;=Scenarios!$J$14+Scenarios!$K$14,1,0)</f>
        <v>1</v>
      </c>
      <c r="T71" s="161" t="n">
        <f aca="false">IF(17&gt;=Scenarios!$J$14+Scenarios!$K$14,1,0)</f>
        <v>1</v>
      </c>
      <c r="U71" s="161" t="n">
        <f aca="false">IF(18&gt;=Scenarios!$J$14+Scenarios!$K$14,1,0)</f>
        <v>1</v>
      </c>
      <c r="V71" s="161" t="n">
        <f aca="false">IF(19&gt;=Scenarios!$J$14+Scenarios!$K$14,1,0)</f>
        <v>1</v>
      </c>
      <c r="W71" s="161" t="n">
        <f aca="false">IF(20&gt;=Scenarios!$J$14+Scenarios!$K$14,1,0)</f>
        <v>1</v>
      </c>
      <c r="X71" s="161" t="n">
        <f aca="false">IF(21&gt;=Scenarios!$J$14+Scenarios!$K$14,1,0)</f>
        <v>1</v>
      </c>
      <c r="Y71" s="161" t="n">
        <f aca="false">IF(22&gt;=Scenarios!$J$14+Scenarios!$K$14,1,0)</f>
        <v>1</v>
      </c>
      <c r="Z71" s="161" t="n">
        <f aca="false">IF(23&gt;=Scenarios!$J$14+Scenarios!$K$14,1,0)</f>
        <v>1</v>
      </c>
      <c r="AA71" s="161" t="n">
        <f aca="false">IF(24&gt;=Scenarios!$J$14+Scenarios!$K$14,1,0)</f>
        <v>1</v>
      </c>
      <c r="AB71" s="161" t="n">
        <f aca="false">IF(25&gt;=Scenarios!$J$14+Scenarios!$K$14,1,0)</f>
        <v>1</v>
      </c>
      <c r="AC71" s="161" t="n">
        <f aca="false">IF(26&gt;=Scenarios!$J$14+Scenarios!$K$14,1,0)</f>
        <v>1</v>
      </c>
      <c r="AD71" s="161" t="n">
        <f aca="false">IF(27&gt;=Scenarios!$J$14+Scenarios!$K$14,1,0)</f>
        <v>1</v>
      </c>
      <c r="AE71" s="161" t="n">
        <f aca="false">IF(28&gt;=Scenarios!$J$14+Scenarios!$K$14,1,0)</f>
        <v>1</v>
      </c>
      <c r="AF71" s="161" t="n">
        <f aca="false">IF(29&gt;=Scenarios!$J$14+Scenarios!$K$14,1,0)</f>
        <v>1</v>
      </c>
      <c r="AG71" s="161" t="n">
        <f aca="false">IF(30&gt;=Scenarios!$J$14+Scenarios!$K$14,1,0)</f>
        <v>1</v>
      </c>
      <c r="AH71" s="161"/>
      <c r="AI71" s="161"/>
      <c r="AJ71" s="161"/>
      <c r="AK71" s="161"/>
      <c r="AL71" s="161"/>
      <c r="AM71" s="161"/>
      <c r="AN71" s="161"/>
      <c r="AO71" s="161"/>
    </row>
    <row r="72" customFormat="false" ht="12.75" hidden="false" customHeight="true" outlineLevel="0" collapsed="false">
      <c r="A72" s="161" t="n">
        <v>13</v>
      </c>
      <c r="B72" s="161"/>
      <c r="C72" s="161"/>
      <c r="D72" s="161" t="n">
        <f aca="false">IF(1&gt;=Scenarios!$J$15+Scenarios!$K$15,1,0)</f>
        <v>0</v>
      </c>
      <c r="E72" s="161" t="n">
        <f aca="false">IF(2&gt;=Scenarios!$J$15+Scenarios!$K$15,1,0)</f>
        <v>0</v>
      </c>
      <c r="F72" s="161" t="n">
        <f aca="false">IF(3&gt;=Scenarios!$J$15+Scenarios!$K$15,1,0)</f>
        <v>0</v>
      </c>
      <c r="G72" s="161" t="n">
        <f aca="false">IF(4&gt;=Scenarios!$J$15+Scenarios!$K$15,1,0)</f>
        <v>0</v>
      </c>
      <c r="H72" s="161" t="n">
        <f aca="false">IF(5&gt;=Scenarios!$J$15+Scenarios!$K$15,1,0)</f>
        <v>0</v>
      </c>
      <c r="I72" s="161" t="n">
        <f aca="false">IF(6&gt;=Scenarios!$J$15+Scenarios!$K$15,1,0)</f>
        <v>1</v>
      </c>
      <c r="J72" s="161" t="n">
        <f aca="false">IF(7&gt;=Scenarios!$J$15+Scenarios!$K$15,1,0)</f>
        <v>1</v>
      </c>
      <c r="K72" s="161" t="n">
        <f aca="false">IF(8&gt;=Scenarios!$J$15+Scenarios!$K$15,1,0)</f>
        <v>1</v>
      </c>
      <c r="L72" s="161" t="n">
        <f aca="false">IF(9&gt;=Scenarios!$J$15+Scenarios!$K$15,1,0)</f>
        <v>1</v>
      </c>
      <c r="M72" s="161" t="n">
        <f aca="false">IF(10&gt;=Scenarios!$J$15+Scenarios!$K$15,1,0)</f>
        <v>1</v>
      </c>
      <c r="N72" s="161" t="n">
        <f aca="false">IF(11&gt;=Scenarios!$J$15+Scenarios!$K$15,1,0)</f>
        <v>1</v>
      </c>
      <c r="O72" s="161" t="n">
        <f aca="false">IF(12&gt;=Scenarios!$J$15+Scenarios!$K$15,1,0)</f>
        <v>1</v>
      </c>
      <c r="P72" s="161" t="n">
        <f aca="false">IF(13&gt;=Scenarios!$J$15+Scenarios!$K$15,1,0)</f>
        <v>1</v>
      </c>
      <c r="Q72" s="161" t="n">
        <f aca="false">IF(14&gt;=Scenarios!$J$15+Scenarios!$K$15,1,0)</f>
        <v>1</v>
      </c>
      <c r="R72" s="161" t="n">
        <f aca="false">IF(15&gt;=Scenarios!$J$15+Scenarios!$K$15,1,0)</f>
        <v>1</v>
      </c>
      <c r="S72" s="161" t="n">
        <f aca="false">IF(16&gt;=Scenarios!$J$15+Scenarios!$K$15,1,0)</f>
        <v>1</v>
      </c>
      <c r="T72" s="161" t="n">
        <f aca="false">IF(17&gt;=Scenarios!$J$15+Scenarios!$K$15,1,0)</f>
        <v>1</v>
      </c>
      <c r="U72" s="161" t="n">
        <f aca="false">IF(18&gt;=Scenarios!$J$15+Scenarios!$K$15,1,0)</f>
        <v>1</v>
      </c>
      <c r="V72" s="161" t="n">
        <f aca="false">IF(19&gt;=Scenarios!$J$15+Scenarios!$K$15,1,0)</f>
        <v>1</v>
      </c>
      <c r="W72" s="161" t="n">
        <f aca="false">IF(20&gt;=Scenarios!$J$15+Scenarios!$K$15,1,0)</f>
        <v>1</v>
      </c>
      <c r="X72" s="161" t="n">
        <f aca="false">IF(21&gt;=Scenarios!$J$15+Scenarios!$K$15,1,0)</f>
        <v>1</v>
      </c>
      <c r="Y72" s="161" t="n">
        <f aca="false">IF(22&gt;=Scenarios!$J$15+Scenarios!$K$15,1,0)</f>
        <v>1</v>
      </c>
      <c r="Z72" s="161" t="n">
        <f aca="false">IF(23&gt;=Scenarios!$J$15+Scenarios!$K$15,1,0)</f>
        <v>1</v>
      </c>
      <c r="AA72" s="161" t="n">
        <f aca="false">IF(24&gt;=Scenarios!$J$15+Scenarios!$K$15,1,0)</f>
        <v>1</v>
      </c>
      <c r="AB72" s="161" t="n">
        <f aca="false">IF(25&gt;=Scenarios!$J$15+Scenarios!$K$15,1,0)</f>
        <v>1</v>
      </c>
      <c r="AC72" s="161" t="n">
        <f aca="false">IF(26&gt;=Scenarios!$J$15+Scenarios!$K$15,1,0)</f>
        <v>1</v>
      </c>
      <c r="AD72" s="161" t="n">
        <f aca="false">IF(27&gt;=Scenarios!$J$15+Scenarios!$K$15,1,0)</f>
        <v>1</v>
      </c>
      <c r="AE72" s="161" t="n">
        <f aca="false">IF(28&gt;=Scenarios!$J$15+Scenarios!$K$15,1,0)</f>
        <v>1</v>
      </c>
      <c r="AF72" s="161" t="n">
        <f aca="false">IF(29&gt;=Scenarios!$J$15+Scenarios!$K$15,1,0)</f>
        <v>1</v>
      </c>
      <c r="AG72" s="161" t="n">
        <f aca="false">IF(30&gt;=Scenarios!$J$15+Scenarios!$K$15,1,0)</f>
        <v>1</v>
      </c>
      <c r="AH72" s="161"/>
      <c r="AI72" s="161"/>
      <c r="AJ72" s="161"/>
      <c r="AK72" s="161"/>
      <c r="AL72" s="161"/>
      <c r="AM72" s="161"/>
      <c r="AN72" s="161"/>
      <c r="AO72" s="161"/>
    </row>
    <row r="73" customFormat="false" ht="12.75" hidden="false" customHeight="true" outlineLevel="0" collapsed="false">
      <c r="A73" s="161" t="n">
        <v>14</v>
      </c>
      <c r="B73" s="161"/>
      <c r="C73" s="161"/>
      <c r="D73" s="161" t="n">
        <f aca="false">IF(1&gt;=Scenarios!$J$16+Scenarios!$K$16,1,0)</f>
        <v>0</v>
      </c>
      <c r="E73" s="161" t="n">
        <f aca="false">IF(2&gt;=Scenarios!$J$16+Scenarios!$K$16,1,0)</f>
        <v>0</v>
      </c>
      <c r="F73" s="161" t="n">
        <f aca="false">IF(3&gt;=Scenarios!$J$16+Scenarios!$K$16,1,0)</f>
        <v>0</v>
      </c>
      <c r="G73" s="161" t="n">
        <f aca="false">IF(4&gt;=Scenarios!$J$16+Scenarios!$K$16,1,0)</f>
        <v>0</v>
      </c>
      <c r="H73" s="161" t="n">
        <f aca="false">IF(5&gt;=Scenarios!$J$16+Scenarios!$K$16,1,0)</f>
        <v>0</v>
      </c>
      <c r="I73" s="161" t="n">
        <f aca="false">IF(6&gt;=Scenarios!$J$16+Scenarios!$K$16,1,0)</f>
        <v>0</v>
      </c>
      <c r="J73" s="161" t="n">
        <f aca="false">IF(7&gt;=Scenarios!$J$16+Scenarios!$K$16,1,0)</f>
        <v>0</v>
      </c>
      <c r="K73" s="161" t="n">
        <f aca="false">IF(8&gt;=Scenarios!$J$16+Scenarios!$K$16,1,0)</f>
        <v>0</v>
      </c>
      <c r="L73" s="161" t="n">
        <f aca="false">IF(9&gt;=Scenarios!$J$16+Scenarios!$K$16,1,0)</f>
        <v>1</v>
      </c>
      <c r="M73" s="161" t="n">
        <f aca="false">IF(10&gt;=Scenarios!$J$16+Scenarios!$K$16,1,0)</f>
        <v>1</v>
      </c>
      <c r="N73" s="161" t="n">
        <f aca="false">IF(11&gt;=Scenarios!$J$16+Scenarios!$K$16,1,0)</f>
        <v>1</v>
      </c>
      <c r="O73" s="161" t="n">
        <f aca="false">IF(12&gt;=Scenarios!$J$16+Scenarios!$K$16,1,0)</f>
        <v>1</v>
      </c>
      <c r="P73" s="161" t="n">
        <f aca="false">IF(13&gt;=Scenarios!$J$16+Scenarios!$K$16,1,0)</f>
        <v>1</v>
      </c>
      <c r="Q73" s="161" t="n">
        <f aca="false">IF(14&gt;=Scenarios!$J$16+Scenarios!$K$16,1,0)</f>
        <v>1</v>
      </c>
      <c r="R73" s="161" t="n">
        <f aca="false">IF(15&gt;=Scenarios!$J$16+Scenarios!$K$16,1,0)</f>
        <v>1</v>
      </c>
      <c r="S73" s="161" t="n">
        <f aca="false">IF(16&gt;=Scenarios!$J$16+Scenarios!$K$16,1,0)</f>
        <v>1</v>
      </c>
      <c r="T73" s="161" t="n">
        <f aca="false">IF(17&gt;=Scenarios!$J$16+Scenarios!$K$16,1,0)</f>
        <v>1</v>
      </c>
      <c r="U73" s="161" t="n">
        <f aca="false">IF(18&gt;=Scenarios!$J$16+Scenarios!$K$16,1,0)</f>
        <v>1</v>
      </c>
      <c r="V73" s="161" t="n">
        <f aca="false">IF(19&gt;=Scenarios!$J$16+Scenarios!$K$16,1,0)</f>
        <v>1</v>
      </c>
      <c r="W73" s="161" t="n">
        <f aca="false">IF(20&gt;=Scenarios!$J$16+Scenarios!$K$16,1,0)</f>
        <v>1</v>
      </c>
      <c r="X73" s="161" t="n">
        <f aca="false">IF(21&gt;=Scenarios!$J$16+Scenarios!$K$16,1,0)</f>
        <v>1</v>
      </c>
      <c r="Y73" s="161" t="n">
        <f aca="false">IF(22&gt;=Scenarios!$J$16+Scenarios!$K$16,1,0)</f>
        <v>1</v>
      </c>
      <c r="Z73" s="161" t="n">
        <f aca="false">IF(23&gt;=Scenarios!$J$16+Scenarios!$K$16,1,0)</f>
        <v>1</v>
      </c>
      <c r="AA73" s="161" t="n">
        <f aca="false">IF(24&gt;=Scenarios!$J$16+Scenarios!$K$16,1,0)</f>
        <v>1</v>
      </c>
      <c r="AB73" s="161" t="n">
        <f aca="false">IF(25&gt;=Scenarios!$J$16+Scenarios!$K$16,1,0)</f>
        <v>1</v>
      </c>
      <c r="AC73" s="161" t="n">
        <f aca="false">IF(26&gt;=Scenarios!$J$16+Scenarios!$K$16,1,0)</f>
        <v>1</v>
      </c>
      <c r="AD73" s="161" t="n">
        <f aca="false">IF(27&gt;=Scenarios!$J$16+Scenarios!$K$16,1,0)</f>
        <v>1</v>
      </c>
      <c r="AE73" s="161" t="n">
        <f aca="false">IF(28&gt;=Scenarios!$J$16+Scenarios!$K$16,1,0)</f>
        <v>1</v>
      </c>
      <c r="AF73" s="161" t="n">
        <f aca="false">IF(29&gt;=Scenarios!$J$16+Scenarios!$K$16,1,0)</f>
        <v>1</v>
      </c>
      <c r="AG73" s="161" t="n">
        <f aca="false">IF(30&gt;=Scenarios!$J$16+Scenarios!$K$16,1,0)</f>
        <v>1</v>
      </c>
      <c r="AH73" s="161"/>
      <c r="AI73" s="161"/>
      <c r="AJ73" s="161"/>
      <c r="AK73" s="161"/>
      <c r="AL73" s="161"/>
      <c r="AM73" s="161"/>
      <c r="AN73" s="161"/>
      <c r="AO73" s="161"/>
    </row>
    <row r="74" customFormat="false" ht="12.75" hidden="false" customHeight="true" outlineLevel="0" collapsed="false">
      <c r="A74" s="161" t="n">
        <v>15</v>
      </c>
      <c r="B74" s="161"/>
      <c r="C74" s="161"/>
      <c r="D74" s="161" t="n">
        <f aca="false">IF(1&gt;=Scenarios!$J$17+Scenarios!$K$17,1,0)</f>
        <v>0</v>
      </c>
      <c r="E74" s="161" t="n">
        <f aca="false">IF(2&gt;=Scenarios!$J$17+Scenarios!$K$17,1,0)</f>
        <v>0</v>
      </c>
      <c r="F74" s="161" t="n">
        <f aca="false">IF(3&gt;=Scenarios!$J$17+Scenarios!$K$17,1,0)</f>
        <v>0</v>
      </c>
      <c r="G74" s="161" t="n">
        <f aca="false">IF(4&gt;=Scenarios!$J$17+Scenarios!$K$17,1,0)</f>
        <v>1</v>
      </c>
      <c r="H74" s="161" t="n">
        <f aca="false">IF(5&gt;=Scenarios!$J$17+Scenarios!$K$17,1,0)</f>
        <v>1</v>
      </c>
      <c r="I74" s="161" t="n">
        <f aca="false">IF(6&gt;=Scenarios!$J$17+Scenarios!$K$17,1,0)</f>
        <v>1</v>
      </c>
      <c r="J74" s="161" t="n">
        <f aca="false">IF(7&gt;=Scenarios!$J$17+Scenarios!$K$17,1,0)</f>
        <v>1</v>
      </c>
      <c r="K74" s="161" t="n">
        <f aca="false">IF(8&gt;=Scenarios!$J$17+Scenarios!$K$17,1,0)</f>
        <v>1</v>
      </c>
      <c r="L74" s="161" t="n">
        <f aca="false">IF(9&gt;=Scenarios!$J$17+Scenarios!$K$17,1,0)</f>
        <v>1</v>
      </c>
      <c r="M74" s="161" t="n">
        <f aca="false">IF(10&gt;=Scenarios!$J$17+Scenarios!$K$17,1,0)</f>
        <v>1</v>
      </c>
      <c r="N74" s="161" t="n">
        <f aca="false">IF(11&gt;=Scenarios!$J$17+Scenarios!$K$17,1,0)</f>
        <v>1</v>
      </c>
      <c r="O74" s="161" t="n">
        <f aca="false">IF(12&gt;=Scenarios!$J$17+Scenarios!$K$17,1,0)</f>
        <v>1</v>
      </c>
      <c r="P74" s="161" t="n">
        <f aca="false">IF(13&gt;=Scenarios!$J$17+Scenarios!$K$17,1,0)</f>
        <v>1</v>
      </c>
      <c r="Q74" s="161" t="n">
        <f aca="false">IF(14&gt;=Scenarios!$J$17+Scenarios!$K$17,1,0)</f>
        <v>1</v>
      </c>
      <c r="R74" s="161" t="n">
        <f aca="false">IF(15&gt;=Scenarios!$J$17+Scenarios!$K$17,1,0)</f>
        <v>1</v>
      </c>
      <c r="S74" s="161" t="n">
        <f aca="false">IF(16&gt;=Scenarios!$J$17+Scenarios!$K$17,1,0)</f>
        <v>1</v>
      </c>
      <c r="T74" s="161" t="n">
        <f aca="false">IF(17&gt;=Scenarios!$J$17+Scenarios!$K$17,1,0)</f>
        <v>1</v>
      </c>
      <c r="U74" s="161" t="n">
        <f aca="false">IF(18&gt;=Scenarios!$J$17+Scenarios!$K$17,1,0)</f>
        <v>1</v>
      </c>
      <c r="V74" s="161" t="n">
        <f aca="false">IF(19&gt;=Scenarios!$J$17+Scenarios!$K$17,1,0)</f>
        <v>1</v>
      </c>
      <c r="W74" s="161" t="n">
        <f aca="false">IF(20&gt;=Scenarios!$J$17+Scenarios!$K$17,1,0)</f>
        <v>1</v>
      </c>
      <c r="X74" s="161" t="n">
        <f aca="false">IF(21&gt;=Scenarios!$J$17+Scenarios!$K$17,1,0)</f>
        <v>1</v>
      </c>
      <c r="Y74" s="161" t="n">
        <f aca="false">IF(22&gt;=Scenarios!$J$17+Scenarios!$K$17,1,0)</f>
        <v>1</v>
      </c>
      <c r="Z74" s="161" t="n">
        <f aca="false">IF(23&gt;=Scenarios!$J$17+Scenarios!$K$17,1,0)</f>
        <v>1</v>
      </c>
      <c r="AA74" s="161" t="n">
        <f aca="false">IF(24&gt;=Scenarios!$J$17+Scenarios!$K$17,1,0)</f>
        <v>1</v>
      </c>
      <c r="AB74" s="161" t="n">
        <f aca="false">IF(25&gt;=Scenarios!$J$17+Scenarios!$K$17,1,0)</f>
        <v>1</v>
      </c>
      <c r="AC74" s="161" t="n">
        <f aca="false">IF(26&gt;=Scenarios!$J$17+Scenarios!$K$17,1,0)</f>
        <v>1</v>
      </c>
      <c r="AD74" s="161" t="n">
        <f aca="false">IF(27&gt;=Scenarios!$J$17+Scenarios!$K$17,1,0)</f>
        <v>1</v>
      </c>
      <c r="AE74" s="161" t="n">
        <f aca="false">IF(28&gt;=Scenarios!$J$17+Scenarios!$K$17,1,0)</f>
        <v>1</v>
      </c>
      <c r="AF74" s="161" t="n">
        <f aca="false">IF(29&gt;=Scenarios!$J$17+Scenarios!$K$17,1,0)</f>
        <v>1</v>
      </c>
      <c r="AG74" s="161" t="n">
        <f aca="false">IF(30&gt;=Scenarios!$J$17+Scenarios!$K$17,1,0)</f>
        <v>1</v>
      </c>
      <c r="AH74" s="161"/>
      <c r="AI74" s="161"/>
      <c r="AJ74" s="161"/>
      <c r="AK74" s="161"/>
      <c r="AL74" s="161"/>
      <c r="AM74" s="161"/>
      <c r="AN74" s="161"/>
      <c r="AO74" s="161"/>
    </row>
    <row r="75" customFormat="false" ht="12.75" hidden="false" customHeight="true" outlineLevel="0" collapsed="false">
      <c r="A75" s="161" t="n">
        <v>16</v>
      </c>
      <c r="B75" s="161"/>
      <c r="C75" s="161"/>
      <c r="D75" s="161" t="n">
        <f aca="false">IF(1&gt;=Scenarios!$J$18+Scenarios!$K$18,1,0)</f>
        <v>0</v>
      </c>
      <c r="E75" s="161" t="n">
        <f aca="false">IF(2&gt;=Scenarios!$J$18+Scenarios!$K$18,1,0)</f>
        <v>0</v>
      </c>
      <c r="F75" s="161" t="n">
        <f aca="false">IF(3&gt;=Scenarios!$J$18+Scenarios!$K$18,1,0)</f>
        <v>1</v>
      </c>
      <c r="G75" s="161" t="n">
        <f aca="false">IF(4&gt;=Scenarios!$J$18+Scenarios!$K$18,1,0)</f>
        <v>1</v>
      </c>
      <c r="H75" s="161" t="n">
        <f aca="false">IF(5&gt;=Scenarios!$J$18+Scenarios!$K$18,1,0)</f>
        <v>1</v>
      </c>
      <c r="I75" s="161" t="n">
        <f aca="false">IF(6&gt;=Scenarios!$J$18+Scenarios!$K$18,1,0)</f>
        <v>1</v>
      </c>
      <c r="J75" s="161" t="n">
        <f aca="false">IF(7&gt;=Scenarios!$J$18+Scenarios!$K$18,1,0)</f>
        <v>1</v>
      </c>
      <c r="K75" s="161" t="n">
        <f aca="false">IF(8&gt;=Scenarios!$J$18+Scenarios!$K$18,1,0)</f>
        <v>1</v>
      </c>
      <c r="L75" s="161" t="n">
        <f aca="false">IF(9&gt;=Scenarios!$J$18+Scenarios!$K$18,1,0)</f>
        <v>1</v>
      </c>
      <c r="M75" s="161" t="n">
        <f aca="false">IF(10&gt;=Scenarios!$J$18+Scenarios!$K$18,1,0)</f>
        <v>1</v>
      </c>
      <c r="N75" s="161" t="n">
        <f aca="false">IF(11&gt;=Scenarios!$J$18+Scenarios!$K$18,1,0)</f>
        <v>1</v>
      </c>
      <c r="O75" s="161" t="n">
        <f aca="false">IF(12&gt;=Scenarios!$J$18+Scenarios!$K$18,1,0)</f>
        <v>1</v>
      </c>
      <c r="P75" s="161" t="n">
        <f aca="false">IF(13&gt;=Scenarios!$J$18+Scenarios!$K$18,1,0)</f>
        <v>1</v>
      </c>
      <c r="Q75" s="161" t="n">
        <f aca="false">IF(14&gt;=Scenarios!$J$18+Scenarios!$K$18,1,0)</f>
        <v>1</v>
      </c>
      <c r="R75" s="161" t="n">
        <f aca="false">IF(15&gt;=Scenarios!$J$18+Scenarios!$K$18,1,0)</f>
        <v>1</v>
      </c>
      <c r="S75" s="161" t="n">
        <f aca="false">IF(16&gt;=Scenarios!$J$18+Scenarios!$K$18,1,0)</f>
        <v>1</v>
      </c>
      <c r="T75" s="161" t="n">
        <f aca="false">IF(17&gt;=Scenarios!$J$18+Scenarios!$K$18,1,0)</f>
        <v>1</v>
      </c>
      <c r="U75" s="161" t="n">
        <f aca="false">IF(18&gt;=Scenarios!$J$18+Scenarios!$K$18,1,0)</f>
        <v>1</v>
      </c>
      <c r="V75" s="161" t="n">
        <f aca="false">IF(19&gt;=Scenarios!$J$18+Scenarios!$K$18,1,0)</f>
        <v>1</v>
      </c>
      <c r="W75" s="161" t="n">
        <f aca="false">IF(20&gt;=Scenarios!$J$18+Scenarios!$K$18,1,0)</f>
        <v>1</v>
      </c>
      <c r="X75" s="161" t="n">
        <f aca="false">IF(21&gt;=Scenarios!$J$18+Scenarios!$K$18,1,0)</f>
        <v>1</v>
      </c>
      <c r="Y75" s="161" t="n">
        <f aca="false">IF(22&gt;=Scenarios!$J$18+Scenarios!$K$18,1,0)</f>
        <v>1</v>
      </c>
      <c r="Z75" s="161" t="n">
        <f aca="false">IF(23&gt;=Scenarios!$J$18+Scenarios!$K$18,1,0)</f>
        <v>1</v>
      </c>
      <c r="AA75" s="161" t="n">
        <f aca="false">IF(24&gt;=Scenarios!$J$18+Scenarios!$K$18,1,0)</f>
        <v>1</v>
      </c>
      <c r="AB75" s="161" t="n">
        <f aca="false">IF(25&gt;=Scenarios!$J$18+Scenarios!$K$18,1,0)</f>
        <v>1</v>
      </c>
      <c r="AC75" s="161" t="n">
        <f aca="false">IF(26&gt;=Scenarios!$J$18+Scenarios!$K$18,1,0)</f>
        <v>1</v>
      </c>
      <c r="AD75" s="161" t="n">
        <f aca="false">IF(27&gt;=Scenarios!$J$18+Scenarios!$K$18,1,0)</f>
        <v>1</v>
      </c>
      <c r="AE75" s="161" t="n">
        <f aca="false">IF(28&gt;=Scenarios!$J$18+Scenarios!$K$18,1,0)</f>
        <v>1</v>
      </c>
      <c r="AF75" s="161" t="n">
        <f aca="false">IF(29&gt;=Scenarios!$J$18+Scenarios!$K$18,1,0)</f>
        <v>1</v>
      </c>
      <c r="AG75" s="161" t="n">
        <f aca="false">IF(30&gt;=Scenarios!$J$18+Scenarios!$K$18,1,0)</f>
        <v>1</v>
      </c>
      <c r="AH75" s="161"/>
      <c r="AI75" s="161"/>
      <c r="AJ75" s="161"/>
      <c r="AK75" s="161"/>
      <c r="AL75" s="161"/>
      <c r="AM75" s="161"/>
      <c r="AN75" s="161"/>
      <c r="AO75" s="161"/>
    </row>
    <row r="76" customFormat="false" ht="12.75" hidden="false" customHeight="true" outlineLevel="0" collapsed="false">
      <c r="A76" s="161" t="n">
        <v>17</v>
      </c>
      <c r="B76" s="161"/>
      <c r="C76" s="161"/>
      <c r="D76" s="161" t="n">
        <f aca="false">IF(1&gt;=Scenarios!$J$19+Scenarios!$K$19,1,0)</f>
        <v>0</v>
      </c>
      <c r="E76" s="161" t="n">
        <f aca="false">IF(2&gt;=Scenarios!$J$19+Scenarios!$K$19,1,0)</f>
        <v>0</v>
      </c>
      <c r="F76" s="161" t="n">
        <f aca="false">IF(3&gt;=Scenarios!$J$19+Scenarios!$K$19,1,0)</f>
        <v>1</v>
      </c>
      <c r="G76" s="161" t="n">
        <f aca="false">IF(4&gt;=Scenarios!$J$19+Scenarios!$K$19,1,0)</f>
        <v>1</v>
      </c>
      <c r="H76" s="161" t="n">
        <f aca="false">IF(5&gt;=Scenarios!$J$19+Scenarios!$K$19,1,0)</f>
        <v>1</v>
      </c>
      <c r="I76" s="161" t="n">
        <f aca="false">IF(6&gt;=Scenarios!$J$19+Scenarios!$K$19,1,0)</f>
        <v>1</v>
      </c>
      <c r="J76" s="161" t="n">
        <f aca="false">IF(7&gt;=Scenarios!$J$19+Scenarios!$K$19,1,0)</f>
        <v>1</v>
      </c>
      <c r="K76" s="161" t="n">
        <f aca="false">IF(8&gt;=Scenarios!$J$19+Scenarios!$K$19,1,0)</f>
        <v>1</v>
      </c>
      <c r="L76" s="161" t="n">
        <f aca="false">IF(9&gt;=Scenarios!$J$19+Scenarios!$K$19,1,0)</f>
        <v>1</v>
      </c>
      <c r="M76" s="161" t="n">
        <f aca="false">IF(10&gt;=Scenarios!$J$19+Scenarios!$K$19,1,0)</f>
        <v>1</v>
      </c>
      <c r="N76" s="161" t="n">
        <f aca="false">IF(11&gt;=Scenarios!$J$19+Scenarios!$K$19,1,0)</f>
        <v>1</v>
      </c>
      <c r="O76" s="161" t="n">
        <f aca="false">IF(12&gt;=Scenarios!$J$19+Scenarios!$K$19,1,0)</f>
        <v>1</v>
      </c>
      <c r="P76" s="161" t="n">
        <f aca="false">IF(13&gt;=Scenarios!$J$19+Scenarios!$K$19,1,0)</f>
        <v>1</v>
      </c>
      <c r="Q76" s="161" t="n">
        <f aca="false">IF(14&gt;=Scenarios!$J$19+Scenarios!$K$19,1,0)</f>
        <v>1</v>
      </c>
      <c r="R76" s="161" t="n">
        <f aca="false">IF(15&gt;=Scenarios!$J$19+Scenarios!$K$19,1,0)</f>
        <v>1</v>
      </c>
      <c r="S76" s="161" t="n">
        <f aca="false">IF(16&gt;=Scenarios!$J$19+Scenarios!$K$19,1,0)</f>
        <v>1</v>
      </c>
      <c r="T76" s="161" t="n">
        <f aca="false">IF(17&gt;=Scenarios!$J$19+Scenarios!$K$19,1,0)</f>
        <v>1</v>
      </c>
      <c r="U76" s="161" t="n">
        <f aca="false">IF(18&gt;=Scenarios!$J$19+Scenarios!$K$19,1,0)</f>
        <v>1</v>
      </c>
      <c r="V76" s="161" t="n">
        <f aca="false">IF(19&gt;=Scenarios!$J$19+Scenarios!$K$19,1,0)</f>
        <v>1</v>
      </c>
      <c r="W76" s="161" t="n">
        <f aca="false">IF(20&gt;=Scenarios!$J$19+Scenarios!$K$19,1,0)</f>
        <v>1</v>
      </c>
      <c r="X76" s="161" t="n">
        <f aca="false">IF(21&gt;=Scenarios!$J$19+Scenarios!$K$19,1,0)</f>
        <v>1</v>
      </c>
      <c r="Y76" s="161" t="n">
        <f aca="false">IF(22&gt;=Scenarios!$J$19+Scenarios!$K$19,1,0)</f>
        <v>1</v>
      </c>
      <c r="Z76" s="161" t="n">
        <f aca="false">IF(23&gt;=Scenarios!$J$19+Scenarios!$K$19,1,0)</f>
        <v>1</v>
      </c>
      <c r="AA76" s="161" t="n">
        <f aca="false">IF(24&gt;=Scenarios!$J$19+Scenarios!$K$19,1,0)</f>
        <v>1</v>
      </c>
      <c r="AB76" s="161" t="n">
        <f aca="false">IF(25&gt;=Scenarios!$J$19+Scenarios!$K$19,1,0)</f>
        <v>1</v>
      </c>
      <c r="AC76" s="161" t="n">
        <f aca="false">IF(26&gt;=Scenarios!$J$19+Scenarios!$K$19,1,0)</f>
        <v>1</v>
      </c>
      <c r="AD76" s="161" t="n">
        <f aca="false">IF(27&gt;=Scenarios!$J$19+Scenarios!$K$19,1,0)</f>
        <v>1</v>
      </c>
      <c r="AE76" s="161" t="n">
        <f aca="false">IF(28&gt;=Scenarios!$J$19+Scenarios!$K$19,1,0)</f>
        <v>1</v>
      </c>
      <c r="AF76" s="161" t="n">
        <f aca="false">IF(29&gt;=Scenarios!$J$19+Scenarios!$K$19,1,0)</f>
        <v>1</v>
      </c>
      <c r="AG76" s="161" t="n">
        <f aca="false">IF(30&gt;=Scenarios!$J$19+Scenarios!$K$19,1,0)</f>
        <v>1</v>
      </c>
      <c r="AH76" s="161"/>
      <c r="AI76" s="161"/>
      <c r="AJ76" s="161"/>
      <c r="AK76" s="161"/>
      <c r="AL76" s="161"/>
      <c r="AM76" s="161"/>
      <c r="AN76" s="161"/>
      <c r="AO76" s="161"/>
    </row>
    <row r="77" customFormat="false" ht="12.75" hidden="false" customHeight="true" outlineLevel="0" collapsed="false">
      <c r="A77" s="161" t="n">
        <v>18</v>
      </c>
      <c r="B77" s="161"/>
      <c r="C77" s="161"/>
      <c r="D77" s="161" t="n">
        <f aca="false">IF(1&gt;=Scenarios!$J$20+Scenarios!$K$20,1,0)</f>
        <v>0</v>
      </c>
      <c r="E77" s="161" t="n">
        <f aca="false">IF(2&gt;=Scenarios!$J$20+Scenarios!$K$20,1,0)</f>
        <v>0</v>
      </c>
      <c r="F77" s="161" t="n">
        <f aca="false">IF(3&gt;=Scenarios!$J$20+Scenarios!$K$20,1,0)</f>
        <v>1</v>
      </c>
      <c r="G77" s="161" t="n">
        <f aca="false">IF(4&gt;=Scenarios!$J$20+Scenarios!$K$20,1,0)</f>
        <v>1</v>
      </c>
      <c r="H77" s="161" t="n">
        <f aca="false">IF(5&gt;=Scenarios!$J$20+Scenarios!$K$20,1,0)</f>
        <v>1</v>
      </c>
      <c r="I77" s="161" t="n">
        <f aca="false">IF(6&gt;=Scenarios!$J$20+Scenarios!$K$20,1,0)</f>
        <v>1</v>
      </c>
      <c r="J77" s="161" t="n">
        <f aca="false">IF(7&gt;=Scenarios!$J$20+Scenarios!$K$20,1,0)</f>
        <v>1</v>
      </c>
      <c r="K77" s="161" t="n">
        <f aca="false">IF(8&gt;=Scenarios!$J$20+Scenarios!$K$20,1,0)</f>
        <v>1</v>
      </c>
      <c r="L77" s="161" t="n">
        <f aca="false">IF(9&gt;=Scenarios!$J$20+Scenarios!$K$20,1,0)</f>
        <v>1</v>
      </c>
      <c r="M77" s="161" t="n">
        <f aca="false">IF(10&gt;=Scenarios!$J$20+Scenarios!$K$20,1,0)</f>
        <v>1</v>
      </c>
      <c r="N77" s="161" t="n">
        <f aca="false">IF(11&gt;=Scenarios!$J$20+Scenarios!$K$20,1,0)</f>
        <v>1</v>
      </c>
      <c r="O77" s="161" t="n">
        <f aca="false">IF(12&gt;=Scenarios!$J$20+Scenarios!$K$20,1,0)</f>
        <v>1</v>
      </c>
      <c r="P77" s="161" t="n">
        <f aca="false">IF(13&gt;=Scenarios!$J$20+Scenarios!$K$20,1,0)</f>
        <v>1</v>
      </c>
      <c r="Q77" s="161" t="n">
        <f aca="false">IF(14&gt;=Scenarios!$J$20+Scenarios!$K$20,1,0)</f>
        <v>1</v>
      </c>
      <c r="R77" s="161" t="n">
        <f aca="false">IF(15&gt;=Scenarios!$J$20+Scenarios!$K$20,1,0)</f>
        <v>1</v>
      </c>
      <c r="S77" s="161" t="n">
        <f aca="false">IF(16&gt;=Scenarios!$J$20+Scenarios!$K$20,1,0)</f>
        <v>1</v>
      </c>
      <c r="T77" s="161" t="n">
        <f aca="false">IF(17&gt;=Scenarios!$J$20+Scenarios!$K$20,1,0)</f>
        <v>1</v>
      </c>
      <c r="U77" s="161" t="n">
        <f aca="false">IF(18&gt;=Scenarios!$J$20+Scenarios!$K$20,1,0)</f>
        <v>1</v>
      </c>
      <c r="V77" s="161" t="n">
        <f aca="false">IF(19&gt;=Scenarios!$J$20+Scenarios!$K$20,1,0)</f>
        <v>1</v>
      </c>
      <c r="W77" s="161" t="n">
        <f aca="false">IF(20&gt;=Scenarios!$J$20+Scenarios!$K$20,1,0)</f>
        <v>1</v>
      </c>
      <c r="X77" s="161" t="n">
        <f aca="false">IF(21&gt;=Scenarios!$J$20+Scenarios!$K$20,1,0)</f>
        <v>1</v>
      </c>
      <c r="Y77" s="161" t="n">
        <f aca="false">IF(22&gt;=Scenarios!$J$20+Scenarios!$K$20,1,0)</f>
        <v>1</v>
      </c>
      <c r="Z77" s="161" t="n">
        <f aca="false">IF(23&gt;=Scenarios!$J$20+Scenarios!$K$20,1,0)</f>
        <v>1</v>
      </c>
      <c r="AA77" s="161" t="n">
        <f aca="false">IF(24&gt;=Scenarios!$J$20+Scenarios!$K$20,1,0)</f>
        <v>1</v>
      </c>
      <c r="AB77" s="161" t="n">
        <f aca="false">IF(25&gt;=Scenarios!$J$20+Scenarios!$K$20,1,0)</f>
        <v>1</v>
      </c>
      <c r="AC77" s="161" t="n">
        <f aca="false">IF(26&gt;=Scenarios!$J$20+Scenarios!$K$20,1,0)</f>
        <v>1</v>
      </c>
      <c r="AD77" s="161" t="n">
        <f aca="false">IF(27&gt;=Scenarios!$J$20+Scenarios!$K$20,1,0)</f>
        <v>1</v>
      </c>
      <c r="AE77" s="161" t="n">
        <f aca="false">IF(28&gt;=Scenarios!$J$20+Scenarios!$K$20,1,0)</f>
        <v>1</v>
      </c>
      <c r="AF77" s="161" t="n">
        <f aca="false">IF(29&gt;=Scenarios!$J$20+Scenarios!$K$20,1,0)</f>
        <v>1</v>
      </c>
      <c r="AG77" s="161" t="n">
        <f aca="false">IF(30&gt;=Scenarios!$J$20+Scenarios!$K$20,1,0)</f>
        <v>1</v>
      </c>
      <c r="AH77" s="161"/>
      <c r="AI77" s="161"/>
      <c r="AJ77" s="161"/>
      <c r="AK77" s="161"/>
      <c r="AL77" s="161"/>
      <c r="AM77" s="161"/>
      <c r="AN77" s="161"/>
      <c r="AO77" s="161"/>
    </row>
    <row r="78" customFormat="false" ht="12.75" hidden="false" customHeight="true" outlineLevel="0" collapsed="false">
      <c r="A78" s="161" t="n">
        <v>19</v>
      </c>
      <c r="B78" s="161"/>
      <c r="C78" s="161"/>
      <c r="D78" s="161" t="n">
        <f aca="false">IF(1&gt;=Scenarios!$J$21+Scenarios!$K$21,1,0)</f>
        <v>0</v>
      </c>
      <c r="E78" s="161" t="n">
        <f aca="false">IF(2&gt;=Scenarios!$J$21+Scenarios!$K$21,1,0)</f>
        <v>0</v>
      </c>
      <c r="F78" s="161" t="n">
        <f aca="false">IF(3&gt;=Scenarios!$J$21+Scenarios!$K$21,1,0)</f>
        <v>1</v>
      </c>
      <c r="G78" s="161" t="n">
        <f aca="false">IF(4&gt;=Scenarios!$J$21+Scenarios!$K$21,1,0)</f>
        <v>1</v>
      </c>
      <c r="H78" s="161" t="n">
        <f aca="false">IF(5&gt;=Scenarios!$J$21+Scenarios!$K$21,1,0)</f>
        <v>1</v>
      </c>
      <c r="I78" s="161" t="n">
        <f aca="false">IF(6&gt;=Scenarios!$J$21+Scenarios!$K$21,1,0)</f>
        <v>1</v>
      </c>
      <c r="J78" s="161" t="n">
        <f aca="false">IF(7&gt;=Scenarios!$J$21+Scenarios!$K$21,1,0)</f>
        <v>1</v>
      </c>
      <c r="K78" s="161" t="n">
        <f aca="false">IF(8&gt;=Scenarios!$J$21+Scenarios!$K$21,1,0)</f>
        <v>1</v>
      </c>
      <c r="L78" s="161" t="n">
        <f aca="false">IF(9&gt;=Scenarios!$J$21+Scenarios!$K$21,1,0)</f>
        <v>1</v>
      </c>
      <c r="M78" s="161" t="n">
        <f aca="false">IF(10&gt;=Scenarios!$J$21+Scenarios!$K$21,1,0)</f>
        <v>1</v>
      </c>
      <c r="N78" s="161" t="n">
        <f aca="false">IF(11&gt;=Scenarios!$J$21+Scenarios!$K$21,1,0)</f>
        <v>1</v>
      </c>
      <c r="O78" s="161" t="n">
        <f aca="false">IF(12&gt;=Scenarios!$J$21+Scenarios!$K$21,1,0)</f>
        <v>1</v>
      </c>
      <c r="P78" s="161" t="n">
        <f aca="false">IF(13&gt;=Scenarios!$J$21+Scenarios!$K$21,1,0)</f>
        <v>1</v>
      </c>
      <c r="Q78" s="161" t="n">
        <f aca="false">IF(14&gt;=Scenarios!$J$21+Scenarios!$K$21,1,0)</f>
        <v>1</v>
      </c>
      <c r="R78" s="161" t="n">
        <f aca="false">IF(15&gt;=Scenarios!$J$21+Scenarios!$K$21,1,0)</f>
        <v>1</v>
      </c>
      <c r="S78" s="161" t="n">
        <f aca="false">IF(16&gt;=Scenarios!$J$21+Scenarios!$K$21,1,0)</f>
        <v>1</v>
      </c>
      <c r="T78" s="161" t="n">
        <f aca="false">IF(17&gt;=Scenarios!$J$21+Scenarios!$K$21,1,0)</f>
        <v>1</v>
      </c>
      <c r="U78" s="161" t="n">
        <f aca="false">IF(18&gt;=Scenarios!$J$21+Scenarios!$K$21,1,0)</f>
        <v>1</v>
      </c>
      <c r="V78" s="161" t="n">
        <f aca="false">IF(19&gt;=Scenarios!$J$21+Scenarios!$K$21,1,0)</f>
        <v>1</v>
      </c>
      <c r="W78" s="161" t="n">
        <f aca="false">IF(20&gt;=Scenarios!$J$21+Scenarios!$K$21,1,0)</f>
        <v>1</v>
      </c>
      <c r="X78" s="161" t="n">
        <f aca="false">IF(21&gt;=Scenarios!$J$21+Scenarios!$K$21,1,0)</f>
        <v>1</v>
      </c>
      <c r="Y78" s="161" t="n">
        <f aca="false">IF(22&gt;=Scenarios!$J$21+Scenarios!$K$21,1,0)</f>
        <v>1</v>
      </c>
      <c r="Z78" s="161" t="n">
        <f aca="false">IF(23&gt;=Scenarios!$J$21+Scenarios!$K$21,1,0)</f>
        <v>1</v>
      </c>
      <c r="AA78" s="161" t="n">
        <f aca="false">IF(24&gt;=Scenarios!$J$21+Scenarios!$K$21,1,0)</f>
        <v>1</v>
      </c>
      <c r="AB78" s="161" t="n">
        <f aca="false">IF(25&gt;=Scenarios!$J$21+Scenarios!$K$21,1,0)</f>
        <v>1</v>
      </c>
      <c r="AC78" s="161" t="n">
        <f aca="false">IF(26&gt;=Scenarios!$J$21+Scenarios!$K$21,1,0)</f>
        <v>1</v>
      </c>
      <c r="AD78" s="161" t="n">
        <f aca="false">IF(27&gt;=Scenarios!$J$21+Scenarios!$K$21,1,0)</f>
        <v>1</v>
      </c>
      <c r="AE78" s="161" t="n">
        <f aca="false">IF(28&gt;=Scenarios!$J$21+Scenarios!$K$21,1,0)</f>
        <v>1</v>
      </c>
      <c r="AF78" s="161" t="n">
        <f aca="false">IF(29&gt;=Scenarios!$J$21+Scenarios!$K$21,1,0)</f>
        <v>1</v>
      </c>
      <c r="AG78" s="161" t="n">
        <f aca="false">IF(30&gt;=Scenarios!$J$21+Scenarios!$K$21,1,0)</f>
        <v>1</v>
      </c>
      <c r="AH78" s="161"/>
      <c r="AI78" s="161"/>
      <c r="AJ78" s="161"/>
      <c r="AK78" s="161"/>
      <c r="AL78" s="161"/>
      <c r="AM78" s="161"/>
      <c r="AN78" s="161"/>
      <c r="AO78" s="161"/>
    </row>
    <row r="79" customFormat="false" ht="12.75" hidden="false" customHeight="true" outlineLevel="0" collapsed="false">
      <c r="A79" s="161" t="n">
        <v>20</v>
      </c>
      <c r="B79" s="161"/>
      <c r="C79" s="161"/>
      <c r="D79" s="161" t="n">
        <f aca="false">IF(1&gt;=Scenarios!$J$22+Scenarios!$K$22,1,0)</f>
        <v>0</v>
      </c>
      <c r="E79" s="161" t="n">
        <f aca="false">IF(2&gt;=Scenarios!$J$22+Scenarios!$K$22,1,0)</f>
        <v>0</v>
      </c>
      <c r="F79" s="161" t="n">
        <f aca="false">IF(3&gt;=Scenarios!$J$22+Scenarios!$K$22,1,0)</f>
        <v>1</v>
      </c>
      <c r="G79" s="161" t="n">
        <f aca="false">IF(4&gt;=Scenarios!$J$22+Scenarios!$K$22,1,0)</f>
        <v>1</v>
      </c>
      <c r="H79" s="161" t="n">
        <f aca="false">IF(5&gt;=Scenarios!$J$22+Scenarios!$K$22,1,0)</f>
        <v>1</v>
      </c>
      <c r="I79" s="161" t="n">
        <f aca="false">IF(6&gt;=Scenarios!$J$22+Scenarios!$K$22,1,0)</f>
        <v>1</v>
      </c>
      <c r="J79" s="161" t="n">
        <f aca="false">IF(7&gt;=Scenarios!$J$22+Scenarios!$K$22,1,0)</f>
        <v>1</v>
      </c>
      <c r="K79" s="161" t="n">
        <f aca="false">IF(8&gt;=Scenarios!$J$22+Scenarios!$K$22,1,0)</f>
        <v>1</v>
      </c>
      <c r="L79" s="161" t="n">
        <f aca="false">IF(9&gt;=Scenarios!$J$22+Scenarios!$K$22,1,0)</f>
        <v>1</v>
      </c>
      <c r="M79" s="161" t="n">
        <f aca="false">IF(10&gt;=Scenarios!$J$22+Scenarios!$K$22,1,0)</f>
        <v>1</v>
      </c>
      <c r="N79" s="161" t="n">
        <f aca="false">IF(11&gt;=Scenarios!$J$22+Scenarios!$K$22,1,0)</f>
        <v>1</v>
      </c>
      <c r="O79" s="161" t="n">
        <f aca="false">IF(12&gt;=Scenarios!$J$22+Scenarios!$K$22,1,0)</f>
        <v>1</v>
      </c>
      <c r="P79" s="161" t="n">
        <f aca="false">IF(13&gt;=Scenarios!$J$22+Scenarios!$K$22,1,0)</f>
        <v>1</v>
      </c>
      <c r="Q79" s="161" t="n">
        <f aca="false">IF(14&gt;=Scenarios!$J$22+Scenarios!$K$22,1,0)</f>
        <v>1</v>
      </c>
      <c r="R79" s="161" t="n">
        <f aca="false">IF(15&gt;=Scenarios!$J$22+Scenarios!$K$22,1,0)</f>
        <v>1</v>
      </c>
      <c r="S79" s="161" t="n">
        <f aca="false">IF(16&gt;=Scenarios!$J$22+Scenarios!$K$22,1,0)</f>
        <v>1</v>
      </c>
      <c r="T79" s="161" t="n">
        <f aca="false">IF(17&gt;=Scenarios!$J$22+Scenarios!$K$22,1,0)</f>
        <v>1</v>
      </c>
      <c r="U79" s="161" t="n">
        <f aca="false">IF(18&gt;=Scenarios!$J$22+Scenarios!$K$22,1,0)</f>
        <v>1</v>
      </c>
      <c r="V79" s="161" t="n">
        <f aca="false">IF(19&gt;=Scenarios!$J$22+Scenarios!$K$22,1,0)</f>
        <v>1</v>
      </c>
      <c r="W79" s="161" t="n">
        <f aca="false">IF(20&gt;=Scenarios!$J$22+Scenarios!$K$22,1,0)</f>
        <v>1</v>
      </c>
      <c r="X79" s="161" t="n">
        <f aca="false">IF(21&gt;=Scenarios!$J$22+Scenarios!$K$22,1,0)</f>
        <v>1</v>
      </c>
      <c r="Y79" s="161" t="n">
        <f aca="false">IF(22&gt;=Scenarios!$J$22+Scenarios!$K$22,1,0)</f>
        <v>1</v>
      </c>
      <c r="Z79" s="161" t="n">
        <f aca="false">IF(23&gt;=Scenarios!$J$22+Scenarios!$K$22,1,0)</f>
        <v>1</v>
      </c>
      <c r="AA79" s="161" t="n">
        <f aca="false">IF(24&gt;=Scenarios!$J$22+Scenarios!$K$22,1,0)</f>
        <v>1</v>
      </c>
      <c r="AB79" s="161" t="n">
        <f aca="false">IF(25&gt;=Scenarios!$J$22+Scenarios!$K$22,1,0)</f>
        <v>1</v>
      </c>
      <c r="AC79" s="161" t="n">
        <f aca="false">IF(26&gt;=Scenarios!$J$22+Scenarios!$K$22,1,0)</f>
        <v>1</v>
      </c>
      <c r="AD79" s="161" t="n">
        <f aca="false">IF(27&gt;=Scenarios!$J$22+Scenarios!$K$22,1,0)</f>
        <v>1</v>
      </c>
      <c r="AE79" s="161" t="n">
        <f aca="false">IF(28&gt;=Scenarios!$J$22+Scenarios!$K$22,1,0)</f>
        <v>1</v>
      </c>
      <c r="AF79" s="161" t="n">
        <f aca="false">IF(29&gt;=Scenarios!$J$22+Scenarios!$K$22,1,0)</f>
        <v>1</v>
      </c>
      <c r="AG79" s="161" t="n">
        <f aca="false">IF(30&gt;=Scenarios!$J$22+Scenarios!$K$22,1,0)</f>
        <v>1</v>
      </c>
      <c r="AH79" s="161"/>
      <c r="AI79" s="161"/>
      <c r="AJ79" s="161"/>
      <c r="AK79" s="161"/>
      <c r="AL79" s="161"/>
      <c r="AM79" s="161"/>
      <c r="AN79" s="161"/>
      <c r="AO79" s="161"/>
    </row>
    <row r="80" customFormat="false" ht="12.75" hidden="false" customHeight="true" outlineLevel="0" collapsed="false">
      <c r="A80" s="161" t="n">
        <v>21</v>
      </c>
      <c r="B80" s="161"/>
      <c r="C80" s="161"/>
      <c r="D80" s="161" t="n">
        <f aca="false">IF(1&gt;=Scenarios!$J$23+Scenarios!$K$23,1,0)</f>
        <v>0</v>
      </c>
      <c r="E80" s="161" t="n">
        <f aca="false">IF(2&gt;=Scenarios!$J$23+Scenarios!$K$23,1,0)</f>
        <v>0</v>
      </c>
      <c r="F80" s="161" t="n">
        <f aca="false">IF(3&gt;=Scenarios!$J$23+Scenarios!$K$23,1,0)</f>
        <v>1</v>
      </c>
      <c r="G80" s="161" t="n">
        <f aca="false">IF(4&gt;=Scenarios!$J$23+Scenarios!$K$23,1,0)</f>
        <v>1</v>
      </c>
      <c r="H80" s="161" t="n">
        <f aca="false">IF(5&gt;=Scenarios!$J$23+Scenarios!$K$23,1,0)</f>
        <v>1</v>
      </c>
      <c r="I80" s="161" t="n">
        <f aca="false">IF(6&gt;=Scenarios!$J$23+Scenarios!$K$23,1,0)</f>
        <v>1</v>
      </c>
      <c r="J80" s="161" t="n">
        <f aca="false">IF(7&gt;=Scenarios!$J$23+Scenarios!$K$23,1,0)</f>
        <v>1</v>
      </c>
      <c r="K80" s="161" t="n">
        <f aca="false">IF(8&gt;=Scenarios!$J$23+Scenarios!$K$23,1,0)</f>
        <v>1</v>
      </c>
      <c r="L80" s="161" t="n">
        <f aca="false">IF(9&gt;=Scenarios!$J$23+Scenarios!$K$23,1,0)</f>
        <v>1</v>
      </c>
      <c r="M80" s="161" t="n">
        <f aca="false">IF(10&gt;=Scenarios!$J$23+Scenarios!$K$23,1,0)</f>
        <v>1</v>
      </c>
      <c r="N80" s="161" t="n">
        <f aca="false">IF(11&gt;=Scenarios!$J$23+Scenarios!$K$23,1,0)</f>
        <v>1</v>
      </c>
      <c r="O80" s="161" t="n">
        <f aca="false">IF(12&gt;=Scenarios!$J$23+Scenarios!$K$23,1,0)</f>
        <v>1</v>
      </c>
      <c r="P80" s="161" t="n">
        <f aca="false">IF(13&gt;=Scenarios!$J$23+Scenarios!$K$23,1,0)</f>
        <v>1</v>
      </c>
      <c r="Q80" s="161" t="n">
        <f aca="false">IF(14&gt;=Scenarios!$J$23+Scenarios!$K$23,1,0)</f>
        <v>1</v>
      </c>
      <c r="R80" s="161" t="n">
        <f aca="false">IF(15&gt;=Scenarios!$J$23+Scenarios!$K$23,1,0)</f>
        <v>1</v>
      </c>
      <c r="S80" s="161" t="n">
        <f aca="false">IF(16&gt;=Scenarios!$J$23+Scenarios!$K$23,1,0)</f>
        <v>1</v>
      </c>
      <c r="T80" s="161" t="n">
        <f aca="false">IF(17&gt;=Scenarios!$J$23+Scenarios!$K$23,1,0)</f>
        <v>1</v>
      </c>
      <c r="U80" s="161" t="n">
        <f aca="false">IF(18&gt;=Scenarios!$J$23+Scenarios!$K$23,1,0)</f>
        <v>1</v>
      </c>
      <c r="V80" s="161" t="n">
        <f aca="false">IF(19&gt;=Scenarios!$J$23+Scenarios!$K$23,1,0)</f>
        <v>1</v>
      </c>
      <c r="W80" s="161" t="n">
        <f aca="false">IF(20&gt;=Scenarios!$J$23+Scenarios!$K$23,1,0)</f>
        <v>1</v>
      </c>
      <c r="X80" s="161" t="n">
        <f aca="false">IF(21&gt;=Scenarios!$J$23+Scenarios!$K$23,1,0)</f>
        <v>1</v>
      </c>
      <c r="Y80" s="161" t="n">
        <f aca="false">IF(22&gt;=Scenarios!$J$23+Scenarios!$K$23,1,0)</f>
        <v>1</v>
      </c>
      <c r="Z80" s="161" t="n">
        <f aca="false">IF(23&gt;=Scenarios!$J$23+Scenarios!$K$23,1,0)</f>
        <v>1</v>
      </c>
      <c r="AA80" s="161" t="n">
        <f aca="false">IF(24&gt;=Scenarios!$J$23+Scenarios!$K$23,1,0)</f>
        <v>1</v>
      </c>
      <c r="AB80" s="161" t="n">
        <f aca="false">IF(25&gt;=Scenarios!$J$23+Scenarios!$K$23,1,0)</f>
        <v>1</v>
      </c>
      <c r="AC80" s="161" t="n">
        <f aca="false">IF(26&gt;=Scenarios!$J$23+Scenarios!$K$23,1,0)</f>
        <v>1</v>
      </c>
      <c r="AD80" s="161" t="n">
        <f aca="false">IF(27&gt;=Scenarios!$J$23+Scenarios!$K$23,1,0)</f>
        <v>1</v>
      </c>
      <c r="AE80" s="161" t="n">
        <f aca="false">IF(28&gt;=Scenarios!$J$23+Scenarios!$K$23,1,0)</f>
        <v>1</v>
      </c>
      <c r="AF80" s="161" t="n">
        <f aca="false">IF(29&gt;=Scenarios!$J$23+Scenarios!$K$23,1,0)</f>
        <v>1</v>
      </c>
      <c r="AG80" s="161" t="n">
        <f aca="false">IF(30&gt;=Scenarios!$J$23+Scenarios!$K$23,1,0)</f>
        <v>1</v>
      </c>
      <c r="AH80" s="161"/>
      <c r="AI80" s="161"/>
      <c r="AJ80" s="161"/>
      <c r="AK80" s="161"/>
      <c r="AL80" s="161"/>
      <c r="AM80" s="161"/>
      <c r="AN80" s="161"/>
      <c r="AO80" s="161"/>
    </row>
    <row r="81" customFormat="false" ht="12.75" hidden="false" customHeight="true" outlineLevel="0" collapsed="false">
      <c r="A81" s="161" t="n">
        <v>22</v>
      </c>
      <c r="B81" s="161"/>
      <c r="C81" s="161"/>
      <c r="D81" s="161" t="n">
        <f aca="false">IF(1&gt;=Scenarios!$J$24+Scenarios!$K$24,1,0)</f>
        <v>0</v>
      </c>
      <c r="E81" s="161" t="n">
        <f aca="false">IF(2&gt;=Scenarios!$J$24+Scenarios!$K$24,1,0)</f>
        <v>0</v>
      </c>
      <c r="F81" s="161" t="n">
        <f aca="false">IF(3&gt;=Scenarios!$J$24+Scenarios!$K$24,1,0)</f>
        <v>1</v>
      </c>
      <c r="G81" s="161" t="n">
        <f aca="false">IF(4&gt;=Scenarios!$J$24+Scenarios!$K$24,1,0)</f>
        <v>1</v>
      </c>
      <c r="H81" s="161" t="n">
        <f aca="false">IF(5&gt;=Scenarios!$J$24+Scenarios!$K$24,1,0)</f>
        <v>1</v>
      </c>
      <c r="I81" s="161" t="n">
        <f aca="false">IF(6&gt;=Scenarios!$J$24+Scenarios!$K$24,1,0)</f>
        <v>1</v>
      </c>
      <c r="J81" s="161" t="n">
        <f aca="false">IF(7&gt;=Scenarios!$J$24+Scenarios!$K$24,1,0)</f>
        <v>1</v>
      </c>
      <c r="K81" s="161" t="n">
        <f aca="false">IF(8&gt;=Scenarios!$J$24+Scenarios!$K$24,1,0)</f>
        <v>1</v>
      </c>
      <c r="L81" s="161" t="n">
        <f aca="false">IF(9&gt;=Scenarios!$J$24+Scenarios!$K$24,1,0)</f>
        <v>1</v>
      </c>
      <c r="M81" s="161" t="n">
        <f aca="false">IF(10&gt;=Scenarios!$J$24+Scenarios!$K$24,1,0)</f>
        <v>1</v>
      </c>
      <c r="N81" s="161" t="n">
        <f aca="false">IF(11&gt;=Scenarios!$J$24+Scenarios!$K$24,1,0)</f>
        <v>1</v>
      </c>
      <c r="O81" s="161" t="n">
        <f aca="false">IF(12&gt;=Scenarios!$J$24+Scenarios!$K$24,1,0)</f>
        <v>1</v>
      </c>
      <c r="P81" s="161" t="n">
        <f aca="false">IF(13&gt;=Scenarios!$J$24+Scenarios!$K$24,1,0)</f>
        <v>1</v>
      </c>
      <c r="Q81" s="161" t="n">
        <f aca="false">IF(14&gt;=Scenarios!$J$24+Scenarios!$K$24,1,0)</f>
        <v>1</v>
      </c>
      <c r="R81" s="161" t="n">
        <f aca="false">IF(15&gt;=Scenarios!$J$24+Scenarios!$K$24,1,0)</f>
        <v>1</v>
      </c>
      <c r="S81" s="161" t="n">
        <f aca="false">IF(16&gt;=Scenarios!$J$24+Scenarios!$K$24,1,0)</f>
        <v>1</v>
      </c>
      <c r="T81" s="161" t="n">
        <f aca="false">IF(17&gt;=Scenarios!$J$24+Scenarios!$K$24,1,0)</f>
        <v>1</v>
      </c>
      <c r="U81" s="161" t="n">
        <f aca="false">IF(18&gt;=Scenarios!$J$24+Scenarios!$K$24,1,0)</f>
        <v>1</v>
      </c>
      <c r="V81" s="161" t="n">
        <f aca="false">IF(19&gt;=Scenarios!$J$24+Scenarios!$K$24,1,0)</f>
        <v>1</v>
      </c>
      <c r="W81" s="161" t="n">
        <f aca="false">IF(20&gt;=Scenarios!$J$24+Scenarios!$K$24,1,0)</f>
        <v>1</v>
      </c>
      <c r="X81" s="161" t="n">
        <f aca="false">IF(21&gt;=Scenarios!$J$24+Scenarios!$K$24,1,0)</f>
        <v>1</v>
      </c>
      <c r="Y81" s="161" t="n">
        <f aca="false">IF(22&gt;=Scenarios!$J$24+Scenarios!$K$24,1,0)</f>
        <v>1</v>
      </c>
      <c r="Z81" s="161" t="n">
        <f aca="false">IF(23&gt;=Scenarios!$J$24+Scenarios!$K$24,1,0)</f>
        <v>1</v>
      </c>
      <c r="AA81" s="161" t="n">
        <f aca="false">IF(24&gt;=Scenarios!$J$24+Scenarios!$K$24,1,0)</f>
        <v>1</v>
      </c>
      <c r="AB81" s="161" t="n">
        <f aca="false">IF(25&gt;=Scenarios!$J$24+Scenarios!$K$24,1,0)</f>
        <v>1</v>
      </c>
      <c r="AC81" s="161" t="n">
        <f aca="false">IF(26&gt;=Scenarios!$J$24+Scenarios!$K$24,1,0)</f>
        <v>1</v>
      </c>
      <c r="AD81" s="161" t="n">
        <f aca="false">IF(27&gt;=Scenarios!$J$24+Scenarios!$K$24,1,0)</f>
        <v>1</v>
      </c>
      <c r="AE81" s="161" t="n">
        <f aca="false">IF(28&gt;=Scenarios!$J$24+Scenarios!$K$24,1,0)</f>
        <v>1</v>
      </c>
      <c r="AF81" s="161" t="n">
        <f aca="false">IF(29&gt;=Scenarios!$J$24+Scenarios!$K$24,1,0)</f>
        <v>1</v>
      </c>
      <c r="AG81" s="161" t="n">
        <f aca="false">IF(30&gt;=Scenarios!$J$24+Scenarios!$K$24,1,0)</f>
        <v>1</v>
      </c>
      <c r="AH81" s="161"/>
      <c r="AI81" s="161"/>
      <c r="AJ81" s="161"/>
      <c r="AK81" s="161"/>
      <c r="AL81" s="161"/>
      <c r="AM81" s="161"/>
      <c r="AN81" s="161"/>
      <c r="AO81" s="161"/>
    </row>
    <row r="82" customFormat="false" ht="12.75" hidden="false" customHeight="true" outlineLevel="0" collapsed="false">
      <c r="A82" s="161" t="n">
        <v>23</v>
      </c>
      <c r="B82" s="161"/>
      <c r="C82" s="161"/>
      <c r="D82" s="161" t="n">
        <f aca="false">IF(1&gt;=Scenarios!$J$25+Scenarios!$K$25,1,0)</f>
        <v>0</v>
      </c>
      <c r="E82" s="161" t="n">
        <f aca="false">IF(2&gt;=Scenarios!$J$25+Scenarios!$K$25,1,0)</f>
        <v>1</v>
      </c>
      <c r="F82" s="161" t="n">
        <f aca="false">IF(3&gt;=Scenarios!$J$25+Scenarios!$K$25,1,0)</f>
        <v>1</v>
      </c>
      <c r="G82" s="161" t="n">
        <f aca="false">IF(4&gt;=Scenarios!$J$25+Scenarios!$K$25,1,0)</f>
        <v>1</v>
      </c>
      <c r="H82" s="161" t="n">
        <f aca="false">IF(5&gt;=Scenarios!$J$25+Scenarios!$K$25,1,0)</f>
        <v>1</v>
      </c>
      <c r="I82" s="161" t="n">
        <f aca="false">IF(6&gt;=Scenarios!$J$25+Scenarios!$K$25,1,0)</f>
        <v>1</v>
      </c>
      <c r="J82" s="161" t="n">
        <f aca="false">IF(7&gt;=Scenarios!$J$25+Scenarios!$K$25,1,0)</f>
        <v>1</v>
      </c>
      <c r="K82" s="161" t="n">
        <f aca="false">IF(8&gt;=Scenarios!$J$25+Scenarios!$K$25,1,0)</f>
        <v>1</v>
      </c>
      <c r="L82" s="161" t="n">
        <f aca="false">IF(9&gt;=Scenarios!$J$25+Scenarios!$K$25,1,0)</f>
        <v>1</v>
      </c>
      <c r="M82" s="161" t="n">
        <f aca="false">IF(10&gt;=Scenarios!$J$25+Scenarios!$K$25,1,0)</f>
        <v>1</v>
      </c>
      <c r="N82" s="161" t="n">
        <f aca="false">IF(11&gt;=Scenarios!$J$25+Scenarios!$K$25,1,0)</f>
        <v>1</v>
      </c>
      <c r="O82" s="161" t="n">
        <f aca="false">IF(12&gt;=Scenarios!$J$25+Scenarios!$K$25,1,0)</f>
        <v>1</v>
      </c>
      <c r="P82" s="161" t="n">
        <f aca="false">IF(13&gt;=Scenarios!$J$25+Scenarios!$K$25,1,0)</f>
        <v>1</v>
      </c>
      <c r="Q82" s="161" t="n">
        <f aca="false">IF(14&gt;=Scenarios!$J$25+Scenarios!$K$25,1,0)</f>
        <v>1</v>
      </c>
      <c r="R82" s="161" t="n">
        <f aca="false">IF(15&gt;=Scenarios!$J$25+Scenarios!$K$25,1,0)</f>
        <v>1</v>
      </c>
      <c r="S82" s="161" t="n">
        <f aca="false">IF(16&gt;=Scenarios!$J$25+Scenarios!$K$25,1,0)</f>
        <v>1</v>
      </c>
      <c r="T82" s="161" t="n">
        <f aca="false">IF(17&gt;=Scenarios!$J$25+Scenarios!$K$25,1,0)</f>
        <v>1</v>
      </c>
      <c r="U82" s="161" t="n">
        <f aca="false">IF(18&gt;=Scenarios!$J$25+Scenarios!$K$25,1,0)</f>
        <v>1</v>
      </c>
      <c r="V82" s="161" t="n">
        <f aca="false">IF(19&gt;=Scenarios!$J$25+Scenarios!$K$25,1,0)</f>
        <v>1</v>
      </c>
      <c r="W82" s="161" t="n">
        <f aca="false">IF(20&gt;=Scenarios!$J$25+Scenarios!$K$25,1,0)</f>
        <v>1</v>
      </c>
      <c r="X82" s="161" t="n">
        <f aca="false">IF(21&gt;=Scenarios!$J$25+Scenarios!$K$25,1,0)</f>
        <v>1</v>
      </c>
      <c r="Y82" s="161" t="n">
        <f aca="false">IF(22&gt;=Scenarios!$J$25+Scenarios!$K$25,1,0)</f>
        <v>1</v>
      </c>
      <c r="Z82" s="161" t="n">
        <f aca="false">IF(23&gt;=Scenarios!$J$25+Scenarios!$K$25,1,0)</f>
        <v>1</v>
      </c>
      <c r="AA82" s="161" t="n">
        <f aca="false">IF(24&gt;=Scenarios!$J$25+Scenarios!$K$25,1,0)</f>
        <v>1</v>
      </c>
      <c r="AB82" s="161" t="n">
        <f aca="false">IF(25&gt;=Scenarios!$J$25+Scenarios!$K$25,1,0)</f>
        <v>1</v>
      </c>
      <c r="AC82" s="161" t="n">
        <f aca="false">IF(26&gt;=Scenarios!$J$25+Scenarios!$K$25,1,0)</f>
        <v>1</v>
      </c>
      <c r="AD82" s="161" t="n">
        <f aca="false">IF(27&gt;=Scenarios!$J$25+Scenarios!$K$25,1,0)</f>
        <v>1</v>
      </c>
      <c r="AE82" s="161" t="n">
        <f aca="false">IF(28&gt;=Scenarios!$J$25+Scenarios!$K$25,1,0)</f>
        <v>1</v>
      </c>
      <c r="AF82" s="161" t="n">
        <f aca="false">IF(29&gt;=Scenarios!$J$25+Scenarios!$K$25,1,0)</f>
        <v>1</v>
      </c>
      <c r="AG82" s="161" t="n">
        <f aca="false">IF(30&gt;=Scenarios!$J$25+Scenarios!$K$25,1,0)</f>
        <v>1</v>
      </c>
      <c r="AH82" s="161"/>
      <c r="AI82" s="161"/>
      <c r="AJ82" s="161"/>
      <c r="AK82" s="161"/>
      <c r="AL82" s="161"/>
      <c r="AM82" s="161"/>
      <c r="AN82" s="161"/>
      <c r="AO82" s="161"/>
    </row>
    <row r="83" customFormat="false" ht="12.75" hidden="false" customHeight="true" outlineLevel="0" collapsed="false">
      <c r="A83" s="161" t="n">
        <v>24</v>
      </c>
      <c r="B83" s="161"/>
      <c r="C83" s="161"/>
      <c r="D83" s="161" t="n">
        <f aca="false">IF(1&gt;=Scenarios!$J$26+Scenarios!$K$26,1,0)</f>
        <v>0</v>
      </c>
      <c r="E83" s="161" t="n">
        <f aca="false">IF(2&gt;=Scenarios!$J$26+Scenarios!$K$26,1,0)</f>
        <v>1</v>
      </c>
      <c r="F83" s="161" t="n">
        <f aca="false">IF(3&gt;=Scenarios!$J$26+Scenarios!$K$26,1,0)</f>
        <v>1</v>
      </c>
      <c r="G83" s="161" t="n">
        <f aca="false">IF(4&gt;=Scenarios!$J$26+Scenarios!$K$26,1,0)</f>
        <v>1</v>
      </c>
      <c r="H83" s="161" t="n">
        <f aca="false">IF(5&gt;=Scenarios!$J$26+Scenarios!$K$26,1,0)</f>
        <v>1</v>
      </c>
      <c r="I83" s="161" t="n">
        <f aca="false">IF(6&gt;=Scenarios!$J$26+Scenarios!$K$26,1,0)</f>
        <v>1</v>
      </c>
      <c r="J83" s="161" t="n">
        <f aca="false">IF(7&gt;=Scenarios!$J$26+Scenarios!$K$26,1,0)</f>
        <v>1</v>
      </c>
      <c r="K83" s="161" t="n">
        <f aca="false">IF(8&gt;=Scenarios!$J$26+Scenarios!$K$26,1,0)</f>
        <v>1</v>
      </c>
      <c r="L83" s="161" t="n">
        <f aca="false">IF(9&gt;=Scenarios!$J$26+Scenarios!$K$26,1,0)</f>
        <v>1</v>
      </c>
      <c r="M83" s="161" t="n">
        <f aca="false">IF(10&gt;=Scenarios!$J$26+Scenarios!$K$26,1,0)</f>
        <v>1</v>
      </c>
      <c r="N83" s="161" t="n">
        <f aca="false">IF(11&gt;=Scenarios!$J$26+Scenarios!$K$26,1,0)</f>
        <v>1</v>
      </c>
      <c r="O83" s="161" t="n">
        <f aca="false">IF(12&gt;=Scenarios!$J$26+Scenarios!$K$26,1,0)</f>
        <v>1</v>
      </c>
      <c r="P83" s="161" t="n">
        <f aca="false">IF(13&gt;=Scenarios!$J$26+Scenarios!$K$26,1,0)</f>
        <v>1</v>
      </c>
      <c r="Q83" s="161" t="n">
        <f aca="false">IF(14&gt;=Scenarios!$J$26+Scenarios!$K$26,1,0)</f>
        <v>1</v>
      </c>
      <c r="R83" s="161" t="n">
        <f aca="false">IF(15&gt;=Scenarios!$J$26+Scenarios!$K$26,1,0)</f>
        <v>1</v>
      </c>
      <c r="S83" s="161" t="n">
        <f aca="false">IF(16&gt;=Scenarios!$J$26+Scenarios!$K$26,1,0)</f>
        <v>1</v>
      </c>
      <c r="T83" s="161" t="n">
        <f aca="false">IF(17&gt;=Scenarios!$J$26+Scenarios!$K$26,1,0)</f>
        <v>1</v>
      </c>
      <c r="U83" s="161" t="n">
        <f aca="false">IF(18&gt;=Scenarios!$J$26+Scenarios!$K$26,1,0)</f>
        <v>1</v>
      </c>
      <c r="V83" s="161" t="n">
        <f aca="false">IF(19&gt;=Scenarios!$J$26+Scenarios!$K$26,1,0)</f>
        <v>1</v>
      </c>
      <c r="W83" s="161" t="n">
        <f aca="false">IF(20&gt;=Scenarios!$J$26+Scenarios!$K$26,1,0)</f>
        <v>1</v>
      </c>
      <c r="X83" s="161" t="n">
        <f aca="false">IF(21&gt;=Scenarios!$J$26+Scenarios!$K$26,1,0)</f>
        <v>1</v>
      </c>
      <c r="Y83" s="161" t="n">
        <f aca="false">IF(22&gt;=Scenarios!$J$26+Scenarios!$K$26,1,0)</f>
        <v>1</v>
      </c>
      <c r="Z83" s="161" t="n">
        <f aca="false">IF(23&gt;=Scenarios!$J$26+Scenarios!$K$26,1,0)</f>
        <v>1</v>
      </c>
      <c r="AA83" s="161" t="n">
        <f aca="false">IF(24&gt;=Scenarios!$J$26+Scenarios!$K$26,1,0)</f>
        <v>1</v>
      </c>
      <c r="AB83" s="161" t="n">
        <f aca="false">IF(25&gt;=Scenarios!$J$26+Scenarios!$K$26,1,0)</f>
        <v>1</v>
      </c>
      <c r="AC83" s="161" t="n">
        <f aca="false">IF(26&gt;=Scenarios!$J$26+Scenarios!$K$26,1,0)</f>
        <v>1</v>
      </c>
      <c r="AD83" s="161" t="n">
        <f aca="false">IF(27&gt;=Scenarios!$J$26+Scenarios!$K$26,1,0)</f>
        <v>1</v>
      </c>
      <c r="AE83" s="161" t="n">
        <f aca="false">IF(28&gt;=Scenarios!$J$26+Scenarios!$K$26,1,0)</f>
        <v>1</v>
      </c>
      <c r="AF83" s="161" t="n">
        <f aca="false">IF(29&gt;=Scenarios!$J$26+Scenarios!$K$26,1,0)</f>
        <v>1</v>
      </c>
      <c r="AG83" s="161" t="n">
        <f aca="false">IF(30&gt;=Scenarios!$J$26+Scenarios!$K$26,1,0)</f>
        <v>1</v>
      </c>
      <c r="AH83" s="161"/>
      <c r="AI83" s="161"/>
      <c r="AJ83" s="161"/>
      <c r="AK83" s="161"/>
      <c r="AL83" s="161"/>
      <c r="AM83" s="161"/>
      <c r="AN83" s="161"/>
      <c r="AO83" s="161"/>
    </row>
    <row r="84" customFormat="false" ht="12.75" hidden="false" customHeight="true" outlineLevel="0" collapsed="false">
      <c r="A84" s="161" t="n">
        <v>25</v>
      </c>
      <c r="B84" s="161"/>
      <c r="C84" s="161"/>
      <c r="D84" s="161" t="n">
        <f aca="false">IF(1&gt;=Scenarios!$J$27+Scenarios!$K$27,1,0)</f>
        <v>0</v>
      </c>
      <c r="E84" s="161" t="n">
        <f aca="false">IF(2&gt;=Scenarios!$J$27+Scenarios!$K$27,1,0)</f>
        <v>1</v>
      </c>
      <c r="F84" s="161" t="n">
        <f aca="false">IF(3&gt;=Scenarios!$J$27+Scenarios!$K$27,1,0)</f>
        <v>1</v>
      </c>
      <c r="G84" s="161" t="n">
        <f aca="false">IF(4&gt;=Scenarios!$J$27+Scenarios!$K$27,1,0)</f>
        <v>1</v>
      </c>
      <c r="H84" s="161" t="n">
        <f aca="false">IF(5&gt;=Scenarios!$J$27+Scenarios!$K$27,1,0)</f>
        <v>1</v>
      </c>
      <c r="I84" s="161" t="n">
        <f aca="false">IF(6&gt;=Scenarios!$J$27+Scenarios!$K$27,1,0)</f>
        <v>1</v>
      </c>
      <c r="J84" s="161" t="n">
        <f aca="false">IF(7&gt;=Scenarios!$J$27+Scenarios!$K$27,1,0)</f>
        <v>1</v>
      </c>
      <c r="K84" s="161" t="n">
        <f aca="false">IF(8&gt;=Scenarios!$J$27+Scenarios!$K$27,1,0)</f>
        <v>1</v>
      </c>
      <c r="L84" s="161" t="n">
        <f aca="false">IF(9&gt;=Scenarios!$J$27+Scenarios!$K$27,1,0)</f>
        <v>1</v>
      </c>
      <c r="M84" s="161" t="n">
        <f aca="false">IF(10&gt;=Scenarios!$J$27+Scenarios!$K$27,1,0)</f>
        <v>1</v>
      </c>
      <c r="N84" s="161" t="n">
        <f aca="false">IF(11&gt;=Scenarios!$J$27+Scenarios!$K$27,1,0)</f>
        <v>1</v>
      </c>
      <c r="O84" s="161" t="n">
        <f aca="false">IF(12&gt;=Scenarios!$J$27+Scenarios!$K$27,1,0)</f>
        <v>1</v>
      </c>
      <c r="P84" s="161" t="n">
        <f aca="false">IF(13&gt;=Scenarios!$J$27+Scenarios!$K$27,1,0)</f>
        <v>1</v>
      </c>
      <c r="Q84" s="161" t="n">
        <f aca="false">IF(14&gt;=Scenarios!$J$27+Scenarios!$K$27,1,0)</f>
        <v>1</v>
      </c>
      <c r="R84" s="161" t="n">
        <f aca="false">IF(15&gt;=Scenarios!$J$27+Scenarios!$K$27,1,0)</f>
        <v>1</v>
      </c>
      <c r="S84" s="161" t="n">
        <f aca="false">IF(16&gt;=Scenarios!$J$27+Scenarios!$K$27,1,0)</f>
        <v>1</v>
      </c>
      <c r="T84" s="161" t="n">
        <f aca="false">IF(17&gt;=Scenarios!$J$27+Scenarios!$K$27,1,0)</f>
        <v>1</v>
      </c>
      <c r="U84" s="161" t="n">
        <f aca="false">IF(18&gt;=Scenarios!$J$27+Scenarios!$K$27,1,0)</f>
        <v>1</v>
      </c>
      <c r="V84" s="161" t="n">
        <f aca="false">IF(19&gt;=Scenarios!$J$27+Scenarios!$K$27,1,0)</f>
        <v>1</v>
      </c>
      <c r="W84" s="161" t="n">
        <f aca="false">IF(20&gt;=Scenarios!$J$27+Scenarios!$K$27,1,0)</f>
        <v>1</v>
      </c>
      <c r="X84" s="161" t="n">
        <f aca="false">IF(21&gt;=Scenarios!$J$27+Scenarios!$K$27,1,0)</f>
        <v>1</v>
      </c>
      <c r="Y84" s="161" t="n">
        <f aca="false">IF(22&gt;=Scenarios!$J$27+Scenarios!$K$27,1,0)</f>
        <v>1</v>
      </c>
      <c r="Z84" s="161" t="n">
        <f aca="false">IF(23&gt;=Scenarios!$J$27+Scenarios!$K$27,1,0)</f>
        <v>1</v>
      </c>
      <c r="AA84" s="161" t="n">
        <f aca="false">IF(24&gt;=Scenarios!$J$27+Scenarios!$K$27,1,0)</f>
        <v>1</v>
      </c>
      <c r="AB84" s="161" t="n">
        <f aca="false">IF(25&gt;=Scenarios!$J$27+Scenarios!$K$27,1,0)</f>
        <v>1</v>
      </c>
      <c r="AC84" s="161" t="n">
        <f aca="false">IF(26&gt;=Scenarios!$J$27+Scenarios!$K$27,1,0)</f>
        <v>1</v>
      </c>
      <c r="AD84" s="161" t="n">
        <f aca="false">IF(27&gt;=Scenarios!$J$27+Scenarios!$K$27,1,0)</f>
        <v>1</v>
      </c>
      <c r="AE84" s="161" t="n">
        <f aca="false">IF(28&gt;=Scenarios!$J$27+Scenarios!$K$27,1,0)</f>
        <v>1</v>
      </c>
      <c r="AF84" s="161" t="n">
        <f aca="false">IF(29&gt;=Scenarios!$J$27+Scenarios!$K$27,1,0)</f>
        <v>1</v>
      </c>
      <c r="AG84" s="161" t="n">
        <f aca="false">IF(30&gt;=Scenarios!$J$27+Scenarios!$K$27,1,0)</f>
        <v>1</v>
      </c>
      <c r="AH84" s="161"/>
      <c r="AI84" s="161"/>
      <c r="AJ84" s="161"/>
      <c r="AK84" s="161"/>
      <c r="AL84" s="161"/>
      <c r="AM84" s="161"/>
      <c r="AN84" s="161"/>
      <c r="AO84" s="161"/>
    </row>
  </sheetData>
  <mergeCells count="3">
    <mergeCell ref="A1:AG1"/>
    <mergeCell ref="A2:AG2"/>
    <mergeCell ref="A29:AG29"/>
  </mergeCell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7"/>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E21" activeCellId="0" sqref="E21"/>
    </sheetView>
  </sheetViews>
  <sheetFormatPr defaultColWidth="8.66796875" defaultRowHeight="14.25" customHeight="false" zeroHeight="false" outlineLevelRow="0" outlineLevelCol="0"/>
  <cols>
    <col collapsed="false" customWidth="true" hidden="false" outlineLevel="0" max="1" min="1" style="166" width="34"/>
    <col collapsed="false" customWidth="true" hidden="false" outlineLevel="0" max="8" min="2" style="166" width="13"/>
  </cols>
  <sheetData>
    <row r="1" customFormat="false" ht="14.25" hidden="false" customHeight="true" outlineLevel="0" collapsed="false">
      <c r="A1" s="253" t="s">
        <v>867</v>
      </c>
      <c r="B1" s="253" t="s">
        <v>868</v>
      </c>
      <c r="C1" s="253" t="s">
        <v>153</v>
      </c>
      <c r="D1" s="253" t="s">
        <v>869</v>
      </c>
      <c r="E1" s="253" t="s">
        <v>323</v>
      </c>
      <c r="F1" s="253" t="s">
        <v>870</v>
      </c>
      <c r="G1" s="253" t="s">
        <v>871</v>
      </c>
      <c r="H1" s="253" t="s">
        <v>872</v>
      </c>
    </row>
    <row r="2" customFormat="false" ht="28.5" hidden="false" customHeight="true" outlineLevel="0" collapsed="false">
      <c r="A2" s="254" t="s">
        <v>873</v>
      </c>
      <c r="B2" s="254" t="n">
        <v>400</v>
      </c>
      <c r="C2" s="254" t="s">
        <v>874</v>
      </c>
      <c r="D2" s="254" t="s">
        <v>875</v>
      </c>
      <c r="E2" s="254" t="s">
        <v>394</v>
      </c>
      <c r="F2" s="254" t="s">
        <v>876</v>
      </c>
      <c r="G2" s="254" t="s">
        <v>877</v>
      </c>
      <c r="H2" s="254" t="s">
        <v>878</v>
      </c>
    </row>
    <row r="3" customFormat="false" ht="28.5" hidden="false" customHeight="true" outlineLevel="0" collapsed="false">
      <c r="A3" s="254" t="s">
        <v>879</v>
      </c>
      <c r="B3" s="254" t="n">
        <v>60</v>
      </c>
      <c r="C3" s="254" t="s">
        <v>874</v>
      </c>
      <c r="D3" s="254" t="s">
        <v>880</v>
      </c>
      <c r="E3" s="254" t="s">
        <v>394</v>
      </c>
      <c r="F3" s="254" t="s">
        <v>881</v>
      </c>
      <c r="G3" s="254" t="s">
        <v>877</v>
      </c>
      <c r="H3" s="254" t="s">
        <v>878</v>
      </c>
    </row>
    <row r="4" customFormat="false" ht="28.5" hidden="false" customHeight="true" outlineLevel="0" collapsed="false">
      <c r="A4" s="254" t="s">
        <v>882</v>
      </c>
      <c r="B4" s="254" t="n">
        <v>300</v>
      </c>
      <c r="C4" s="254" t="s">
        <v>874</v>
      </c>
      <c r="D4" s="254" t="s">
        <v>883</v>
      </c>
      <c r="E4" s="254" t="s">
        <v>394</v>
      </c>
      <c r="F4" s="254" t="s">
        <v>884</v>
      </c>
      <c r="G4" s="254" t="s">
        <v>877</v>
      </c>
      <c r="H4" s="254" t="s">
        <v>878</v>
      </c>
    </row>
    <row r="5" customFormat="false" ht="28.5" hidden="false" customHeight="true" outlineLevel="0" collapsed="false">
      <c r="A5" s="254" t="s">
        <v>885</v>
      </c>
      <c r="B5" s="254" t="n">
        <v>40</v>
      </c>
      <c r="C5" s="254" t="s">
        <v>874</v>
      </c>
      <c r="D5" s="254" t="s">
        <v>886</v>
      </c>
      <c r="E5" s="254" t="s">
        <v>394</v>
      </c>
      <c r="F5" s="254" t="s">
        <v>887</v>
      </c>
      <c r="G5" s="254" t="s">
        <v>877</v>
      </c>
      <c r="H5" s="254" t="s">
        <v>878</v>
      </c>
    </row>
    <row r="6" customFormat="false" ht="28.5" hidden="false" customHeight="true" outlineLevel="0" collapsed="false">
      <c r="A6" s="254" t="s">
        <v>888</v>
      </c>
      <c r="B6" s="254" t="n">
        <v>120</v>
      </c>
      <c r="C6" s="254" t="s">
        <v>889</v>
      </c>
      <c r="D6" s="254" t="s">
        <v>890</v>
      </c>
      <c r="E6" s="254" t="s">
        <v>394</v>
      </c>
      <c r="F6" s="254" t="s">
        <v>891</v>
      </c>
      <c r="G6" s="254" t="s">
        <v>892</v>
      </c>
      <c r="H6" s="254" t="s">
        <v>878</v>
      </c>
    </row>
    <row r="7" customFormat="false" ht="28.5" hidden="false" customHeight="true" outlineLevel="0" collapsed="false">
      <c r="A7" s="254" t="s">
        <v>893</v>
      </c>
      <c r="B7" s="254" t="n">
        <v>0.02</v>
      </c>
      <c r="C7" s="254" t="s">
        <v>894</v>
      </c>
      <c r="D7" s="254" t="s">
        <v>895</v>
      </c>
      <c r="E7" s="254" t="s">
        <v>394</v>
      </c>
      <c r="F7" s="254" t="s">
        <v>896</v>
      </c>
      <c r="G7" s="254" t="s">
        <v>892</v>
      </c>
      <c r="H7" s="254" t="s">
        <v>878</v>
      </c>
    </row>
    <row r="8" customFormat="false" ht="28.5" hidden="false" customHeight="true" outlineLevel="0" collapsed="false">
      <c r="A8" s="254" t="s">
        <v>897</v>
      </c>
      <c r="B8" s="254" t="n">
        <v>2</v>
      </c>
      <c r="C8" s="254" t="s">
        <v>898</v>
      </c>
      <c r="D8" s="254" t="s">
        <v>899</v>
      </c>
      <c r="E8" s="254" t="s">
        <v>426</v>
      </c>
      <c r="F8" s="254" t="s">
        <v>900</v>
      </c>
      <c r="G8" s="254" t="s">
        <v>901</v>
      </c>
      <c r="H8" s="254" t="s">
        <v>902</v>
      </c>
    </row>
    <row r="9" customFormat="false" ht="28.5" hidden="false" customHeight="true" outlineLevel="0" collapsed="false">
      <c r="A9" s="254" t="s">
        <v>903</v>
      </c>
      <c r="B9" s="254" t="n">
        <v>500</v>
      </c>
      <c r="C9" s="254" t="s">
        <v>904</v>
      </c>
      <c r="D9" s="254" t="s">
        <v>905</v>
      </c>
      <c r="E9" s="254" t="s">
        <v>426</v>
      </c>
      <c r="F9" s="254" t="s">
        <v>906</v>
      </c>
      <c r="G9" s="254" t="s">
        <v>907</v>
      </c>
      <c r="H9" s="254" t="s">
        <v>878</v>
      </c>
    </row>
    <row r="10" customFormat="false" ht="28.5" hidden="false" customHeight="true" outlineLevel="0" collapsed="false">
      <c r="A10" s="254" t="s">
        <v>908</v>
      </c>
      <c r="B10" s="254" t="n">
        <v>5</v>
      </c>
      <c r="C10" s="254" t="s">
        <v>909</v>
      </c>
      <c r="D10" s="254" t="s">
        <v>910</v>
      </c>
      <c r="E10" s="254" t="s">
        <v>394</v>
      </c>
      <c r="F10" s="254" t="s">
        <v>911</v>
      </c>
      <c r="G10" s="254" t="s">
        <v>912</v>
      </c>
      <c r="H10" s="254" t="s">
        <v>878</v>
      </c>
    </row>
    <row r="11" customFormat="false" ht="28.5" hidden="false" customHeight="true" outlineLevel="0" collapsed="false">
      <c r="A11" s="254" t="s">
        <v>913</v>
      </c>
      <c r="B11" s="254" t="n">
        <v>2</v>
      </c>
      <c r="C11" s="254" t="s">
        <v>914</v>
      </c>
      <c r="D11" s="254" t="s">
        <v>915</v>
      </c>
      <c r="E11" s="254" t="s">
        <v>394</v>
      </c>
      <c r="F11" s="254" t="s">
        <v>916</v>
      </c>
      <c r="G11" s="254" t="s">
        <v>917</v>
      </c>
      <c r="H11" s="254" t="s">
        <v>878</v>
      </c>
    </row>
    <row r="12" customFormat="false" ht="28.5" hidden="false" customHeight="true" outlineLevel="0" collapsed="false">
      <c r="A12" s="254" t="s">
        <v>918</v>
      </c>
      <c r="B12" s="254" t="n">
        <v>1</v>
      </c>
      <c r="C12" s="254" t="s">
        <v>919</v>
      </c>
      <c r="D12" s="254" t="s">
        <v>920</v>
      </c>
      <c r="E12" s="254" t="s">
        <v>394</v>
      </c>
      <c r="F12" s="254" t="s">
        <v>921</v>
      </c>
      <c r="G12" s="254" t="s">
        <v>922</v>
      </c>
      <c r="H12" s="254" t="s">
        <v>878</v>
      </c>
    </row>
    <row r="13" customFormat="false" ht="28.5" hidden="false" customHeight="true" outlineLevel="0" collapsed="false">
      <c r="A13" s="254" t="s">
        <v>923</v>
      </c>
      <c r="B13" s="254" t="n">
        <v>300</v>
      </c>
      <c r="C13" s="254" t="s">
        <v>924</v>
      </c>
      <c r="D13" s="254" t="s">
        <v>925</v>
      </c>
      <c r="E13" s="254" t="s">
        <v>394</v>
      </c>
      <c r="F13" s="254" t="s">
        <v>926</v>
      </c>
      <c r="G13" s="254" t="s">
        <v>877</v>
      </c>
      <c r="H13" s="254" t="s">
        <v>902</v>
      </c>
    </row>
    <row r="14" customFormat="false" ht="28.5" hidden="false" customHeight="true" outlineLevel="0" collapsed="false">
      <c r="A14" s="254" t="s">
        <v>927</v>
      </c>
      <c r="B14" s="254" t="n">
        <v>250</v>
      </c>
      <c r="C14" s="254" t="s">
        <v>924</v>
      </c>
      <c r="D14" s="254" t="s">
        <v>928</v>
      </c>
      <c r="E14" s="254" t="s">
        <v>394</v>
      </c>
      <c r="F14" s="254" t="s">
        <v>926</v>
      </c>
      <c r="G14" s="254" t="s">
        <v>877</v>
      </c>
      <c r="H14" s="254" t="s">
        <v>902</v>
      </c>
    </row>
    <row r="15" customFormat="false" ht="28.5" hidden="false" customHeight="true" outlineLevel="0" collapsed="false">
      <c r="A15" s="254" t="s">
        <v>929</v>
      </c>
      <c r="B15" s="254" t="n">
        <v>0.25</v>
      </c>
      <c r="C15" s="254" t="s">
        <v>219</v>
      </c>
      <c r="D15" s="254" t="s">
        <v>930</v>
      </c>
      <c r="E15" s="254" t="s">
        <v>394</v>
      </c>
      <c r="F15" s="254" t="s">
        <v>931</v>
      </c>
      <c r="G15" s="254" t="s">
        <v>877</v>
      </c>
      <c r="H15" s="254" t="s">
        <v>878</v>
      </c>
    </row>
    <row r="16" customFormat="false" ht="28.5" hidden="false" customHeight="true" outlineLevel="0" collapsed="false">
      <c r="A16" s="254" t="s">
        <v>932</v>
      </c>
      <c r="B16" s="254" t="n">
        <v>0.5</v>
      </c>
      <c r="C16" s="254" t="s">
        <v>933</v>
      </c>
      <c r="D16" s="254" t="s">
        <v>934</v>
      </c>
      <c r="E16" s="254" t="s">
        <v>394</v>
      </c>
      <c r="F16" s="254" t="s">
        <v>935</v>
      </c>
      <c r="G16" s="254" t="s">
        <v>877</v>
      </c>
      <c r="H16" s="254" t="s">
        <v>878</v>
      </c>
    </row>
    <row r="17" customFormat="false" ht="28.5" hidden="false" customHeight="true" outlineLevel="0" collapsed="false">
      <c r="A17" s="254" t="s">
        <v>936</v>
      </c>
      <c r="B17" s="254" t="n">
        <v>500</v>
      </c>
      <c r="C17" s="254" t="s">
        <v>937</v>
      </c>
      <c r="D17" s="254" t="s">
        <v>938</v>
      </c>
      <c r="E17" s="254" t="s">
        <v>394</v>
      </c>
      <c r="F17" s="254" t="s">
        <v>939</v>
      </c>
      <c r="G17" s="254" t="s">
        <v>940</v>
      </c>
      <c r="H17" s="254" t="s">
        <v>878</v>
      </c>
    </row>
    <row r="18" customFormat="false" ht="28.5" hidden="false" customHeight="true" outlineLevel="0" collapsed="false">
      <c r="A18" s="254" t="s">
        <v>941</v>
      </c>
      <c r="B18" s="254" t="n">
        <v>3500</v>
      </c>
      <c r="C18" s="254" t="s">
        <v>240</v>
      </c>
      <c r="D18" s="254" t="s">
        <v>942</v>
      </c>
      <c r="E18" s="254" t="s">
        <v>394</v>
      </c>
      <c r="F18" s="254" t="s">
        <v>943</v>
      </c>
      <c r="G18" s="254" t="s">
        <v>303</v>
      </c>
      <c r="H18" s="254" t="s">
        <v>878</v>
      </c>
    </row>
    <row r="19" customFormat="false" ht="28.5" hidden="false" customHeight="true" outlineLevel="0" collapsed="false">
      <c r="A19" s="254" t="s">
        <v>944</v>
      </c>
      <c r="B19" s="254" t="n">
        <v>7000</v>
      </c>
      <c r="C19" s="254" t="s">
        <v>240</v>
      </c>
      <c r="D19" s="254" t="s">
        <v>945</v>
      </c>
      <c r="E19" s="254" t="s">
        <v>394</v>
      </c>
      <c r="F19" s="254" t="s">
        <v>946</v>
      </c>
      <c r="G19" s="254" t="s">
        <v>303</v>
      </c>
      <c r="H19" s="254" t="s">
        <v>878</v>
      </c>
    </row>
    <row r="20" customFormat="false" ht="28.5" hidden="false" customHeight="true" outlineLevel="0" collapsed="false">
      <c r="A20" s="254" t="s">
        <v>947</v>
      </c>
      <c r="B20" s="254" t="n">
        <v>14000</v>
      </c>
      <c r="C20" s="254" t="s">
        <v>240</v>
      </c>
      <c r="D20" s="254" t="s">
        <v>948</v>
      </c>
      <c r="E20" s="254" t="s">
        <v>394</v>
      </c>
      <c r="F20" s="254" t="s">
        <v>949</v>
      </c>
      <c r="G20" s="254" t="s">
        <v>303</v>
      </c>
      <c r="H20" s="254" t="s">
        <v>878</v>
      </c>
    </row>
    <row r="21" customFormat="false" ht="28.5" hidden="false" customHeight="true" outlineLevel="0" collapsed="false">
      <c r="A21" s="254" t="s">
        <v>950</v>
      </c>
      <c r="B21" s="254" t="n">
        <v>1500</v>
      </c>
      <c r="C21" s="254" t="s">
        <v>191</v>
      </c>
      <c r="D21" s="254" t="s">
        <v>951</v>
      </c>
      <c r="E21" s="254" t="s">
        <v>394</v>
      </c>
      <c r="F21" s="254" t="s">
        <v>952</v>
      </c>
      <c r="G21" s="254" t="s">
        <v>303</v>
      </c>
      <c r="H21" s="254" t="s">
        <v>878</v>
      </c>
    </row>
    <row r="22" customFormat="false" ht="28.5" hidden="false" customHeight="true" outlineLevel="0" collapsed="false">
      <c r="A22" s="254" t="s">
        <v>953</v>
      </c>
      <c r="B22" s="254" t="n">
        <v>1</v>
      </c>
      <c r="C22" s="254" t="s">
        <v>914</v>
      </c>
      <c r="D22" s="254" t="s">
        <v>954</v>
      </c>
      <c r="E22" s="254" t="s">
        <v>394</v>
      </c>
      <c r="F22" s="254" t="s">
        <v>955</v>
      </c>
      <c r="G22" s="254" t="s">
        <v>303</v>
      </c>
      <c r="H22" s="254" t="s">
        <v>878</v>
      </c>
    </row>
    <row r="23" customFormat="false" ht="28.5" hidden="false" customHeight="true" outlineLevel="0" collapsed="false">
      <c r="A23" s="254" t="s">
        <v>956</v>
      </c>
      <c r="B23" s="254" t="n">
        <v>5</v>
      </c>
      <c r="C23" s="254" t="s">
        <v>957</v>
      </c>
      <c r="D23" s="254" t="s">
        <v>958</v>
      </c>
      <c r="E23" s="254" t="s">
        <v>394</v>
      </c>
      <c r="F23" s="254" t="s">
        <v>959</v>
      </c>
      <c r="G23" s="254" t="s">
        <v>303</v>
      </c>
      <c r="H23" s="254" t="s">
        <v>878</v>
      </c>
    </row>
    <row r="24" customFormat="false" ht="28.5" hidden="false" customHeight="true" outlineLevel="0" collapsed="false">
      <c r="A24" s="254" t="s">
        <v>960</v>
      </c>
      <c r="B24" s="254" t="n">
        <v>300</v>
      </c>
      <c r="C24" s="254" t="s">
        <v>874</v>
      </c>
      <c r="D24" s="254" t="s">
        <v>961</v>
      </c>
      <c r="E24" s="254" t="s">
        <v>394</v>
      </c>
      <c r="F24" s="254" t="s">
        <v>962</v>
      </c>
      <c r="G24" s="254" t="s">
        <v>963</v>
      </c>
      <c r="H24" s="254" t="s">
        <v>878</v>
      </c>
    </row>
    <row r="25" customFormat="false" ht="28.5" hidden="false" customHeight="true" outlineLevel="0" collapsed="false">
      <c r="A25" s="254" t="s">
        <v>964</v>
      </c>
      <c r="B25" s="254" t="n">
        <v>0.1</v>
      </c>
      <c r="C25" s="254" t="s">
        <v>965</v>
      </c>
      <c r="D25" s="254" t="s">
        <v>966</v>
      </c>
      <c r="E25" s="254" t="s">
        <v>394</v>
      </c>
      <c r="F25" s="254" t="s">
        <v>967</v>
      </c>
      <c r="G25" s="254" t="s">
        <v>877</v>
      </c>
      <c r="H25" s="254" t="s">
        <v>878</v>
      </c>
    </row>
    <row r="26" customFormat="false" ht="28.5" hidden="false" customHeight="true" outlineLevel="0" collapsed="false">
      <c r="A26" s="254" t="s">
        <v>968</v>
      </c>
      <c r="B26" s="254" t="n">
        <v>150000</v>
      </c>
      <c r="C26" s="254" t="s">
        <v>236</v>
      </c>
      <c r="D26" s="254" t="s">
        <v>969</v>
      </c>
      <c r="E26" s="254" t="s">
        <v>394</v>
      </c>
      <c r="F26" s="254" t="s">
        <v>970</v>
      </c>
      <c r="G26" s="254" t="s">
        <v>877</v>
      </c>
      <c r="H26" s="254" t="s">
        <v>878</v>
      </c>
    </row>
    <row r="27" customFormat="false" ht="28.5" hidden="false" customHeight="true" outlineLevel="0" collapsed="false">
      <c r="A27" s="254" t="s">
        <v>971</v>
      </c>
      <c r="B27" s="254" t="n">
        <v>1</v>
      </c>
      <c r="C27" s="254" t="s">
        <v>972</v>
      </c>
      <c r="D27" s="254" t="s">
        <v>973</v>
      </c>
      <c r="E27" s="254" t="s">
        <v>394</v>
      </c>
      <c r="F27" s="254" t="s">
        <v>974</v>
      </c>
      <c r="G27" s="254" t="s">
        <v>303</v>
      </c>
      <c r="H27" s="254" t="s">
        <v>878</v>
      </c>
    </row>
  </sheetData>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31" activeCellId="0" sqref="E31"/>
    </sheetView>
  </sheetViews>
  <sheetFormatPr defaultColWidth="8.66796875" defaultRowHeight="12.75" customHeight="false" zeroHeight="false" outlineLevelRow="0" outlineLevelCol="0"/>
  <cols>
    <col collapsed="false" customWidth="true" hidden="false" outlineLevel="0" max="2" min="1" style="1" width="38"/>
    <col collapsed="false" customWidth="true" hidden="false" outlineLevel="0" max="3" min="3" style="1" width="16.77"/>
    <col collapsed="false" customWidth="true" hidden="false" outlineLevel="0" max="4" min="4" style="1" width="123.22"/>
    <col collapsed="false" customWidth="true" hidden="false" outlineLevel="0" max="5" min="5" style="1" width="13.67"/>
  </cols>
  <sheetData>
    <row r="1" customFormat="false" ht="27.75" hidden="false" customHeight="true" outlineLevel="0" collapsed="false">
      <c r="A1" s="255" t="s">
        <v>975</v>
      </c>
      <c r="B1" s="255"/>
      <c r="C1" s="255"/>
      <c r="D1" s="255"/>
      <c r="E1" s="255"/>
    </row>
    <row r="2" customFormat="false" ht="15.75" hidden="false" customHeight="true" outlineLevel="0" collapsed="false">
      <c r="A2" s="50" t="s">
        <v>976</v>
      </c>
      <c r="B2" s="50"/>
      <c r="C2" s="50"/>
      <c r="D2" s="50"/>
      <c r="E2" s="50"/>
    </row>
    <row r="3" customFormat="false" ht="15" hidden="false" customHeight="true" outlineLevel="0" collapsed="false">
      <c r="A3" s="51"/>
      <c r="B3" s="51"/>
      <c r="C3" s="51"/>
      <c r="D3" s="51"/>
      <c r="E3" s="51"/>
    </row>
    <row r="4" customFormat="false" ht="18" hidden="false" customHeight="true" outlineLevel="0" collapsed="false">
      <c r="A4" s="139" t="s">
        <v>150</v>
      </c>
      <c r="B4" s="139" t="s">
        <v>977</v>
      </c>
      <c r="C4" s="139" t="s">
        <v>978</v>
      </c>
      <c r="D4" s="139" t="s">
        <v>979</v>
      </c>
      <c r="E4" s="139" t="s">
        <v>980</v>
      </c>
    </row>
    <row r="5" customFormat="false" ht="33" hidden="false" customHeight="true" outlineLevel="0" collapsed="false">
      <c r="A5" s="256" t="s">
        <v>981</v>
      </c>
      <c r="B5" s="256"/>
      <c r="C5" s="256"/>
      <c r="D5" s="256"/>
      <c r="E5" s="256"/>
    </row>
    <row r="6" customFormat="false" ht="30" hidden="false" customHeight="true" outlineLevel="0" collapsed="false">
      <c r="A6" s="257" t="s">
        <v>982</v>
      </c>
      <c r="B6" s="258" t="s">
        <v>983</v>
      </c>
      <c r="C6" s="258" t="s">
        <v>984</v>
      </c>
      <c r="D6" s="258" t="s">
        <v>985</v>
      </c>
      <c r="E6" s="259" t="s">
        <v>986</v>
      </c>
    </row>
    <row r="7" customFormat="false" ht="30" hidden="false" customHeight="true" outlineLevel="0" collapsed="false">
      <c r="A7" s="260" t="s">
        <v>347</v>
      </c>
      <c r="B7" s="261" t="s">
        <v>987</v>
      </c>
      <c r="C7" s="261" t="s">
        <v>988</v>
      </c>
      <c r="D7" s="261" t="s">
        <v>989</v>
      </c>
      <c r="E7" s="262" t="s">
        <v>986</v>
      </c>
    </row>
    <row r="8" customFormat="false" ht="30" hidden="false" customHeight="true" outlineLevel="0" collapsed="false">
      <c r="A8" s="257" t="s">
        <v>990</v>
      </c>
      <c r="B8" s="258" t="s">
        <v>991</v>
      </c>
      <c r="C8" s="258" t="s">
        <v>992</v>
      </c>
      <c r="D8" s="258" t="s">
        <v>993</v>
      </c>
      <c r="E8" s="259" t="s">
        <v>986</v>
      </c>
    </row>
    <row r="9" customFormat="false" ht="30" hidden="false" customHeight="true" outlineLevel="0" collapsed="false">
      <c r="A9" s="260" t="s">
        <v>994</v>
      </c>
      <c r="B9" s="261" t="s">
        <v>995</v>
      </c>
      <c r="C9" s="261" t="s">
        <v>996</v>
      </c>
      <c r="D9" s="261" t="s">
        <v>997</v>
      </c>
      <c r="E9" s="262" t="s">
        <v>986</v>
      </c>
    </row>
    <row r="10" customFormat="false" ht="30" hidden="false" customHeight="true" outlineLevel="0" collapsed="false">
      <c r="A10" s="257" t="s">
        <v>339</v>
      </c>
      <c r="B10" s="258" t="s">
        <v>998</v>
      </c>
      <c r="C10" s="258" t="s">
        <v>999</v>
      </c>
      <c r="D10" s="258" t="s">
        <v>1000</v>
      </c>
      <c r="E10" s="259" t="s">
        <v>986</v>
      </c>
    </row>
    <row r="11" customFormat="false" ht="30" hidden="false" customHeight="true" outlineLevel="0" collapsed="false">
      <c r="A11" s="260" t="s">
        <v>1001</v>
      </c>
      <c r="B11" s="261" t="s">
        <v>1002</v>
      </c>
      <c r="C11" s="261" t="s">
        <v>1003</v>
      </c>
      <c r="D11" s="261" t="s">
        <v>1004</v>
      </c>
      <c r="E11" s="262" t="s">
        <v>986</v>
      </c>
    </row>
    <row r="12" customFormat="false" ht="30" hidden="false" customHeight="true" outlineLevel="0" collapsed="false">
      <c r="A12" s="257" t="s">
        <v>1005</v>
      </c>
      <c r="B12" s="258" t="s">
        <v>352</v>
      </c>
      <c r="C12" s="258" t="s">
        <v>1006</v>
      </c>
      <c r="D12" s="258" t="s">
        <v>1007</v>
      </c>
      <c r="E12" s="259" t="s">
        <v>986</v>
      </c>
    </row>
    <row r="13" customFormat="false" ht="30" hidden="false" customHeight="true" outlineLevel="0" collapsed="false">
      <c r="A13" s="260" t="s">
        <v>1008</v>
      </c>
      <c r="B13" s="261" t="s">
        <v>1009</v>
      </c>
      <c r="C13" s="261" t="s">
        <v>1010</v>
      </c>
      <c r="D13" s="261" t="s">
        <v>1011</v>
      </c>
      <c r="E13" s="262" t="s">
        <v>1012</v>
      </c>
    </row>
    <row r="14" customFormat="false" ht="30" hidden="false" customHeight="true" outlineLevel="0" collapsed="false">
      <c r="A14" s="257" t="s">
        <v>1013</v>
      </c>
      <c r="B14" s="258" t="s">
        <v>1014</v>
      </c>
      <c r="C14" s="258" t="s">
        <v>1015</v>
      </c>
      <c r="D14" s="258" t="s">
        <v>1016</v>
      </c>
      <c r="E14" s="259" t="s">
        <v>986</v>
      </c>
    </row>
    <row r="15" customFormat="false" ht="30" hidden="false" customHeight="true" outlineLevel="0" collapsed="false">
      <c r="A15" s="260" t="s">
        <v>1017</v>
      </c>
      <c r="B15" s="261" t="s">
        <v>1018</v>
      </c>
      <c r="C15" s="261" t="s">
        <v>1019</v>
      </c>
      <c r="D15" s="261" t="s">
        <v>1020</v>
      </c>
      <c r="E15" s="262" t="s">
        <v>986</v>
      </c>
    </row>
    <row r="16" customFormat="false" ht="30" hidden="false" customHeight="true" outlineLevel="0" collapsed="false">
      <c r="A16" s="257" t="s">
        <v>1021</v>
      </c>
      <c r="B16" s="258" t="s">
        <v>1022</v>
      </c>
      <c r="C16" s="258" t="s">
        <v>1023</v>
      </c>
      <c r="D16" s="258" t="s">
        <v>1024</v>
      </c>
      <c r="E16" s="259" t="s">
        <v>986</v>
      </c>
    </row>
    <row r="17" customFormat="false" ht="33" hidden="false" customHeight="true" outlineLevel="0" collapsed="false">
      <c r="A17" s="263" t="s">
        <v>1025</v>
      </c>
      <c r="B17" s="263"/>
      <c r="C17" s="263"/>
      <c r="D17" s="263"/>
      <c r="E17" s="263"/>
    </row>
    <row r="18" customFormat="false" ht="30" hidden="false" customHeight="true" outlineLevel="0" collapsed="false">
      <c r="A18" s="257" t="s">
        <v>1026</v>
      </c>
      <c r="B18" s="258" t="s">
        <v>1027</v>
      </c>
      <c r="C18" s="258" t="s">
        <v>1028</v>
      </c>
      <c r="D18" s="258" t="s">
        <v>1029</v>
      </c>
      <c r="E18" s="264" t="s">
        <v>1030</v>
      </c>
    </row>
    <row r="19" customFormat="false" ht="30" hidden="false" customHeight="true" outlineLevel="0" collapsed="false">
      <c r="A19" s="260" t="s">
        <v>1031</v>
      </c>
      <c r="B19" s="261" t="s">
        <v>1027</v>
      </c>
      <c r="C19" s="261" t="s">
        <v>1032</v>
      </c>
      <c r="D19" s="261" t="s">
        <v>1033</v>
      </c>
      <c r="E19" s="265" t="s">
        <v>1030</v>
      </c>
    </row>
    <row r="20" customFormat="false" ht="30" hidden="false" customHeight="true" outlineLevel="0" collapsed="false">
      <c r="A20" s="266" t="s">
        <v>1034</v>
      </c>
      <c r="B20" s="267" t="s">
        <v>1035</v>
      </c>
      <c r="C20" s="267" t="s">
        <v>1036</v>
      </c>
      <c r="D20" s="268" t="s">
        <v>1037</v>
      </c>
      <c r="E20" s="269" t="s">
        <v>1030</v>
      </c>
    </row>
    <row r="21" customFormat="false" ht="30" hidden="false" customHeight="true" outlineLevel="0" collapsed="false">
      <c r="A21" s="270" t="s">
        <v>1038</v>
      </c>
      <c r="B21" s="90" t="s">
        <v>1039</v>
      </c>
      <c r="C21" s="90" t="s">
        <v>1032</v>
      </c>
      <c r="D21" s="17" t="s">
        <v>1040</v>
      </c>
      <c r="E21" s="271" t="s">
        <v>1030</v>
      </c>
    </row>
    <row r="22" customFormat="false" ht="33" hidden="false" customHeight="true" outlineLevel="0" collapsed="false">
      <c r="A22" s="263" t="s">
        <v>1041</v>
      </c>
      <c r="B22" s="263"/>
      <c r="C22" s="263"/>
      <c r="D22" s="263"/>
      <c r="E22" s="263"/>
    </row>
    <row r="23" customFormat="false" ht="30" hidden="false" customHeight="true" outlineLevel="0" collapsed="false">
      <c r="A23" s="270" t="s">
        <v>1042</v>
      </c>
      <c r="B23" s="90" t="s">
        <v>1043</v>
      </c>
      <c r="C23" s="90" t="s">
        <v>298</v>
      </c>
      <c r="D23" s="17" t="s">
        <v>1044</v>
      </c>
      <c r="E23" s="271" t="s">
        <v>1045</v>
      </c>
    </row>
    <row r="24" customFormat="false" ht="30" hidden="false" customHeight="true" outlineLevel="0" collapsed="false">
      <c r="A24" s="266" t="s">
        <v>1046</v>
      </c>
      <c r="B24" s="267" t="s">
        <v>1047</v>
      </c>
      <c r="C24" s="267" t="s">
        <v>1048</v>
      </c>
      <c r="D24" s="268" t="s">
        <v>1049</v>
      </c>
      <c r="E24" s="269" t="s">
        <v>1045</v>
      </c>
    </row>
    <row r="25" customFormat="false" ht="30" hidden="false" customHeight="true" outlineLevel="0" collapsed="false">
      <c r="A25" s="270" t="s">
        <v>1050</v>
      </c>
      <c r="B25" s="90" t="s">
        <v>1051</v>
      </c>
      <c r="C25" s="90" t="s">
        <v>298</v>
      </c>
      <c r="D25" s="17" t="s">
        <v>1052</v>
      </c>
      <c r="E25" s="272" t="s">
        <v>1053</v>
      </c>
    </row>
    <row r="26" customFormat="false" ht="30" hidden="false" customHeight="true" outlineLevel="0" collapsed="false">
      <c r="A26" s="266" t="s">
        <v>1054</v>
      </c>
      <c r="B26" s="267" t="s">
        <v>1055</v>
      </c>
      <c r="C26" s="267" t="s">
        <v>1032</v>
      </c>
      <c r="D26" s="268" t="s">
        <v>1056</v>
      </c>
      <c r="E26" s="273" t="s">
        <v>1057</v>
      </c>
    </row>
    <row r="27" customFormat="false" ht="33" hidden="false" customHeight="true" outlineLevel="0" collapsed="false">
      <c r="A27" s="263" t="s">
        <v>1058</v>
      </c>
      <c r="B27" s="263"/>
      <c r="C27" s="263"/>
      <c r="D27" s="263"/>
      <c r="E27" s="263"/>
    </row>
    <row r="28" customFormat="false" ht="30" hidden="false" customHeight="true" outlineLevel="0" collapsed="false">
      <c r="A28" s="266" t="s">
        <v>1059</v>
      </c>
      <c r="B28" s="267" t="s">
        <v>1060</v>
      </c>
      <c r="C28" s="267" t="s">
        <v>1061</v>
      </c>
      <c r="D28" s="268" t="s">
        <v>1062</v>
      </c>
      <c r="E28" s="273" t="s">
        <v>1063</v>
      </c>
    </row>
    <row r="29" customFormat="false" ht="30" hidden="false" customHeight="true" outlineLevel="0" collapsed="false">
      <c r="A29" s="270" t="s">
        <v>1064</v>
      </c>
      <c r="B29" s="90" t="s">
        <v>1065</v>
      </c>
      <c r="C29" s="90" t="s">
        <v>1061</v>
      </c>
      <c r="D29" s="17" t="s">
        <v>1066</v>
      </c>
      <c r="E29" s="272" t="s">
        <v>1063</v>
      </c>
    </row>
    <row r="30" customFormat="false" ht="30" hidden="false" customHeight="true" outlineLevel="0" collapsed="false">
      <c r="A30" s="266" t="s">
        <v>1067</v>
      </c>
      <c r="B30" s="267" t="s">
        <v>1068</v>
      </c>
      <c r="C30" s="267" t="s">
        <v>1069</v>
      </c>
      <c r="D30" s="268" t="s">
        <v>1070</v>
      </c>
      <c r="E30" s="273" t="s">
        <v>1063</v>
      </c>
    </row>
    <row r="31" customFormat="false" ht="30" hidden="false" customHeight="true" outlineLevel="0" collapsed="false">
      <c r="A31" s="270" t="s">
        <v>417</v>
      </c>
      <c r="B31" s="90" t="s">
        <v>1071</v>
      </c>
      <c r="C31" s="90" t="s">
        <v>1072</v>
      </c>
      <c r="D31" s="17" t="s">
        <v>1073</v>
      </c>
      <c r="E31" s="274" t="s">
        <v>1074</v>
      </c>
    </row>
    <row r="32" customFormat="false" ht="30" hidden="false" customHeight="true" outlineLevel="0" collapsed="false">
      <c r="A32" s="266" t="s">
        <v>1075</v>
      </c>
      <c r="B32" s="267" t="s">
        <v>1076</v>
      </c>
      <c r="C32" s="267" t="s">
        <v>1032</v>
      </c>
      <c r="D32" s="268" t="s">
        <v>1077</v>
      </c>
      <c r="E32" s="275" t="s">
        <v>1078</v>
      </c>
    </row>
    <row r="33" customFormat="false" ht="33" hidden="false" customHeight="true" outlineLevel="0" collapsed="false">
      <c r="A33" s="263" t="s">
        <v>1079</v>
      </c>
      <c r="B33" s="263"/>
      <c r="C33" s="263"/>
      <c r="D33" s="263"/>
      <c r="E33" s="263"/>
    </row>
    <row r="34" customFormat="false" ht="30" hidden="false" customHeight="true" outlineLevel="0" collapsed="false">
      <c r="A34" s="266" t="s">
        <v>1080</v>
      </c>
      <c r="B34" s="267" t="s">
        <v>1081</v>
      </c>
      <c r="C34" s="267" t="s">
        <v>1082</v>
      </c>
      <c r="D34" s="268" t="s">
        <v>1083</v>
      </c>
      <c r="E34" s="276" t="s">
        <v>1084</v>
      </c>
    </row>
    <row r="35" customFormat="false" ht="12.75" hidden="false" customHeight="true" outlineLevel="0" collapsed="false">
      <c r="A35" s="175" t="s">
        <v>1085</v>
      </c>
      <c r="B35" s="90" t="s">
        <v>1086</v>
      </c>
      <c r="C35" s="90" t="s">
        <v>1087</v>
      </c>
      <c r="D35" s="277" t="s">
        <v>1088</v>
      </c>
      <c r="E35" s="90" t="s">
        <v>1089</v>
      </c>
    </row>
  </sheetData>
  <mergeCells count="7">
    <mergeCell ref="A1:E1"/>
    <mergeCell ref="A2:E2"/>
    <mergeCell ref="A5:E5"/>
    <mergeCell ref="A17:E17"/>
    <mergeCell ref="A22:E22"/>
    <mergeCell ref="A27:E27"/>
    <mergeCell ref="A33:E33"/>
  </mergeCells>
  <printOptions headings="false" gridLines="false" gridLinesSet="true" horizontalCentered="false" verticalCentered="false"/>
  <pageMargins left="0.4" right="0.4" top="0.4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City of Sealy · ESD #2 Development-Scenario Model&amp;R&amp;8 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false" zeroHeight="false" outlineLevelRow="0" outlineLevelCol="0"/>
  <cols>
    <col collapsed="false" customWidth="true" hidden="false" outlineLevel="0" max="1" min="1" style="1" width="46"/>
    <col collapsed="false" customWidth="true" hidden="false" outlineLevel="0" max="2" min="2" style="1" width="33.56"/>
    <col collapsed="false" customWidth="true" hidden="false" outlineLevel="0" max="3" min="3" style="1" width="39.78"/>
    <col collapsed="false" customWidth="true" hidden="false" outlineLevel="0" max="5" min="4" style="1" width="46"/>
  </cols>
  <sheetData>
    <row r="1" customFormat="false" ht="17.25" hidden="false" customHeight="true" outlineLevel="0" collapsed="false">
      <c r="A1" s="278" t="s">
        <v>1090</v>
      </c>
      <c r="B1" s="161"/>
      <c r="C1" s="161"/>
      <c r="D1" s="161"/>
      <c r="E1" s="161"/>
    </row>
    <row r="2" customFormat="false" ht="15" hidden="false" customHeight="true" outlineLevel="0" collapsed="false">
      <c r="A2" s="279" t="s">
        <v>1091</v>
      </c>
      <c r="B2" s="279"/>
      <c r="C2" s="279"/>
      <c r="D2" s="279"/>
      <c r="E2" s="279"/>
    </row>
    <row r="3" customFormat="false" ht="15" hidden="false" customHeight="true" outlineLevel="0" collapsed="false">
      <c r="A3" s="161" t="s">
        <v>1092</v>
      </c>
      <c r="B3" s="161" t="s">
        <v>1093</v>
      </c>
      <c r="C3" s="161" t="s">
        <v>1094</v>
      </c>
      <c r="D3" s="161" t="s">
        <v>1095</v>
      </c>
      <c r="E3" s="161"/>
    </row>
    <row r="4" customFormat="false" ht="15" hidden="false" customHeight="true" outlineLevel="0" collapsed="false">
      <c r="A4" s="280" t="s">
        <v>1092</v>
      </c>
      <c r="B4" s="280" t="s">
        <v>1093</v>
      </c>
      <c r="C4" s="280" t="s">
        <v>1096</v>
      </c>
      <c r="D4" s="280" t="s">
        <v>1097</v>
      </c>
      <c r="E4" s="280" t="s">
        <v>1098</v>
      </c>
    </row>
    <row r="5" customFormat="false" ht="42" hidden="false" customHeight="true" outlineLevel="0" collapsed="false">
      <c r="A5" s="281" t="s">
        <v>1092</v>
      </c>
      <c r="B5" s="281" t="s">
        <v>1093</v>
      </c>
      <c r="C5" s="281" t="s">
        <v>1099</v>
      </c>
      <c r="D5" s="281" t="s">
        <v>1100</v>
      </c>
      <c r="E5" s="281" t="s">
        <v>1101</v>
      </c>
    </row>
    <row r="6" customFormat="false" ht="42" hidden="false" customHeight="true" outlineLevel="0" collapsed="false">
      <c r="A6" s="281" t="n">
        <v>2</v>
      </c>
      <c r="B6" s="281" t="s">
        <v>1102</v>
      </c>
      <c r="C6" s="281" t="s">
        <v>1103</v>
      </c>
      <c r="D6" s="281" t="s">
        <v>1104</v>
      </c>
      <c r="E6" s="281" t="s">
        <v>1105</v>
      </c>
    </row>
    <row r="7" customFormat="false" ht="42" hidden="false" customHeight="true" outlineLevel="0" collapsed="false">
      <c r="A7" s="281" t="n">
        <v>3</v>
      </c>
      <c r="B7" s="281" t="s">
        <v>1102</v>
      </c>
      <c r="C7" s="281" t="s">
        <v>1106</v>
      </c>
      <c r="D7" s="281" t="s">
        <v>1107</v>
      </c>
      <c r="E7" s="281" t="s">
        <v>1108</v>
      </c>
    </row>
    <row r="8" customFormat="false" ht="42" hidden="false" customHeight="true" outlineLevel="0" collapsed="false">
      <c r="A8" s="281" t="n">
        <v>4</v>
      </c>
      <c r="B8" s="281" t="s">
        <v>1109</v>
      </c>
      <c r="C8" s="281" t="s">
        <v>1110</v>
      </c>
      <c r="D8" s="281" t="s">
        <v>1111</v>
      </c>
      <c r="E8" s="281" t="s">
        <v>1112</v>
      </c>
    </row>
    <row r="9" customFormat="false" ht="42" hidden="false" customHeight="true" outlineLevel="0" collapsed="false">
      <c r="A9" s="281" t="n">
        <v>5</v>
      </c>
      <c r="B9" s="281" t="s">
        <v>1113</v>
      </c>
      <c r="C9" s="281" t="s">
        <v>1114</v>
      </c>
      <c r="D9" s="281" t="s">
        <v>1115</v>
      </c>
      <c r="E9" s="281" t="s">
        <v>1116</v>
      </c>
    </row>
    <row r="10" customFormat="false" ht="42" hidden="false" customHeight="true" outlineLevel="0" collapsed="false">
      <c r="A10" s="281" t="n">
        <v>6</v>
      </c>
      <c r="B10" s="281" t="s">
        <v>1069</v>
      </c>
      <c r="C10" s="281" t="s">
        <v>1117</v>
      </c>
      <c r="D10" s="281" t="s">
        <v>1118</v>
      </c>
      <c r="E10" s="281" t="s">
        <v>1119</v>
      </c>
    </row>
    <row r="11" customFormat="false" ht="42" hidden="false" customHeight="true" outlineLevel="0" collapsed="false">
      <c r="A11" s="281" t="n">
        <v>7</v>
      </c>
      <c r="B11" s="281" t="s">
        <v>1069</v>
      </c>
      <c r="C11" s="281" t="s">
        <v>1120</v>
      </c>
      <c r="D11" s="281" t="s">
        <v>1121</v>
      </c>
      <c r="E11" s="281" t="s">
        <v>1122</v>
      </c>
    </row>
    <row r="12" customFormat="false" ht="42" hidden="false" customHeight="true" outlineLevel="0" collapsed="false">
      <c r="A12" s="281" t="n">
        <v>8</v>
      </c>
      <c r="B12" s="281" t="s">
        <v>74</v>
      </c>
      <c r="C12" s="281" t="s">
        <v>1123</v>
      </c>
      <c r="D12" s="281" t="s">
        <v>1124</v>
      </c>
      <c r="E12" s="281" t="s">
        <v>1125</v>
      </c>
    </row>
    <row r="13" customFormat="false" ht="42" hidden="false" customHeight="true" outlineLevel="0" collapsed="false">
      <c r="A13" s="281" t="n">
        <v>9</v>
      </c>
      <c r="B13" s="281" t="s">
        <v>298</v>
      </c>
      <c r="C13" s="281" t="s">
        <v>1126</v>
      </c>
      <c r="D13" s="281" t="s">
        <v>1127</v>
      </c>
      <c r="E13" s="281" t="s">
        <v>1128</v>
      </c>
    </row>
    <row r="14" customFormat="false" ht="42" hidden="false" customHeight="true" outlineLevel="0" collapsed="false">
      <c r="A14" s="281" t="n">
        <v>10</v>
      </c>
      <c r="B14" s="281" t="s">
        <v>1129</v>
      </c>
      <c r="C14" s="281" t="s">
        <v>1130</v>
      </c>
      <c r="D14" s="281" t="s">
        <v>1131</v>
      </c>
      <c r="E14" s="281" t="s">
        <v>1132</v>
      </c>
    </row>
    <row r="15" customFormat="false" ht="42" hidden="false" customHeight="true" outlineLevel="0" collapsed="false">
      <c r="A15" s="281" t="n">
        <v>11</v>
      </c>
      <c r="B15" s="281" t="s">
        <v>1133</v>
      </c>
      <c r="C15" s="281" t="s">
        <v>1130</v>
      </c>
      <c r="D15" s="281" t="s">
        <v>1134</v>
      </c>
      <c r="E15" s="281" t="s">
        <v>1132</v>
      </c>
    </row>
    <row r="16" customFormat="false" ht="42" hidden="false" customHeight="true" outlineLevel="0" collapsed="false">
      <c r="A16" s="281" t="n">
        <v>12</v>
      </c>
      <c r="B16" s="281" t="s">
        <v>1135</v>
      </c>
      <c r="C16" s="281" t="s">
        <v>1130</v>
      </c>
      <c r="D16" s="281" t="s">
        <v>1136</v>
      </c>
      <c r="E16" s="281" t="s">
        <v>1132</v>
      </c>
    </row>
    <row r="17" customFormat="false" ht="42" hidden="false" customHeight="true" outlineLevel="0" collapsed="false">
      <c r="A17" s="239" t="s">
        <v>1137</v>
      </c>
      <c r="B17" s="239" t="s">
        <v>1102</v>
      </c>
      <c r="C17" s="239" t="s">
        <v>1138</v>
      </c>
      <c r="D17" s="239" t="s">
        <v>1139</v>
      </c>
      <c r="E17" s="239" t="s">
        <v>1140</v>
      </c>
    </row>
    <row r="18" customFormat="false" ht="42" hidden="false" customHeight="true" outlineLevel="0" collapsed="false">
      <c r="A18" s="239" t="s">
        <v>1141</v>
      </c>
      <c r="B18" s="239" t="s">
        <v>1142</v>
      </c>
      <c r="C18" s="239" t="s">
        <v>1143</v>
      </c>
      <c r="D18" s="239" t="s">
        <v>1144</v>
      </c>
      <c r="E18" s="239" t="s">
        <v>1145</v>
      </c>
    </row>
    <row r="19" customFormat="false" ht="42" hidden="false" customHeight="true" outlineLevel="0" collapsed="false">
      <c r="A19" s="239" t="s">
        <v>1146</v>
      </c>
      <c r="B19" s="239" t="s">
        <v>1147</v>
      </c>
      <c r="C19" s="239" t="s">
        <v>1148</v>
      </c>
      <c r="D19" s="239" t="s">
        <v>1149</v>
      </c>
      <c r="E19" s="239" t="s">
        <v>1150</v>
      </c>
    </row>
    <row r="20" customFormat="false" ht="42" hidden="false" customHeight="true" outlineLevel="0" collapsed="false">
      <c r="A20" s="239" t="s">
        <v>1151</v>
      </c>
      <c r="B20" s="239" t="s">
        <v>1152</v>
      </c>
      <c r="C20" s="239" t="s">
        <v>1153</v>
      </c>
      <c r="D20" s="239" t="s">
        <v>1154</v>
      </c>
      <c r="E20" s="239" t="s">
        <v>1155</v>
      </c>
    </row>
    <row r="21" customFormat="false" ht="42" hidden="false" customHeight="true" outlineLevel="0" collapsed="false">
      <c r="A21" s="239" t="s">
        <v>1156</v>
      </c>
      <c r="B21" s="239" t="s">
        <v>1157</v>
      </c>
      <c r="C21" s="239" t="s">
        <v>1158</v>
      </c>
      <c r="D21" s="239" t="s">
        <v>1159</v>
      </c>
      <c r="E21" s="239" t="s">
        <v>1160</v>
      </c>
    </row>
    <row r="22" customFormat="false" ht="42" hidden="false" customHeight="true" outlineLevel="0" collapsed="false">
      <c r="A22" s="239" t="s">
        <v>1161</v>
      </c>
      <c r="B22" s="239" t="s">
        <v>1069</v>
      </c>
      <c r="C22" s="239" t="s">
        <v>1162</v>
      </c>
      <c r="D22" s="239" t="s">
        <v>1163</v>
      </c>
      <c r="E22" s="239" t="s">
        <v>1164</v>
      </c>
    </row>
    <row r="23" customFormat="false" ht="42" hidden="false" customHeight="true" outlineLevel="0" collapsed="false">
      <c r="A23" s="239" t="s">
        <v>1165</v>
      </c>
      <c r="B23" s="239" t="s">
        <v>1166</v>
      </c>
      <c r="C23" s="239" t="s">
        <v>1167</v>
      </c>
      <c r="D23" s="239" t="s">
        <v>1168</v>
      </c>
      <c r="E23" s="239" t="s">
        <v>1169</v>
      </c>
    </row>
    <row r="24" customFormat="false" ht="42" hidden="false" customHeight="true" outlineLevel="0" collapsed="false">
      <c r="A24" s="239" t="s">
        <v>1170</v>
      </c>
      <c r="B24" s="239" t="s">
        <v>1147</v>
      </c>
      <c r="C24" s="239" t="s">
        <v>1171</v>
      </c>
      <c r="D24" s="239" t="s">
        <v>1172</v>
      </c>
      <c r="E24" s="239" t="s">
        <v>1173</v>
      </c>
    </row>
    <row r="25" customFormat="false" ht="42" hidden="false" customHeight="true" outlineLevel="0" collapsed="false">
      <c r="A25" s="239" t="s">
        <v>1114</v>
      </c>
      <c r="B25" s="239" t="s">
        <v>1174</v>
      </c>
      <c r="C25" s="239" t="s">
        <v>1175</v>
      </c>
      <c r="D25" s="239" t="s">
        <v>1176</v>
      </c>
      <c r="E25" s="239" t="s">
        <v>1177</v>
      </c>
    </row>
    <row r="26" customFormat="false" ht="42" hidden="false" customHeight="true" outlineLevel="0" collapsed="false">
      <c r="A26" s="239" t="s">
        <v>1178</v>
      </c>
      <c r="B26" s="239" t="s">
        <v>1069</v>
      </c>
      <c r="C26" s="239" t="s">
        <v>1179</v>
      </c>
      <c r="D26" s="239" t="s">
        <v>1180</v>
      </c>
      <c r="E26" s="239" t="s">
        <v>1177</v>
      </c>
    </row>
    <row r="27" customFormat="false" ht="42" hidden="false" customHeight="true" outlineLevel="0" collapsed="false">
      <c r="A27" s="239" t="s">
        <v>1181</v>
      </c>
      <c r="B27" s="239" t="s">
        <v>1166</v>
      </c>
      <c r="C27" s="239" t="s">
        <v>1167</v>
      </c>
      <c r="D27" s="239" t="s">
        <v>1182</v>
      </c>
      <c r="E27" s="239" t="s">
        <v>1177</v>
      </c>
    </row>
    <row r="28" customFormat="false" ht="42" hidden="false" customHeight="true" outlineLevel="0" collapsed="false">
      <c r="A28" s="239" t="s">
        <v>1183</v>
      </c>
      <c r="B28" s="239" t="s">
        <v>74</v>
      </c>
      <c r="C28" s="239" t="s">
        <v>1184</v>
      </c>
      <c r="D28" s="239" t="s">
        <v>1185</v>
      </c>
      <c r="E28" s="239" t="s">
        <v>1177</v>
      </c>
    </row>
    <row r="29" customFormat="false" ht="42" hidden="false" customHeight="true" outlineLevel="0" collapsed="false">
      <c r="A29" s="239" t="s">
        <v>1186</v>
      </c>
      <c r="B29" s="239" t="s">
        <v>1147</v>
      </c>
      <c r="C29" s="239" t="s">
        <v>1187</v>
      </c>
      <c r="D29" s="239" t="s">
        <v>1188</v>
      </c>
      <c r="E29" s="239" t="s">
        <v>1177</v>
      </c>
    </row>
    <row r="30" customFormat="false" ht="42" hidden="false" customHeight="true" outlineLevel="0" collapsed="false">
      <c r="A30" s="239" t="s">
        <v>1189</v>
      </c>
      <c r="B30" s="239" t="s">
        <v>1157</v>
      </c>
      <c r="C30" s="239" t="s">
        <v>1190</v>
      </c>
      <c r="D30" s="239" t="s">
        <v>1191</v>
      </c>
      <c r="E30" s="239" t="s">
        <v>1177</v>
      </c>
    </row>
    <row r="31" customFormat="false" ht="42" hidden="false" customHeight="true" outlineLevel="0" collapsed="false">
      <c r="A31" s="239" t="s">
        <v>1192</v>
      </c>
      <c r="B31" s="239" t="s">
        <v>1152</v>
      </c>
      <c r="C31" s="239" t="s">
        <v>1193</v>
      </c>
      <c r="D31" s="239" t="s">
        <v>1194</v>
      </c>
      <c r="E31" s="239" t="s">
        <v>1177</v>
      </c>
    </row>
    <row r="32" customFormat="false" ht="12.75" hidden="false" customHeight="false" outlineLevel="0" collapsed="false">
      <c r="A32" s="1" t="s">
        <v>1093</v>
      </c>
      <c r="B32" s="1" t="s">
        <v>1195</v>
      </c>
      <c r="C32" s="1" t="s">
        <v>1196</v>
      </c>
    </row>
    <row r="33" customFormat="false" ht="12.75" hidden="false" customHeight="false" outlineLevel="0" collapsed="false">
      <c r="A33" s="1" t="s">
        <v>1093</v>
      </c>
      <c r="B33" s="1" t="s">
        <v>1197</v>
      </c>
      <c r="C33" s="1" t="s">
        <v>1198</v>
      </c>
    </row>
    <row r="34" customFormat="false" ht="12.75" hidden="false" customHeight="false" outlineLevel="0" collapsed="false">
      <c r="A34" s="1" t="s">
        <v>1093</v>
      </c>
      <c r="B34" s="1" t="s">
        <v>1199</v>
      </c>
      <c r="C34" s="1" t="s">
        <v>1200</v>
      </c>
    </row>
    <row r="35" customFormat="false" ht="12.75" hidden="false" customHeight="false" outlineLevel="0" collapsed="false">
      <c r="A35" s="1" t="s">
        <v>1093</v>
      </c>
      <c r="B35" s="1" t="s">
        <v>1201</v>
      </c>
      <c r="C35" s="1" t="s">
        <v>1202</v>
      </c>
    </row>
    <row r="36" customFormat="false" ht="12.75" hidden="false" customHeight="false" outlineLevel="0" collapsed="false">
      <c r="A36" s="1" t="s">
        <v>1093</v>
      </c>
      <c r="B36" s="1" t="s">
        <v>1203</v>
      </c>
      <c r="C36" s="1" t="s">
        <v>1204</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false" zeroHeight="false" outlineLevelRow="0" outlineLevelCol="0"/>
  <cols>
    <col collapsed="false" customWidth="true" hidden="false" outlineLevel="0" max="1" min="1" style="1" width="46"/>
    <col collapsed="false" customWidth="true" hidden="false" outlineLevel="0" max="7" min="2" style="1" width="14.56"/>
    <col collapsed="false" customWidth="true" hidden="false" outlineLevel="0" max="8" min="8" style="1" width="8"/>
  </cols>
  <sheetData>
    <row r="1" customFormat="false" ht="17.25" hidden="false" customHeight="true" outlineLevel="0" collapsed="false">
      <c r="A1" s="278" t="s">
        <v>1205</v>
      </c>
      <c r="B1" s="161"/>
      <c r="C1" s="161"/>
      <c r="D1" s="161"/>
      <c r="E1" s="161"/>
      <c r="F1" s="161"/>
      <c r="G1" s="161"/>
      <c r="H1" s="161"/>
    </row>
    <row r="2" customFormat="false" ht="15" hidden="false" customHeight="true" outlineLevel="0" collapsed="false">
      <c r="A2" s="279" t="s">
        <v>1206</v>
      </c>
      <c r="B2" s="279"/>
      <c r="C2" s="279"/>
      <c r="D2" s="279"/>
      <c r="E2" s="279"/>
      <c r="F2" s="279"/>
      <c r="G2" s="279"/>
      <c r="H2" s="279"/>
    </row>
    <row r="3" customFormat="false" ht="15" hidden="false" customHeight="true" outlineLevel="0" collapsed="false">
      <c r="A3" s="161"/>
      <c r="B3" s="161"/>
      <c r="C3" s="161"/>
      <c r="D3" s="161"/>
      <c r="E3" s="161"/>
      <c r="F3" s="161"/>
      <c r="G3" s="161"/>
      <c r="H3" s="161"/>
    </row>
    <row r="4" customFormat="false" ht="15" hidden="false" customHeight="true" outlineLevel="0" collapsed="false">
      <c r="A4" s="228" t="s">
        <v>1207</v>
      </c>
      <c r="B4" s="161"/>
      <c r="C4" s="161"/>
      <c r="D4" s="161"/>
      <c r="E4" s="161"/>
      <c r="F4" s="161"/>
      <c r="G4" s="161"/>
      <c r="H4" s="161"/>
    </row>
    <row r="5" customFormat="false" ht="15" hidden="false" customHeight="true" outlineLevel="0" collapsed="false">
      <c r="A5" s="280" t="s">
        <v>1208</v>
      </c>
      <c r="B5" s="280" t="s">
        <v>1209</v>
      </c>
      <c r="C5" s="280" t="s">
        <v>1210</v>
      </c>
      <c r="D5" s="161"/>
      <c r="E5" s="161"/>
      <c r="F5" s="161"/>
      <c r="G5" s="161"/>
      <c r="H5" s="161"/>
    </row>
    <row r="6" customFormat="false" ht="15" hidden="false" customHeight="true" outlineLevel="0" collapsed="false">
      <c r="A6" s="282" t="s">
        <v>1211</v>
      </c>
      <c r="B6" s="282" t="s">
        <v>1212</v>
      </c>
      <c r="C6" s="282" t="s">
        <v>1213</v>
      </c>
      <c r="D6" s="161"/>
      <c r="E6" s="161"/>
      <c r="F6" s="161"/>
      <c r="G6" s="161"/>
      <c r="H6" s="161"/>
    </row>
    <row r="7" customFormat="false" ht="15" hidden="false" customHeight="true" outlineLevel="0" collapsed="false">
      <c r="A7" s="282" t="s">
        <v>1214</v>
      </c>
      <c r="B7" s="282" t="s">
        <v>1212</v>
      </c>
      <c r="C7" s="282" t="s">
        <v>1215</v>
      </c>
      <c r="D7" s="161"/>
      <c r="E7" s="161"/>
      <c r="F7" s="161"/>
      <c r="G7" s="161"/>
      <c r="H7" s="161"/>
    </row>
    <row r="8" customFormat="false" ht="15" hidden="false" customHeight="true" outlineLevel="0" collapsed="false">
      <c r="A8" s="282" t="s">
        <v>1216</v>
      </c>
      <c r="B8" s="282" t="s">
        <v>1212</v>
      </c>
      <c r="C8" s="282" t="s">
        <v>1217</v>
      </c>
      <c r="D8" s="161"/>
      <c r="E8" s="161"/>
      <c r="F8" s="161"/>
      <c r="G8" s="161"/>
      <c r="H8" s="161"/>
    </row>
    <row r="9" customFormat="false" ht="15" hidden="false" customHeight="true" outlineLevel="0" collapsed="false">
      <c r="A9" s="282" t="s">
        <v>1218</v>
      </c>
      <c r="B9" s="282" t="s">
        <v>1212</v>
      </c>
      <c r="C9" s="282" t="s">
        <v>1219</v>
      </c>
      <c r="D9" s="161"/>
      <c r="E9" s="161"/>
      <c r="F9" s="161"/>
      <c r="G9" s="161"/>
      <c r="H9" s="161"/>
    </row>
    <row r="10" customFormat="false" ht="15" hidden="false" customHeight="true" outlineLevel="0" collapsed="false">
      <c r="A10" s="282" t="s">
        <v>1220</v>
      </c>
      <c r="B10" s="282" t="s">
        <v>1212</v>
      </c>
      <c r="C10" s="282" t="s">
        <v>1221</v>
      </c>
      <c r="D10" s="161"/>
      <c r="E10" s="161"/>
      <c r="F10" s="161"/>
      <c r="G10" s="161"/>
      <c r="H10" s="161"/>
    </row>
    <row r="11" customFormat="false" ht="15" hidden="false" customHeight="true" outlineLevel="0" collapsed="false">
      <c r="A11" s="282" t="s">
        <v>1222</v>
      </c>
      <c r="B11" s="282" t="s">
        <v>1212</v>
      </c>
      <c r="C11" s="282" t="s">
        <v>1223</v>
      </c>
      <c r="D11" s="161"/>
      <c r="E11" s="161"/>
      <c r="F11" s="161"/>
      <c r="G11" s="161"/>
      <c r="H11" s="161"/>
    </row>
    <row r="12" customFormat="false" ht="15" hidden="false" customHeight="true" outlineLevel="0" collapsed="false">
      <c r="A12" s="282" t="s">
        <v>1224</v>
      </c>
      <c r="B12" s="282" t="s">
        <v>1212</v>
      </c>
      <c r="C12" s="282" t="s">
        <v>1225</v>
      </c>
      <c r="D12" s="161"/>
      <c r="E12" s="161"/>
      <c r="F12" s="161"/>
      <c r="G12" s="161"/>
      <c r="H12" s="161"/>
    </row>
    <row r="13" customFormat="false" ht="15" hidden="false" customHeight="true" outlineLevel="0" collapsed="false">
      <c r="A13" s="161"/>
      <c r="B13" s="161"/>
      <c r="C13" s="161"/>
      <c r="D13" s="161"/>
      <c r="E13" s="161"/>
      <c r="F13" s="161"/>
      <c r="G13" s="161"/>
      <c r="H13" s="161"/>
    </row>
    <row r="14" customFormat="false" ht="15" hidden="false" customHeight="true" outlineLevel="0" collapsed="false">
      <c r="A14" s="228" t="s">
        <v>1226</v>
      </c>
      <c r="B14" s="161"/>
      <c r="C14" s="161"/>
      <c r="D14" s="161"/>
      <c r="E14" s="161"/>
      <c r="F14" s="161"/>
      <c r="G14" s="161"/>
      <c r="H14" s="161"/>
    </row>
    <row r="15" customFormat="false" ht="15" hidden="false" customHeight="true" outlineLevel="0" collapsed="false">
      <c r="A15" s="280"/>
      <c r="B15" s="280"/>
      <c r="C15" s="280"/>
      <c r="D15" s="280"/>
      <c r="E15" s="280"/>
      <c r="F15" s="280"/>
      <c r="G15" s="280"/>
      <c r="H15" s="280"/>
    </row>
    <row r="16" customFormat="false" ht="15" hidden="false" customHeight="true" outlineLevel="0" collapsed="false">
      <c r="A16" s="282"/>
      <c r="B16" s="283"/>
      <c r="C16" s="283"/>
      <c r="D16" s="283"/>
      <c r="E16" s="283"/>
      <c r="F16" s="283"/>
      <c r="G16" s="283"/>
      <c r="H16" s="282"/>
    </row>
    <row r="17" customFormat="false" ht="15" hidden="false" customHeight="true" outlineLevel="0" collapsed="false">
      <c r="A17" s="282"/>
      <c r="B17" s="283"/>
      <c r="C17" s="283"/>
      <c r="D17" s="283"/>
      <c r="E17" s="283"/>
      <c r="F17" s="283"/>
      <c r="G17" s="283"/>
      <c r="H17" s="282"/>
    </row>
    <row r="18" customFormat="false" ht="15" hidden="false" customHeight="true" outlineLevel="0" collapsed="false">
      <c r="A18" s="282"/>
      <c r="B18" s="283"/>
      <c r="C18" s="283"/>
      <c r="D18" s="283"/>
      <c r="E18" s="283"/>
      <c r="F18" s="283"/>
      <c r="G18" s="283"/>
      <c r="H18" s="282"/>
    </row>
    <row r="19" customFormat="false" ht="15" hidden="false" customHeight="true" outlineLevel="0" collapsed="false">
      <c r="A19" s="282"/>
      <c r="B19" s="283"/>
      <c r="C19" s="283"/>
      <c r="D19" s="283"/>
      <c r="E19" s="283"/>
      <c r="F19" s="283"/>
      <c r="G19" s="283"/>
      <c r="H19" s="282"/>
    </row>
    <row r="20" customFormat="false" ht="15" hidden="false" customHeight="true" outlineLevel="0" collapsed="false">
      <c r="A20" s="282"/>
      <c r="B20" s="283"/>
      <c r="C20" s="283"/>
      <c r="D20" s="283"/>
      <c r="E20" s="283"/>
      <c r="F20" s="283"/>
      <c r="G20" s="283"/>
      <c r="H20" s="282"/>
    </row>
    <row r="21" customFormat="false" ht="15" hidden="false" customHeight="true" outlineLevel="0" collapsed="false">
      <c r="A21" s="282"/>
      <c r="B21" s="283"/>
      <c r="C21" s="283"/>
      <c r="D21" s="283"/>
      <c r="E21" s="283"/>
      <c r="F21" s="283"/>
      <c r="G21" s="283"/>
      <c r="H21" s="282"/>
    </row>
    <row r="22" customFormat="false" ht="15" hidden="false" customHeight="true" outlineLevel="0" collapsed="false">
      <c r="A22" s="284"/>
      <c r="B22" s="285"/>
      <c r="C22" s="285"/>
      <c r="D22" s="285"/>
      <c r="E22" s="285"/>
      <c r="F22" s="285"/>
      <c r="G22" s="284"/>
      <c r="H22" s="161"/>
    </row>
    <row r="23" customFormat="false" ht="15" hidden="false" customHeight="true" outlineLevel="0" collapsed="false">
      <c r="A23" s="228"/>
      <c r="B23" s="161"/>
      <c r="C23" s="161"/>
      <c r="D23" s="161"/>
      <c r="E23" s="161"/>
      <c r="F23" s="161"/>
      <c r="G23" s="161"/>
      <c r="H23" s="161"/>
    </row>
    <row r="24" customFormat="false" ht="15" hidden="false" customHeight="true" outlineLevel="0" collapsed="false">
      <c r="A24" s="280"/>
      <c r="B24" s="280"/>
      <c r="C24" s="280"/>
      <c r="D24" s="161"/>
      <c r="E24" s="161"/>
      <c r="F24" s="161"/>
      <c r="G24" s="161"/>
      <c r="H24" s="161"/>
    </row>
    <row r="25" customFormat="false" ht="15" hidden="false" customHeight="true" outlineLevel="0" collapsed="false">
      <c r="A25" s="282"/>
      <c r="B25" s="283"/>
      <c r="C25" s="282"/>
      <c r="D25" s="161"/>
      <c r="E25" s="161"/>
      <c r="F25" s="161"/>
      <c r="G25" s="161"/>
      <c r="H25" s="161"/>
    </row>
    <row r="26" customFormat="false" ht="15" hidden="false" customHeight="true" outlineLevel="0" collapsed="false">
      <c r="A26" s="282"/>
      <c r="B26" s="283"/>
      <c r="C26" s="282"/>
      <c r="D26" s="161"/>
      <c r="E26" s="161"/>
      <c r="F26" s="161"/>
      <c r="G26" s="161"/>
      <c r="H26" s="161"/>
    </row>
    <row r="27" customFormat="false" ht="42.75" hidden="false" customHeight="true" outlineLevel="0" collapsed="false">
      <c r="A27" s="286"/>
      <c r="B27" s="161"/>
      <c r="C27" s="161"/>
      <c r="D27" s="161"/>
      <c r="E27" s="161"/>
      <c r="F27" s="161"/>
      <c r="G27" s="161"/>
      <c r="H27" s="161"/>
    </row>
    <row r="29" customFormat="false" ht="15" hidden="false" customHeight="true" outlineLevel="0" collapsed="false">
      <c r="A29" s="228" t="s">
        <v>1227</v>
      </c>
    </row>
    <row r="30" customFormat="false" ht="15" hidden="false" customHeight="true" outlineLevel="0" collapsed="false">
      <c r="A30" s="161" t="s">
        <v>1228</v>
      </c>
      <c r="B30" s="161" t="str">
        <f aca="false">IF(SUM('04_Annual_Calculations'!$B$27:$AE$28)&lt;&gt;0,"WARNING: trigger capital (05_Capital_Triggers) is nonzero AND itemized Capital_Items also feeds NET - verify no item overlap (double-count risk)","OK - trigger capital = 0; all capital comes from Capital_Items only (no double-count)")</f>
        <v>OK - trigger capital = 0; all capital comes from Capital_Items only (no double-count)</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2026-05-25T19:22:06Z</dcterms:created>
  <dc:creator>openpyxl</dc:creator>
  <dc:description/>
  <dc:language>en-US</dc:language>
  <cp:lastModifiedBy/>
  <dcterms:modified xsi:type="dcterms:W3CDTF">2026-06-02T20:09:16Z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